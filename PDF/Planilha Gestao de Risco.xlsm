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EstaPasta_de_trabalho"/>
  <bookViews>
    <workbookView xWindow="0" yWindow="0" windowWidth="20730" windowHeight="11760"/>
  </bookViews>
  <sheets>
    <sheet name="Config." sheetId="1" r:id="rId1"/>
    <sheet name="gerenciamento" sheetId="2" r:id="rId2"/>
  </sheets>
  <definedNames>
    <definedName name="moeda_plan365">L4C3</definedName>
  </definedName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2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R4" l="1"/>
  <c r="R5" s="1"/>
  <c r="S5" s="1"/>
  <c r="S4" l="1"/>
  <c r="R6"/>
  <c r="R7" s="1"/>
  <c r="R8" s="1"/>
  <c r="R9" s="1"/>
  <c r="R10" s="1"/>
  <c r="R11" s="1"/>
  <c r="R12" s="1"/>
  <c r="R13" s="1"/>
  <c r="R14" s="1"/>
  <c r="R15" s="1"/>
  <c r="R16" s="1"/>
  <c r="R17" s="1"/>
  <c r="R18" s="1"/>
  <c r="R19" s="1"/>
  <c r="R20" s="1"/>
  <c r="R21" s="1"/>
  <c r="R22" s="1"/>
  <c r="R23" s="1"/>
  <c r="R24" s="1"/>
  <c r="R25" s="1"/>
  <c r="R26" s="1"/>
  <c r="R27" s="1"/>
  <c r="R28" s="1"/>
  <c r="R29" s="1"/>
  <c r="R30" s="1"/>
  <c r="R31" s="1"/>
  <c r="R32" s="1"/>
  <c r="R33" s="1"/>
  <c r="R34" s="1"/>
  <c r="R35" s="1"/>
  <c r="R36" s="1"/>
  <c r="R37" s="1"/>
  <c r="R38" s="1"/>
  <c r="R39" s="1"/>
  <c r="R40" s="1"/>
  <c r="R41" s="1"/>
  <c r="R42" s="1"/>
  <c r="R43" s="1"/>
  <c r="R44" s="1"/>
  <c r="R45" s="1"/>
  <c r="R46" s="1"/>
  <c r="R47" s="1"/>
  <c r="R48" s="1"/>
  <c r="R49" s="1"/>
  <c r="R50" s="1"/>
  <c r="R51" s="1"/>
  <c r="R52" s="1"/>
  <c r="R53" s="1"/>
  <c r="R54" s="1"/>
  <c r="R55" s="1"/>
  <c r="R56" s="1"/>
  <c r="R57" s="1"/>
  <c r="R58" s="1"/>
  <c r="R59" s="1"/>
  <c r="R60" s="1"/>
  <c r="R61" s="1"/>
  <c r="R62" s="1"/>
  <c r="R63" s="1"/>
  <c r="R64" s="1"/>
  <c r="R65" s="1"/>
  <c r="R66" s="1"/>
  <c r="R67" s="1"/>
  <c r="R68" s="1"/>
  <c r="R69" s="1"/>
  <c r="R70" s="1"/>
  <c r="R71" s="1"/>
  <c r="R72" s="1"/>
  <c r="R73" s="1"/>
  <c r="R74" s="1"/>
  <c r="R75" s="1"/>
  <c r="R76" s="1"/>
  <c r="R77" s="1"/>
  <c r="R78" s="1"/>
  <c r="R79" s="1"/>
  <c r="R80" s="1"/>
  <c r="R81" s="1"/>
  <c r="R82" s="1"/>
  <c r="R83" s="1"/>
  <c r="R84" s="1"/>
  <c r="R85" s="1"/>
  <c r="R86" s="1"/>
  <c r="R87" s="1"/>
  <c r="R88" s="1"/>
  <c r="R89" s="1"/>
  <c r="R90" s="1"/>
  <c r="R91" s="1"/>
  <c r="R92" s="1"/>
  <c r="R93" s="1"/>
  <c r="R94" s="1"/>
  <c r="R95" s="1"/>
  <c r="R96" s="1"/>
  <c r="R97" s="1"/>
  <c r="R98" s="1"/>
  <c r="R99" s="1"/>
  <c r="R100" s="1"/>
  <c r="R101" s="1"/>
  <c r="R102" s="1"/>
  <c r="R103" s="1"/>
  <c r="R104" s="1"/>
  <c r="R105" s="1"/>
  <c r="R106" s="1"/>
  <c r="R107" s="1"/>
  <c r="R108" s="1"/>
  <c r="R109" s="1"/>
  <c r="R110" s="1"/>
  <c r="R111" s="1"/>
  <c r="R112" s="1"/>
  <c r="R113" s="1"/>
  <c r="R114" s="1"/>
  <c r="R115" s="1"/>
  <c r="R116" s="1"/>
  <c r="R117" s="1"/>
  <c r="R118" s="1"/>
  <c r="R119" s="1"/>
  <c r="R120" s="1"/>
  <c r="R121" s="1"/>
  <c r="R122" s="1"/>
  <c r="R123" s="1"/>
  <c r="R124" s="1"/>
  <c r="R125" s="1"/>
  <c r="R126" s="1"/>
  <c r="R127" s="1"/>
  <c r="R128" s="1"/>
  <c r="R129" s="1"/>
  <c r="R130" s="1"/>
  <c r="R131" s="1"/>
  <c r="R132" s="1"/>
  <c r="R133" s="1"/>
  <c r="R134" s="1"/>
  <c r="R135" s="1"/>
  <c r="R136" s="1"/>
  <c r="R137" s="1"/>
  <c r="R138" s="1"/>
  <c r="R139" s="1"/>
  <c r="R140" s="1"/>
  <c r="R141" s="1"/>
  <c r="R142" s="1"/>
  <c r="R143" s="1"/>
  <c r="R144" s="1"/>
  <c r="R145" s="1"/>
  <c r="R146" s="1"/>
  <c r="R147" s="1"/>
  <c r="R148" s="1"/>
  <c r="R149" s="1"/>
  <c r="R150" s="1"/>
  <c r="R151" s="1"/>
  <c r="R152" s="1"/>
  <c r="R153" s="1"/>
  <c r="R154" s="1"/>
  <c r="R155" s="1"/>
  <c r="R156" s="1"/>
  <c r="R157" s="1"/>
  <c r="R158" s="1"/>
  <c r="R159" s="1"/>
  <c r="R160" s="1"/>
  <c r="R161" s="1"/>
  <c r="R162" s="1"/>
  <c r="R163" s="1"/>
  <c r="R164" s="1"/>
  <c r="R165" s="1"/>
  <c r="R166" s="1"/>
  <c r="R167" s="1"/>
  <c r="R168" s="1"/>
  <c r="R169" s="1"/>
  <c r="R170" s="1"/>
  <c r="R171" s="1"/>
  <c r="R172" s="1"/>
  <c r="R173" s="1"/>
  <c r="R174" s="1"/>
  <c r="R175" s="1"/>
  <c r="R176" s="1"/>
  <c r="R177" s="1"/>
  <c r="R178" s="1"/>
  <c r="R179" s="1"/>
  <c r="R180" s="1"/>
  <c r="R181" s="1"/>
  <c r="R182" s="1"/>
  <c r="R183" s="1"/>
  <c r="R184" s="1"/>
  <c r="R185" s="1"/>
  <c r="R186" s="1"/>
  <c r="R187" s="1"/>
  <c r="R188" s="1"/>
  <c r="R189" s="1"/>
  <c r="R190" s="1"/>
  <c r="R191" s="1"/>
  <c r="R192" s="1"/>
  <c r="R193" s="1"/>
  <c r="R194" s="1"/>
  <c r="R195" s="1"/>
  <c r="R196" s="1"/>
  <c r="R197" s="1"/>
  <c r="R198" s="1"/>
  <c r="R199" s="1"/>
  <c r="R200" s="1"/>
  <c r="R201" s="1"/>
  <c r="R202" s="1"/>
  <c r="R203" s="1"/>
  <c r="R204" s="1"/>
  <c r="R205" s="1"/>
  <c r="R206" s="1"/>
  <c r="R207" s="1"/>
  <c r="R208" s="1"/>
  <c r="R209" s="1"/>
  <c r="R210" s="1"/>
  <c r="R211" s="1"/>
  <c r="R212" s="1"/>
  <c r="R213" s="1"/>
  <c r="R214" s="1"/>
  <c r="R215" s="1"/>
  <c r="R216" s="1"/>
  <c r="R217" s="1"/>
  <c r="R218" s="1"/>
  <c r="R219" s="1"/>
  <c r="R220" s="1"/>
  <c r="R221" s="1"/>
  <c r="R222" s="1"/>
  <c r="R223" s="1"/>
  <c r="R224" s="1"/>
  <c r="R225" s="1"/>
  <c r="R226" s="1"/>
  <c r="R227" s="1"/>
  <c r="R228" s="1"/>
  <c r="R229" s="1"/>
  <c r="R230" s="1"/>
  <c r="R231" s="1"/>
  <c r="R232" s="1"/>
  <c r="R233" s="1"/>
  <c r="R234" s="1"/>
  <c r="R235" s="1"/>
  <c r="R236" s="1"/>
  <c r="R237" s="1"/>
  <c r="R238" s="1"/>
  <c r="R239" s="1"/>
  <c r="R240" s="1"/>
  <c r="R241" s="1"/>
  <c r="R242" s="1"/>
  <c r="R243" s="1"/>
  <c r="R244" s="1"/>
  <c r="R245" s="1"/>
  <c r="R246" s="1"/>
  <c r="R247" s="1"/>
  <c r="R248" s="1"/>
  <c r="R249" s="1"/>
  <c r="R250" s="1"/>
  <c r="R251" s="1"/>
  <c r="R252" s="1"/>
  <c r="R253" s="1"/>
  <c r="R254" s="1"/>
  <c r="R255" s="1"/>
  <c r="R256" s="1"/>
  <c r="R257" s="1"/>
  <c r="R258" s="1"/>
  <c r="R259" s="1"/>
  <c r="R260" s="1"/>
  <c r="R261" s="1"/>
  <c r="R262" s="1"/>
  <c r="R263" s="1"/>
  <c r="R264" s="1"/>
  <c r="R265" s="1"/>
  <c r="R266" s="1"/>
  <c r="R267" s="1"/>
  <c r="R268" s="1"/>
  <c r="R269" s="1"/>
  <c r="R270" s="1"/>
  <c r="R271" s="1"/>
  <c r="R272" s="1"/>
  <c r="R273" s="1"/>
  <c r="R274" s="1"/>
  <c r="R275" s="1"/>
  <c r="R276" s="1"/>
  <c r="R277" s="1"/>
  <c r="R278" s="1"/>
  <c r="R279" s="1"/>
  <c r="R280" s="1"/>
  <c r="R281" s="1"/>
  <c r="R282" s="1"/>
  <c r="R283" s="1"/>
  <c r="R284" s="1"/>
  <c r="R285" s="1"/>
  <c r="R286" s="1"/>
  <c r="R287" s="1"/>
  <c r="R288" s="1"/>
  <c r="R289" s="1"/>
  <c r="R290" s="1"/>
  <c r="R291" s="1"/>
  <c r="R292" s="1"/>
  <c r="R293" s="1"/>
  <c r="R294" s="1"/>
  <c r="R295" s="1"/>
  <c r="R296" s="1"/>
  <c r="R297" s="1"/>
  <c r="R298" s="1"/>
  <c r="R299" s="1"/>
  <c r="R300" s="1"/>
  <c r="R301" s="1"/>
  <c r="R302" s="1"/>
  <c r="R303" s="1"/>
  <c r="R304" s="1"/>
  <c r="R305" s="1"/>
  <c r="R306" s="1"/>
  <c r="R307" s="1"/>
  <c r="R308" s="1"/>
  <c r="R309" s="1"/>
  <c r="R310" s="1"/>
  <c r="R311" s="1"/>
  <c r="R312" s="1"/>
  <c r="R313" s="1"/>
  <c r="R314" s="1"/>
  <c r="R315" s="1"/>
  <c r="R316" s="1"/>
  <c r="R317" s="1"/>
  <c r="R318" s="1"/>
  <c r="R319" s="1"/>
  <c r="R320" s="1"/>
  <c r="R321" s="1"/>
  <c r="R322" s="1"/>
  <c r="R323" s="1"/>
  <c r="R324" s="1"/>
  <c r="R325" s="1"/>
  <c r="R326" s="1"/>
  <c r="R327" s="1"/>
  <c r="R328" s="1"/>
  <c r="R329" s="1"/>
  <c r="R330" s="1"/>
  <c r="R331" s="1"/>
  <c r="R332" s="1"/>
  <c r="R333" s="1"/>
  <c r="R334" s="1"/>
  <c r="R335" s="1"/>
  <c r="R336" s="1"/>
  <c r="R337" s="1"/>
  <c r="R338" s="1"/>
  <c r="R339" s="1"/>
  <c r="R340" s="1"/>
  <c r="R341" s="1"/>
  <c r="R342" s="1"/>
  <c r="R343" s="1"/>
  <c r="R344" s="1"/>
  <c r="R345" s="1"/>
  <c r="R346" s="1"/>
  <c r="R347" s="1"/>
  <c r="R348" s="1"/>
  <c r="R349" s="1"/>
  <c r="R350" s="1"/>
  <c r="R351" s="1"/>
  <c r="R352" s="1"/>
  <c r="R353" s="1"/>
  <c r="R354" s="1"/>
  <c r="R355" s="1"/>
  <c r="R356" s="1"/>
  <c r="R357" s="1"/>
  <c r="R358" s="1"/>
  <c r="R359" s="1"/>
  <c r="R360" s="1"/>
  <c r="R361" s="1"/>
  <c r="R362" s="1"/>
  <c r="R363" s="1"/>
  <c r="R364" s="1"/>
  <c r="R365" s="1"/>
  <c r="R366" s="1"/>
  <c r="R367" s="1"/>
  <c r="R368" s="1"/>
  <c r="S368" s="1"/>
  <c r="C4"/>
  <c r="K4"/>
  <c r="I5"/>
  <c r="I4"/>
  <c r="D4" l="1"/>
  <c r="F4" s="1"/>
  <c r="G4"/>
  <c r="S12"/>
  <c r="S14"/>
  <c r="S48"/>
  <c r="S37"/>
  <c r="S24"/>
  <c r="S11"/>
  <c r="S8"/>
  <c r="S6"/>
  <c r="S20"/>
  <c r="S22"/>
  <c r="S28"/>
  <c r="S30"/>
  <c r="S17"/>
  <c r="S36"/>
  <c r="S7"/>
  <c r="S57"/>
  <c r="S13"/>
  <c r="S15"/>
  <c r="S27"/>
  <c r="S21"/>
  <c r="S31"/>
  <c r="S10"/>
  <c r="S92"/>
  <c r="S333"/>
  <c r="S205"/>
  <c r="S263"/>
  <c r="S112"/>
  <c r="S240"/>
  <c r="S275"/>
  <c r="S249"/>
  <c r="S339"/>
  <c r="S66"/>
  <c r="S83"/>
  <c r="S164"/>
  <c r="S149"/>
  <c r="S213"/>
  <c r="S94"/>
  <c r="S222"/>
  <c r="S350"/>
  <c r="S143"/>
  <c r="S271"/>
  <c r="S299"/>
  <c r="S56"/>
  <c r="S120"/>
  <c r="S184"/>
  <c r="S248"/>
  <c r="S312"/>
  <c r="S43"/>
  <c r="S323"/>
  <c r="S65"/>
  <c r="S129"/>
  <c r="S193"/>
  <c r="S257"/>
  <c r="S321"/>
  <c r="S51"/>
  <c r="S74"/>
  <c r="S138"/>
  <c r="S202"/>
  <c r="S266"/>
  <c r="S330"/>
  <c r="S99"/>
  <c r="S44"/>
  <c r="S108"/>
  <c r="S172"/>
  <c r="S236"/>
  <c r="S300"/>
  <c r="S364"/>
  <c r="S357"/>
  <c r="S29"/>
  <c r="S93"/>
  <c r="S157"/>
  <c r="S221"/>
  <c r="S309"/>
  <c r="S38"/>
  <c r="S102"/>
  <c r="S166"/>
  <c r="S230"/>
  <c r="S294"/>
  <c r="S358"/>
  <c r="S23"/>
  <c r="S87"/>
  <c r="S151"/>
  <c r="S215"/>
  <c r="S279"/>
  <c r="S343"/>
  <c r="S355"/>
  <c r="S64"/>
  <c r="S128"/>
  <c r="S192"/>
  <c r="S256"/>
  <c r="S320"/>
  <c r="S67"/>
  <c r="S9"/>
  <c r="S73"/>
  <c r="S137"/>
  <c r="S201"/>
  <c r="S265"/>
  <c r="S329"/>
  <c r="S75"/>
  <c r="S18"/>
  <c r="S82"/>
  <c r="S146"/>
  <c r="S210"/>
  <c r="S274"/>
  <c r="S338"/>
  <c r="S123"/>
  <c r="S156"/>
  <c r="S77"/>
  <c r="S214"/>
  <c r="S304"/>
  <c r="S185"/>
  <c r="S258"/>
  <c r="S100"/>
  <c r="S292"/>
  <c r="S349"/>
  <c r="S85"/>
  <c r="S285"/>
  <c r="S207"/>
  <c r="S116"/>
  <c r="S244"/>
  <c r="S165"/>
  <c r="S341"/>
  <c r="S174"/>
  <c r="S95"/>
  <c r="S159"/>
  <c r="S223"/>
  <c r="S287"/>
  <c r="S351"/>
  <c r="S136"/>
  <c r="S81"/>
  <c r="S145"/>
  <c r="S209"/>
  <c r="S273"/>
  <c r="S337"/>
  <c r="S107"/>
  <c r="S26"/>
  <c r="S90"/>
  <c r="S154"/>
  <c r="S218"/>
  <c r="S282"/>
  <c r="S346"/>
  <c r="S147"/>
  <c r="S348"/>
  <c r="S141"/>
  <c r="S86"/>
  <c r="S342"/>
  <c r="S199"/>
  <c r="S251"/>
  <c r="S313"/>
  <c r="S130"/>
  <c r="S228"/>
  <c r="S356"/>
  <c r="S158"/>
  <c r="S286"/>
  <c r="S79"/>
  <c r="S335"/>
  <c r="S52"/>
  <c r="S180"/>
  <c r="S308"/>
  <c r="S277"/>
  <c r="S163"/>
  <c r="S101"/>
  <c r="S229"/>
  <c r="S46"/>
  <c r="S110"/>
  <c r="S238"/>
  <c r="S302"/>
  <c r="S366"/>
  <c r="S72"/>
  <c r="S200"/>
  <c r="S264"/>
  <c r="S328"/>
  <c r="S91"/>
  <c r="S60"/>
  <c r="S124"/>
  <c r="S188"/>
  <c r="S252"/>
  <c r="S316"/>
  <c r="S293"/>
  <c r="S211"/>
  <c r="S45"/>
  <c r="S109"/>
  <c r="S173"/>
  <c r="S237"/>
  <c r="S365"/>
  <c r="S54"/>
  <c r="S118"/>
  <c r="S182"/>
  <c r="S246"/>
  <c r="S310"/>
  <c r="S171"/>
  <c r="S39"/>
  <c r="S103"/>
  <c r="S167"/>
  <c r="S231"/>
  <c r="S295"/>
  <c r="S359"/>
  <c r="S16"/>
  <c r="S80"/>
  <c r="S144"/>
  <c r="S208"/>
  <c r="S272"/>
  <c r="S336"/>
  <c r="S115"/>
  <c r="S25"/>
  <c r="S89"/>
  <c r="S153"/>
  <c r="S217"/>
  <c r="S281"/>
  <c r="S345"/>
  <c r="S139"/>
  <c r="S34"/>
  <c r="S98"/>
  <c r="S162"/>
  <c r="S226"/>
  <c r="S290"/>
  <c r="S354"/>
  <c r="S179"/>
  <c r="S269"/>
  <c r="S278"/>
  <c r="S135"/>
  <c r="S327"/>
  <c r="S176"/>
  <c r="S121"/>
  <c r="S322"/>
  <c r="S68"/>
  <c r="S132"/>
  <c r="S196"/>
  <c r="S260"/>
  <c r="S324"/>
  <c r="S301"/>
  <c r="S267"/>
  <c r="S53"/>
  <c r="S117"/>
  <c r="S181"/>
  <c r="S245"/>
  <c r="S235"/>
  <c r="S62"/>
  <c r="S126"/>
  <c r="S190"/>
  <c r="S254"/>
  <c r="S318"/>
  <c r="S259"/>
  <c r="S47"/>
  <c r="S111"/>
  <c r="S175"/>
  <c r="S239"/>
  <c r="S303"/>
  <c r="S367"/>
  <c r="S88"/>
  <c r="S152"/>
  <c r="S216"/>
  <c r="S280"/>
  <c r="S344"/>
  <c r="S155"/>
  <c r="S33"/>
  <c r="S97"/>
  <c r="S161"/>
  <c r="S225"/>
  <c r="S289"/>
  <c r="S353"/>
  <c r="S195"/>
  <c r="S42"/>
  <c r="S106"/>
  <c r="S170"/>
  <c r="S234"/>
  <c r="S298"/>
  <c r="S19"/>
  <c r="S219"/>
  <c r="S220"/>
  <c r="S150"/>
  <c r="S194"/>
  <c r="S76"/>
  <c r="S140"/>
  <c r="S204"/>
  <c r="S268"/>
  <c r="S332"/>
  <c r="S317"/>
  <c r="S315"/>
  <c r="S61"/>
  <c r="S125"/>
  <c r="S189"/>
  <c r="S253"/>
  <c r="S70"/>
  <c r="S134"/>
  <c r="S198"/>
  <c r="S262"/>
  <c r="S326"/>
  <c r="S307"/>
  <c r="S55"/>
  <c r="S119"/>
  <c r="S183"/>
  <c r="S247"/>
  <c r="S311"/>
  <c r="S131"/>
  <c r="S32"/>
  <c r="S96"/>
  <c r="S160"/>
  <c r="S224"/>
  <c r="S288"/>
  <c r="S352"/>
  <c r="S187"/>
  <c r="S41"/>
  <c r="S105"/>
  <c r="S169"/>
  <c r="S233"/>
  <c r="S297"/>
  <c r="S361"/>
  <c r="S243"/>
  <c r="S50"/>
  <c r="S114"/>
  <c r="S178"/>
  <c r="S242"/>
  <c r="S306"/>
  <c r="S35"/>
  <c r="S283"/>
  <c r="S284"/>
  <c r="S71"/>
  <c r="S84"/>
  <c r="S148"/>
  <c r="S212"/>
  <c r="S276"/>
  <c r="S340"/>
  <c r="S325"/>
  <c r="S363"/>
  <c r="S69"/>
  <c r="S133"/>
  <c r="S197"/>
  <c r="S261"/>
  <c r="S78"/>
  <c r="S142"/>
  <c r="S206"/>
  <c r="S270"/>
  <c r="S334"/>
  <c r="S347"/>
  <c r="S63"/>
  <c r="S127"/>
  <c r="S191"/>
  <c r="S255"/>
  <c r="S319"/>
  <c r="S203"/>
  <c r="S40"/>
  <c r="S104"/>
  <c r="S168"/>
  <c r="S232"/>
  <c r="S296"/>
  <c r="S360"/>
  <c r="S227"/>
  <c r="S49"/>
  <c r="S113"/>
  <c r="S177"/>
  <c r="S241"/>
  <c r="S305"/>
  <c r="S362"/>
  <c r="S291"/>
  <c r="S58"/>
  <c r="S122"/>
  <c r="S186"/>
  <c r="S250"/>
  <c r="S314"/>
  <c r="S59"/>
  <c r="S331"/>
  <c r="C5"/>
  <c r="G5" s="1"/>
  <c r="K368"/>
  <c r="I368"/>
  <c r="J368" s="1"/>
  <c r="K367"/>
  <c r="J367"/>
  <c r="I367"/>
  <c r="K366"/>
  <c r="I366"/>
  <c r="J366" s="1"/>
  <c r="K365"/>
  <c r="I365"/>
  <c r="J365" s="1"/>
  <c r="K364"/>
  <c r="I364"/>
  <c r="J364" s="1"/>
  <c r="K363"/>
  <c r="I363"/>
  <c r="J363" s="1"/>
  <c r="K362"/>
  <c r="I362"/>
  <c r="J362" s="1"/>
  <c r="K361"/>
  <c r="I361"/>
  <c r="J361" s="1"/>
  <c r="K360"/>
  <c r="J360"/>
  <c r="I360"/>
  <c r="K359"/>
  <c r="I359"/>
  <c r="J359" s="1"/>
  <c r="K358"/>
  <c r="J358"/>
  <c r="I358"/>
  <c r="K357"/>
  <c r="I357"/>
  <c r="J357" s="1"/>
  <c r="K356"/>
  <c r="I356"/>
  <c r="J356" s="1"/>
  <c r="K355"/>
  <c r="J355"/>
  <c r="I355"/>
  <c r="K354"/>
  <c r="I354"/>
  <c r="J354" s="1"/>
  <c r="K353"/>
  <c r="I353"/>
  <c r="J353" s="1"/>
  <c r="K352"/>
  <c r="I352"/>
  <c r="J352" s="1"/>
  <c r="K351"/>
  <c r="J351"/>
  <c r="I351"/>
  <c r="K350"/>
  <c r="I350"/>
  <c r="J350" s="1"/>
  <c r="K349"/>
  <c r="I349"/>
  <c r="J349" s="1"/>
  <c r="K348"/>
  <c r="I348"/>
  <c r="J348" s="1"/>
  <c r="K347"/>
  <c r="I347"/>
  <c r="J347" s="1"/>
  <c r="K346"/>
  <c r="I346"/>
  <c r="J346" s="1"/>
  <c r="K345"/>
  <c r="I345"/>
  <c r="J345" s="1"/>
  <c r="K344"/>
  <c r="J344"/>
  <c r="I344"/>
  <c r="K343"/>
  <c r="I343"/>
  <c r="J343" s="1"/>
  <c r="K342"/>
  <c r="J342"/>
  <c r="I342"/>
  <c r="K341"/>
  <c r="I341"/>
  <c r="J341" s="1"/>
  <c r="K340"/>
  <c r="I340"/>
  <c r="J340" s="1"/>
  <c r="K339"/>
  <c r="J339"/>
  <c r="I339"/>
  <c r="K338"/>
  <c r="I338"/>
  <c r="J338" s="1"/>
  <c r="K337"/>
  <c r="I337"/>
  <c r="J337" s="1"/>
  <c r="K336"/>
  <c r="I336"/>
  <c r="J336" s="1"/>
  <c r="K335"/>
  <c r="J335"/>
  <c r="I335"/>
  <c r="K334"/>
  <c r="I334"/>
  <c r="J334" s="1"/>
  <c r="K333"/>
  <c r="I333"/>
  <c r="J333" s="1"/>
  <c r="K332"/>
  <c r="I332"/>
  <c r="J332" s="1"/>
  <c r="K331"/>
  <c r="I331"/>
  <c r="J331" s="1"/>
  <c r="K330"/>
  <c r="I330"/>
  <c r="J330" s="1"/>
  <c r="K329"/>
  <c r="I329"/>
  <c r="J329" s="1"/>
  <c r="K328"/>
  <c r="J328"/>
  <c r="I328"/>
  <c r="K327"/>
  <c r="I327"/>
  <c r="J327" s="1"/>
  <c r="K326"/>
  <c r="J326"/>
  <c r="I326"/>
  <c r="K325"/>
  <c r="I325"/>
  <c r="J325" s="1"/>
  <c r="K324"/>
  <c r="I324"/>
  <c r="J324" s="1"/>
  <c r="K323"/>
  <c r="J323"/>
  <c r="I323"/>
  <c r="K322"/>
  <c r="I322"/>
  <c r="J322" s="1"/>
  <c r="K321"/>
  <c r="I321"/>
  <c r="J321" s="1"/>
  <c r="K320"/>
  <c r="J320"/>
  <c r="I320"/>
  <c r="K319"/>
  <c r="I319"/>
  <c r="J319" s="1"/>
  <c r="K318"/>
  <c r="J318"/>
  <c r="I318"/>
  <c r="K317"/>
  <c r="I317"/>
  <c r="J317" s="1"/>
  <c r="K316"/>
  <c r="I316"/>
  <c r="J316" s="1"/>
  <c r="K315"/>
  <c r="J315"/>
  <c r="I315"/>
  <c r="K314"/>
  <c r="I314"/>
  <c r="J314" s="1"/>
  <c r="K313"/>
  <c r="I313"/>
  <c r="J313" s="1"/>
  <c r="K312"/>
  <c r="J312"/>
  <c r="I312"/>
  <c r="K311"/>
  <c r="I311"/>
  <c r="J311" s="1"/>
  <c r="K310"/>
  <c r="J310"/>
  <c r="I310"/>
  <c r="K309"/>
  <c r="I309"/>
  <c r="J309" s="1"/>
  <c r="K308"/>
  <c r="I308"/>
  <c r="J308" s="1"/>
  <c r="K307"/>
  <c r="J307"/>
  <c r="I307"/>
  <c r="K306"/>
  <c r="I306"/>
  <c r="J306" s="1"/>
  <c r="K305"/>
  <c r="I305"/>
  <c r="J305" s="1"/>
  <c r="K304"/>
  <c r="I304"/>
  <c r="J304" s="1"/>
  <c r="K303"/>
  <c r="I303"/>
  <c r="J303" s="1"/>
  <c r="K302"/>
  <c r="I302"/>
  <c r="J302" s="1"/>
  <c r="K301"/>
  <c r="I301"/>
  <c r="J301" s="1"/>
  <c r="K300"/>
  <c r="I300"/>
  <c r="J300" s="1"/>
  <c r="K299"/>
  <c r="J299"/>
  <c r="I299"/>
  <c r="K298"/>
  <c r="I298"/>
  <c r="J298" s="1"/>
  <c r="K297"/>
  <c r="I297"/>
  <c r="J297" s="1"/>
  <c r="K296"/>
  <c r="I296"/>
  <c r="J296" s="1"/>
  <c r="K295"/>
  <c r="J295"/>
  <c r="I295"/>
  <c r="K294"/>
  <c r="I294"/>
  <c r="J294" s="1"/>
  <c r="K293"/>
  <c r="I293"/>
  <c r="J293" s="1"/>
  <c r="K292"/>
  <c r="J292"/>
  <c r="I292"/>
  <c r="K291"/>
  <c r="I291"/>
  <c r="J291" s="1"/>
  <c r="K290"/>
  <c r="I290"/>
  <c r="J290" s="1"/>
  <c r="K289"/>
  <c r="I289"/>
  <c r="J289" s="1"/>
  <c r="K288"/>
  <c r="I288"/>
  <c r="J288" s="1"/>
  <c r="K287"/>
  <c r="J287"/>
  <c r="I287"/>
  <c r="K286"/>
  <c r="I286"/>
  <c r="J286" s="1"/>
  <c r="K285"/>
  <c r="I285"/>
  <c r="J285" s="1"/>
  <c r="K284"/>
  <c r="J284"/>
  <c r="I284"/>
  <c r="K283"/>
  <c r="I283"/>
  <c r="J283" s="1"/>
  <c r="K282"/>
  <c r="I282"/>
  <c r="J282" s="1"/>
  <c r="K281"/>
  <c r="I281"/>
  <c r="J281" s="1"/>
  <c r="K280"/>
  <c r="I280"/>
  <c r="J280" s="1"/>
  <c r="K279"/>
  <c r="J279"/>
  <c r="I279"/>
  <c r="K278"/>
  <c r="I278"/>
  <c r="J278" s="1"/>
  <c r="K277"/>
  <c r="I277"/>
  <c r="J277" s="1"/>
  <c r="K276"/>
  <c r="J276"/>
  <c r="I276"/>
  <c r="K275"/>
  <c r="I275"/>
  <c r="J275" s="1"/>
  <c r="K274"/>
  <c r="I274"/>
  <c r="J274" s="1"/>
  <c r="K273"/>
  <c r="I273"/>
  <c r="J273" s="1"/>
  <c r="K272"/>
  <c r="J272"/>
  <c r="I272"/>
  <c r="K271"/>
  <c r="I271"/>
  <c r="J271" s="1"/>
  <c r="K270"/>
  <c r="J270"/>
  <c r="I270"/>
  <c r="K269"/>
  <c r="I269"/>
  <c r="J269" s="1"/>
  <c r="K268"/>
  <c r="J268"/>
  <c r="I268"/>
  <c r="K267"/>
  <c r="I267"/>
  <c r="J267" s="1"/>
  <c r="K266"/>
  <c r="I266"/>
  <c r="J266" s="1"/>
  <c r="K265"/>
  <c r="I265"/>
  <c r="J265" s="1"/>
  <c r="K264"/>
  <c r="J264"/>
  <c r="I264"/>
  <c r="K263"/>
  <c r="I263"/>
  <c r="J263" s="1"/>
  <c r="K262"/>
  <c r="J262"/>
  <c r="I262"/>
  <c r="K261"/>
  <c r="I261"/>
  <c r="J261" s="1"/>
  <c r="K260"/>
  <c r="I260"/>
  <c r="J260" s="1"/>
  <c r="K259"/>
  <c r="J259"/>
  <c r="I259"/>
  <c r="K258"/>
  <c r="I258"/>
  <c r="J258" s="1"/>
  <c r="K257"/>
  <c r="I257"/>
  <c r="J257" s="1"/>
  <c r="K256"/>
  <c r="J256"/>
  <c r="I256"/>
  <c r="K255"/>
  <c r="I255"/>
  <c r="J255" s="1"/>
  <c r="K254"/>
  <c r="J254"/>
  <c r="I254"/>
  <c r="K253"/>
  <c r="I253"/>
  <c r="J253" s="1"/>
  <c r="K252"/>
  <c r="I252"/>
  <c r="J252" s="1"/>
  <c r="K251"/>
  <c r="J251"/>
  <c r="I251"/>
  <c r="K250"/>
  <c r="I250"/>
  <c r="J250" s="1"/>
  <c r="K249"/>
  <c r="I249"/>
  <c r="J249" s="1"/>
  <c r="K248"/>
  <c r="J248"/>
  <c r="I248"/>
  <c r="K247"/>
  <c r="I247"/>
  <c r="J247" s="1"/>
  <c r="K246"/>
  <c r="J246"/>
  <c r="I246"/>
  <c r="K245"/>
  <c r="I245"/>
  <c r="J245" s="1"/>
  <c r="K244"/>
  <c r="I244"/>
  <c r="J244" s="1"/>
  <c r="K243"/>
  <c r="J243"/>
  <c r="I243"/>
  <c r="K242"/>
  <c r="I242"/>
  <c r="J242" s="1"/>
  <c r="K241"/>
  <c r="I241"/>
  <c r="J241" s="1"/>
  <c r="K240"/>
  <c r="I240"/>
  <c r="J240" s="1"/>
  <c r="K239"/>
  <c r="I239"/>
  <c r="J239" s="1"/>
  <c r="K238"/>
  <c r="I238"/>
  <c r="J238" s="1"/>
  <c r="K237"/>
  <c r="I237"/>
  <c r="J237" s="1"/>
  <c r="K236"/>
  <c r="I236"/>
  <c r="J236" s="1"/>
  <c r="K235"/>
  <c r="J235"/>
  <c r="I235"/>
  <c r="K234"/>
  <c r="I234"/>
  <c r="J234" s="1"/>
  <c r="K233"/>
  <c r="I233"/>
  <c r="J233" s="1"/>
  <c r="K232"/>
  <c r="I232"/>
  <c r="J232" s="1"/>
  <c r="K231"/>
  <c r="J231"/>
  <c r="I231"/>
  <c r="K230"/>
  <c r="I230"/>
  <c r="J230" s="1"/>
  <c r="K229"/>
  <c r="I229"/>
  <c r="J229" s="1"/>
  <c r="K228"/>
  <c r="J228"/>
  <c r="I228"/>
  <c r="K227"/>
  <c r="I227"/>
  <c r="J227" s="1"/>
  <c r="K226"/>
  <c r="I226"/>
  <c r="J226" s="1"/>
  <c r="K225"/>
  <c r="I225"/>
  <c r="J225" s="1"/>
  <c r="K224"/>
  <c r="I224"/>
  <c r="J224" s="1"/>
  <c r="K223"/>
  <c r="J223"/>
  <c r="I223"/>
  <c r="K222"/>
  <c r="I222"/>
  <c r="J222" s="1"/>
  <c r="K221"/>
  <c r="I221"/>
  <c r="J221" s="1"/>
  <c r="K220"/>
  <c r="J220"/>
  <c r="I220"/>
  <c r="K219"/>
  <c r="I219"/>
  <c r="J219" s="1"/>
  <c r="K218"/>
  <c r="I218"/>
  <c r="J218" s="1"/>
  <c r="K217"/>
  <c r="I217"/>
  <c r="J217" s="1"/>
  <c r="K216"/>
  <c r="I216"/>
  <c r="J216" s="1"/>
  <c r="K215"/>
  <c r="J215"/>
  <c r="I215"/>
  <c r="K214"/>
  <c r="I214"/>
  <c r="J214" s="1"/>
  <c r="K213"/>
  <c r="I213"/>
  <c r="J213" s="1"/>
  <c r="K212"/>
  <c r="I212"/>
  <c r="J212" s="1"/>
  <c r="K211"/>
  <c r="J211"/>
  <c r="I211"/>
  <c r="K210"/>
  <c r="I210"/>
  <c r="J210" s="1"/>
  <c r="K209"/>
  <c r="I209"/>
  <c r="J209" s="1"/>
  <c r="K208"/>
  <c r="J208"/>
  <c r="I208"/>
  <c r="K207"/>
  <c r="I207"/>
  <c r="J207" s="1"/>
  <c r="K206"/>
  <c r="I206"/>
  <c r="J206" s="1"/>
  <c r="K205"/>
  <c r="I205"/>
  <c r="J205" s="1"/>
  <c r="K204"/>
  <c r="J204"/>
  <c r="I204"/>
  <c r="K203"/>
  <c r="I203"/>
  <c r="J203" s="1"/>
  <c r="K202"/>
  <c r="I202"/>
  <c r="J202" s="1"/>
  <c r="K201"/>
  <c r="I201"/>
  <c r="J201" s="1"/>
  <c r="K200"/>
  <c r="I200"/>
  <c r="J200" s="1"/>
  <c r="K199"/>
  <c r="J199"/>
  <c r="I199"/>
  <c r="K198"/>
  <c r="I198"/>
  <c r="J198" s="1"/>
  <c r="K197"/>
  <c r="I197"/>
  <c r="J197" s="1"/>
  <c r="K196"/>
  <c r="I196"/>
  <c r="J196" s="1"/>
  <c r="K195"/>
  <c r="J195"/>
  <c r="I195"/>
  <c r="K194"/>
  <c r="I194"/>
  <c r="J194" s="1"/>
  <c r="K193"/>
  <c r="I193"/>
  <c r="J193" s="1"/>
  <c r="K192"/>
  <c r="J192"/>
  <c r="I192"/>
  <c r="K191"/>
  <c r="I191"/>
  <c r="J191" s="1"/>
  <c r="K190"/>
  <c r="I190"/>
  <c r="J190" s="1"/>
  <c r="K189"/>
  <c r="J189"/>
  <c r="I189"/>
  <c r="K188"/>
  <c r="I188"/>
  <c r="J188" s="1"/>
  <c r="K187"/>
  <c r="I187"/>
  <c r="J187" s="1"/>
  <c r="K186"/>
  <c r="I186"/>
  <c r="J186" s="1"/>
  <c r="K185"/>
  <c r="J185"/>
  <c r="I185"/>
  <c r="K184"/>
  <c r="I184"/>
  <c r="J184" s="1"/>
  <c r="K183"/>
  <c r="I183"/>
  <c r="J183" s="1"/>
  <c r="K182"/>
  <c r="I182"/>
  <c r="J182" s="1"/>
  <c r="K181"/>
  <c r="I181"/>
  <c r="J181" s="1"/>
  <c r="K180"/>
  <c r="I180"/>
  <c r="J180" s="1"/>
  <c r="K179"/>
  <c r="J179"/>
  <c r="I179"/>
  <c r="K178"/>
  <c r="I178"/>
  <c r="J178" s="1"/>
  <c r="K177"/>
  <c r="I177"/>
  <c r="J177" s="1"/>
  <c r="K176"/>
  <c r="J176"/>
  <c r="I176"/>
  <c r="K175"/>
  <c r="I175"/>
  <c r="J175" s="1"/>
  <c r="K174"/>
  <c r="I174"/>
  <c r="J174" s="1"/>
  <c r="K173"/>
  <c r="J173"/>
  <c r="I173"/>
  <c r="K172"/>
  <c r="I172"/>
  <c r="J172" s="1"/>
  <c r="K171"/>
  <c r="I171"/>
  <c r="J171" s="1"/>
  <c r="K170"/>
  <c r="I170"/>
  <c r="J170" s="1"/>
  <c r="K169"/>
  <c r="J169"/>
  <c r="I169"/>
  <c r="K168"/>
  <c r="I168"/>
  <c r="J168" s="1"/>
  <c r="K167"/>
  <c r="I167"/>
  <c r="J167" s="1"/>
  <c r="K166"/>
  <c r="I166"/>
  <c r="J166" s="1"/>
  <c r="K165"/>
  <c r="I165"/>
  <c r="J165" s="1"/>
  <c r="K164"/>
  <c r="I164"/>
  <c r="J164" s="1"/>
  <c r="K163"/>
  <c r="J163"/>
  <c r="I163"/>
  <c r="K162"/>
  <c r="I162"/>
  <c r="J162" s="1"/>
  <c r="K161"/>
  <c r="I161"/>
  <c r="J161" s="1"/>
  <c r="K160"/>
  <c r="J160"/>
  <c r="I160"/>
  <c r="K159"/>
  <c r="I159"/>
  <c r="J159" s="1"/>
  <c r="K158"/>
  <c r="I158"/>
  <c r="J158" s="1"/>
  <c r="K157"/>
  <c r="J157"/>
  <c r="I157"/>
  <c r="K156"/>
  <c r="I156"/>
  <c r="J156" s="1"/>
  <c r="K155"/>
  <c r="I155"/>
  <c r="J155" s="1"/>
  <c r="K154"/>
  <c r="I154"/>
  <c r="J154" s="1"/>
  <c r="K153"/>
  <c r="J153"/>
  <c r="I153"/>
  <c r="K152"/>
  <c r="I152"/>
  <c r="J152" s="1"/>
  <c r="K151"/>
  <c r="I151"/>
  <c r="J151" s="1"/>
  <c r="K150"/>
  <c r="I150"/>
  <c r="J150" s="1"/>
  <c r="K149"/>
  <c r="I149"/>
  <c r="J149" s="1"/>
  <c r="K148"/>
  <c r="I148"/>
  <c r="J148" s="1"/>
  <c r="K147"/>
  <c r="J147"/>
  <c r="I147"/>
  <c r="K146"/>
  <c r="I146"/>
  <c r="J146" s="1"/>
  <c r="K145"/>
  <c r="I145"/>
  <c r="J145" s="1"/>
  <c r="K144"/>
  <c r="I144"/>
  <c r="J144" s="1"/>
  <c r="K143"/>
  <c r="I143"/>
  <c r="J143" s="1"/>
  <c r="K142"/>
  <c r="I142"/>
  <c r="J142" s="1"/>
  <c r="K141"/>
  <c r="I141"/>
  <c r="J141" s="1"/>
  <c r="K140"/>
  <c r="I140"/>
  <c r="J140" s="1"/>
  <c r="K139"/>
  <c r="J139"/>
  <c r="I139"/>
  <c r="K138"/>
  <c r="I138"/>
  <c r="J138" s="1"/>
  <c r="K137"/>
  <c r="J137"/>
  <c r="I137"/>
  <c r="K136"/>
  <c r="J136"/>
  <c r="I136"/>
  <c r="K135"/>
  <c r="I135"/>
  <c r="J135" s="1"/>
  <c r="K134"/>
  <c r="I134"/>
  <c r="J134" s="1"/>
  <c r="K133"/>
  <c r="J133"/>
  <c r="I133"/>
  <c r="K132"/>
  <c r="I132"/>
  <c r="J132" s="1"/>
  <c r="K131"/>
  <c r="I131"/>
  <c r="J131" s="1"/>
  <c r="K130"/>
  <c r="I130"/>
  <c r="J130" s="1"/>
  <c r="K129"/>
  <c r="J129"/>
  <c r="I129"/>
  <c r="K128"/>
  <c r="J128"/>
  <c r="I128"/>
  <c r="K127"/>
  <c r="I127"/>
  <c r="J127" s="1"/>
  <c r="K126"/>
  <c r="I126"/>
  <c r="J126" s="1"/>
  <c r="K125"/>
  <c r="I125"/>
  <c r="J125" s="1"/>
  <c r="K124"/>
  <c r="I124"/>
  <c r="J124" s="1"/>
  <c r="K123"/>
  <c r="J123"/>
  <c r="I123"/>
  <c r="K122"/>
  <c r="I122"/>
  <c r="J122" s="1"/>
  <c r="K121"/>
  <c r="J121"/>
  <c r="I121"/>
  <c r="K120"/>
  <c r="I120"/>
  <c r="J120" s="1"/>
  <c r="K119"/>
  <c r="I119"/>
  <c r="J119" s="1"/>
  <c r="K118"/>
  <c r="I118"/>
  <c r="J118" s="1"/>
  <c r="K117"/>
  <c r="I117"/>
  <c r="J117" s="1"/>
  <c r="K116"/>
  <c r="I116"/>
  <c r="J116" s="1"/>
  <c r="K115"/>
  <c r="J115"/>
  <c r="I115"/>
  <c r="K114"/>
  <c r="I114"/>
  <c r="J114" s="1"/>
  <c r="K113"/>
  <c r="J113"/>
  <c r="I113"/>
  <c r="K112"/>
  <c r="I112"/>
  <c r="J112" s="1"/>
  <c r="K111"/>
  <c r="I111"/>
  <c r="J111" s="1"/>
  <c r="K110"/>
  <c r="I110"/>
  <c r="J110" s="1"/>
  <c r="K109"/>
  <c r="J109"/>
  <c r="I109"/>
  <c r="K108"/>
  <c r="I108"/>
  <c r="J108" s="1"/>
  <c r="K107"/>
  <c r="I107"/>
  <c r="J107" s="1"/>
  <c r="K106"/>
  <c r="I106"/>
  <c r="J106" s="1"/>
  <c r="K105"/>
  <c r="J105"/>
  <c r="I105"/>
  <c r="K104"/>
  <c r="I104"/>
  <c r="J104" s="1"/>
  <c r="K103"/>
  <c r="I103"/>
  <c r="J103" s="1"/>
  <c r="K102"/>
  <c r="I102"/>
  <c r="J102" s="1"/>
  <c r="K101"/>
  <c r="J101"/>
  <c r="I101"/>
  <c r="K100"/>
  <c r="I100"/>
  <c r="J100" s="1"/>
  <c r="K99"/>
  <c r="J99"/>
  <c r="I99"/>
  <c r="K98"/>
  <c r="I98"/>
  <c r="J98" s="1"/>
  <c r="K97"/>
  <c r="I97"/>
  <c r="J97" s="1"/>
  <c r="K96"/>
  <c r="J96"/>
  <c r="I96"/>
  <c r="K95"/>
  <c r="I95"/>
  <c r="J95" s="1"/>
  <c r="K94"/>
  <c r="I94"/>
  <c r="J94" s="1"/>
  <c r="K93"/>
  <c r="J93"/>
  <c r="I93"/>
  <c r="K92"/>
  <c r="I92"/>
  <c r="J92" s="1"/>
  <c r="K91"/>
  <c r="I91"/>
  <c r="J91" s="1"/>
  <c r="K90"/>
  <c r="I90"/>
  <c r="J90" s="1"/>
  <c r="K89"/>
  <c r="J89"/>
  <c r="I89"/>
  <c r="K88"/>
  <c r="I88"/>
  <c r="J88" s="1"/>
  <c r="K87"/>
  <c r="I87"/>
  <c r="J87" s="1"/>
  <c r="K86"/>
  <c r="J86"/>
  <c r="I86"/>
  <c r="K85"/>
  <c r="I85"/>
  <c r="J85" s="1"/>
  <c r="K84"/>
  <c r="I84"/>
  <c r="J84" s="1"/>
  <c r="K83"/>
  <c r="J83"/>
  <c r="I83"/>
  <c r="K82"/>
  <c r="I82"/>
  <c r="J82" s="1"/>
  <c r="K81"/>
  <c r="J81"/>
  <c r="I81"/>
  <c r="K80"/>
  <c r="I80"/>
  <c r="J80" s="1"/>
  <c r="K79"/>
  <c r="I79"/>
  <c r="J79" s="1"/>
  <c r="K78"/>
  <c r="I78"/>
  <c r="J78" s="1"/>
  <c r="K77"/>
  <c r="I77"/>
  <c r="J77" s="1"/>
  <c r="K76"/>
  <c r="I76"/>
  <c r="J76" s="1"/>
  <c r="K75"/>
  <c r="I75"/>
  <c r="J75" s="1"/>
  <c r="K74"/>
  <c r="I74"/>
  <c r="J74" s="1"/>
  <c r="K73"/>
  <c r="J73"/>
  <c r="I73"/>
  <c r="K72"/>
  <c r="I72"/>
  <c r="J72" s="1"/>
  <c r="K71"/>
  <c r="J71"/>
  <c r="I71"/>
  <c r="K70"/>
  <c r="I70"/>
  <c r="J70" s="1"/>
  <c r="K69"/>
  <c r="I69"/>
  <c r="J69" s="1"/>
  <c r="K68"/>
  <c r="I68"/>
  <c r="J68" s="1"/>
  <c r="K67"/>
  <c r="J67"/>
  <c r="I67"/>
  <c r="K66"/>
  <c r="I66"/>
  <c r="J66" s="1"/>
  <c r="K65"/>
  <c r="J65"/>
  <c r="I65"/>
  <c r="K64"/>
  <c r="I64"/>
  <c r="J64" s="1"/>
  <c r="K63"/>
  <c r="I63"/>
  <c r="J63" s="1"/>
  <c r="K62"/>
  <c r="J62"/>
  <c r="I62"/>
  <c r="K61"/>
  <c r="I61"/>
  <c r="J61" s="1"/>
  <c r="K60"/>
  <c r="I60"/>
  <c r="J60" s="1"/>
  <c r="K59"/>
  <c r="J59"/>
  <c r="I59"/>
  <c r="K58"/>
  <c r="I58"/>
  <c r="J58" s="1"/>
  <c r="K57"/>
  <c r="I57"/>
  <c r="J57" s="1"/>
  <c r="K56"/>
  <c r="J56"/>
  <c r="I56"/>
  <c r="K55"/>
  <c r="I55"/>
  <c r="J55" s="1"/>
  <c r="K54"/>
  <c r="J54"/>
  <c r="I54"/>
  <c r="K53"/>
  <c r="I53"/>
  <c r="J53" s="1"/>
  <c r="K52"/>
  <c r="I52"/>
  <c r="J52" s="1"/>
  <c r="K51"/>
  <c r="J51"/>
  <c r="I51"/>
  <c r="K50"/>
  <c r="I50"/>
  <c r="J50" s="1"/>
  <c r="K49"/>
  <c r="I49"/>
  <c r="J49" s="1"/>
  <c r="K48"/>
  <c r="J48"/>
  <c r="I48"/>
  <c r="K47"/>
  <c r="I47"/>
  <c r="J47" s="1"/>
  <c r="K46"/>
  <c r="J46"/>
  <c r="I46"/>
  <c r="K45"/>
  <c r="J45"/>
  <c r="I45"/>
  <c r="K44"/>
  <c r="I44"/>
  <c r="J44" s="1"/>
  <c r="K43"/>
  <c r="J43"/>
  <c r="I43"/>
  <c r="K42"/>
  <c r="I42"/>
  <c r="J42" s="1"/>
  <c r="K41"/>
  <c r="I41"/>
  <c r="J41" s="1"/>
  <c r="K40"/>
  <c r="J40"/>
  <c r="I40"/>
  <c r="K39"/>
  <c r="I39"/>
  <c r="J39" s="1"/>
  <c r="K38"/>
  <c r="I38"/>
  <c r="J38" s="1"/>
  <c r="K37"/>
  <c r="J37"/>
  <c r="I37"/>
  <c r="K36"/>
  <c r="I36"/>
  <c r="J36" s="1"/>
  <c r="K35"/>
  <c r="J35"/>
  <c r="I35"/>
  <c r="K34"/>
  <c r="J34"/>
  <c r="I34"/>
  <c r="K33"/>
  <c r="I33"/>
  <c r="J33" s="1"/>
  <c r="K32"/>
  <c r="J32"/>
  <c r="I32"/>
  <c r="K31"/>
  <c r="I31"/>
  <c r="J31" s="1"/>
  <c r="K30"/>
  <c r="I30"/>
  <c r="J30" s="1"/>
  <c r="K29"/>
  <c r="J29"/>
  <c r="I29"/>
  <c r="K28"/>
  <c r="I28"/>
  <c r="J28" s="1"/>
  <c r="K27"/>
  <c r="I27"/>
  <c r="J27" s="1"/>
  <c r="K26"/>
  <c r="I26"/>
  <c r="J26" s="1"/>
  <c r="K25"/>
  <c r="I25"/>
  <c r="J25" s="1"/>
  <c r="K24"/>
  <c r="I24"/>
  <c r="J24" s="1"/>
  <c r="K23"/>
  <c r="I23"/>
  <c r="J23" s="1"/>
  <c r="K22"/>
  <c r="J22"/>
  <c r="I22"/>
  <c r="K21"/>
  <c r="I21"/>
  <c r="J21" s="1"/>
  <c r="K20"/>
  <c r="I20"/>
  <c r="J20" s="1"/>
  <c r="K19"/>
  <c r="I19"/>
  <c r="J19" s="1"/>
  <c r="K18"/>
  <c r="I18"/>
  <c r="J18" s="1"/>
  <c r="K17"/>
  <c r="I17"/>
  <c r="J17" s="1"/>
  <c r="K16"/>
  <c r="I16"/>
  <c r="J16" s="1"/>
  <c r="K15"/>
  <c r="I15"/>
  <c r="J15" s="1"/>
  <c r="K14"/>
  <c r="I14"/>
  <c r="J14" s="1"/>
  <c r="K13"/>
  <c r="I13"/>
  <c r="K12"/>
  <c r="I12"/>
  <c r="K11"/>
  <c r="I11"/>
  <c r="K10"/>
  <c r="I10"/>
  <c r="K9"/>
  <c r="I9"/>
  <c r="K8"/>
  <c r="I8"/>
  <c r="K7"/>
  <c r="I7"/>
  <c r="K6"/>
  <c r="I6"/>
  <c r="K5"/>
  <c r="D14" i="1" l="1"/>
  <c r="M7" i="2"/>
  <c r="M6" s="1"/>
  <c r="O10"/>
  <c r="P7"/>
  <c r="O6"/>
  <c r="C6"/>
  <c r="G6" s="1"/>
  <c r="D5"/>
  <c r="J4"/>
  <c r="J5" l="1"/>
  <c r="C7"/>
  <c r="G7" s="1"/>
  <c r="D6"/>
  <c r="J6" l="1"/>
  <c r="C8"/>
  <c r="G8" s="1"/>
  <c r="D7"/>
  <c r="J7" l="1"/>
  <c r="D8"/>
  <c r="C9"/>
  <c r="G9" s="1"/>
  <c r="J8" l="1"/>
  <c r="C10"/>
  <c r="G10" s="1"/>
  <c r="D9"/>
  <c r="J9" s="1"/>
  <c r="C11" l="1"/>
  <c r="G11" s="1"/>
  <c r="D10"/>
  <c r="J10"/>
  <c r="C12" l="1"/>
  <c r="G12" s="1"/>
  <c r="D11"/>
  <c r="J11"/>
  <c r="C13" l="1"/>
  <c r="G13" s="1"/>
  <c r="D12"/>
  <c r="J12" s="1"/>
  <c r="D13" l="1"/>
  <c r="J13" s="1"/>
  <c r="C14"/>
  <c r="G14" s="1"/>
  <c r="D14" l="1"/>
  <c r="C15"/>
  <c r="G15" s="1"/>
  <c r="D15" l="1"/>
  <c r="C16"/>
  <c r="G16" s="1"/>
  <c r="C17" l="1"/>
  <c r="G17" s="1"/>
  <c r="D16"/>
  <c r="D17" l="1"/>
  <c r="C18"/>
  <c r="G18" s="1"/>
  <c r="D18" l="1"/>
  <c r="C19"/>
  <c r="G19" s="1"/>
  <c r="C20" l="1"/>
  <c r="G20" s="1"/>
  <c r="D19"/>
  <c r="C21" l="1"/>
  <c r="G21" s="1"/>
  <c r="D20"/>
  <c r="C22" l="1"/>
  <c r="G22" s="1"/>
  <c r="D21"/>
  <c r="C23" l="1"/>
  <c r="G23" s="1"/>
  <c r="D22"/>
  <c r="C24" l="1"/>
  <c r="G24" s="1"/>
  <c r="D23"/>
  <c r="C25" l="1"/>
  <c r="G25" s="1"/>
  <c r="D24"/>
  <c r="D25" l="1"/>
  <c r="C26"/>
  <c r="G26" s="1"/>
  <c r="C27" l="1"/>
  <c r="G27" s="1"/>
  <c r="D26"/>
  <c r="D27" l="1"/>
  <c r="C28"/>
  <c r="G28" s="1"/>
  <c r="C29" l="1"/>
  <c r="G29" s="1"/>
  <c r="D28"/>
  <c r="D29" l="1"/>
  <c r="C30"/>
  <c r="G30" s="1"/>
  <c r="C31" l="1"/>
  <c r="G31" s="1"/>
  <c r="D30"/>
  <c r="C32" l="1"/>
  <c r="G32" s="1"/>
  <c r="D31"/>
  <c r="D32" l="1"/>
  <c r="C33"/>
  <c r="G33" s="1"/>
  <c r="D33" l="1"/>
  <c r="C34"/>
  <c r="G34" s="1"/>
  <c r="D34" l="1"/>
  <c r="C35"/>
  <c r="G35" s="1"/>
  <c r="D35" l="1"/>
  <c r="C36"/>
  <c r="G36" s="1"/>
  <c r="D36" l="1"/>
  <c r="C37"/>
  <c r="G37" s="1"/>
  <c r="C38" l="1"/>
  <c r="G38" s="1"/>
  <c r="D37"/>
  <c r="D38" l="1"/>
  <c r="C39"/>
  <c r="G39" s="1"/>
  <c r="D39" l="1"/>
  <c r="C40"/>
  <c r="G40" s="1"/>
  <c r="D40" l="1"/>
  <c r="C41"/>
  <c r="G41" s="1"/>
  <c r="D41" l="1"/>
  <c r="C42"/>
  <c r="G42" s="1"/>
  <c r="D42" l="1"/>
  <c r="C43"/>
  <c r="G43" s="1"/>
  <c r="C44" l="1"/>
  <c r="G44" s="1"/>
  <c r="D43"/>
  <c r="C45" l="1"/>
  <c r="G45" s="1"/>
  <c r="D44"/>
  <c r="D45" l="1"/>
  <c r="C46"/>
  <c r="G46" s="1"/>
  <c r="D46" l="1"/>
  <c r="C47"/>
  <c r="G47" s="1"/>
  <c r="C48" l="1"/>
  <c r="G48" s="1"/>
  <c r="D47"/>
  <c r="C49" l="1"/>
  <c r="G49" s="1"/>
  <c r="D48"/>
  <c r="D49" l="1"/>
  <c r="C50"/>
  <c r="G50" s="1"/>
  <c r="D50" l="1"/>
  <c r="C51"/>
  <c r="G51" s="1"/>
  <c r="C52" l="1"/>
  <c r="G52" s="1"/>
  <c r="D51"/>
  <c r="C53" l="1"/>
  <c r="G53" s="1"/>
  <c r="D52"/>
  <c r="C54" l="1"/>
  <c r="G54" s="1"/>
  <c r="D53"/>
  <c r="D54" l="1"/>
  <c r="C55"/>
  <c r="G55" s="1"/>
  <c r="C56" l="1"/>
  <c r="G56" s="1"/>
  <c r="D55"/>
  <c r="C57" l="1"/>
  <c r="G57" s="1"/>
  <c r="D56"/>
  <c r="D57" l="1"/>
  <c r="C58"/>
  <c r="G58" s="1"/>
  <c r="C59" l="1"/>
  <c r="G59" s="1"/>
  <c r="D58"/>
  <c r="D59" l="1"/>
  <c r="C60"/>
  <c r="G60" s="1"/>
  <c r="D60" l="1"/>
  <c r="C61"/>
  <c r="G61" s="1"/>
  <c r="C62" l="1"/>
  <c r="G62" s="1"/>
  <c r="D61"/>
  <c r="D62" l="1"/>
  <c r="C63"/>
  <c r="G63" s="1"/>
  <c r="C64" l="1"/>
  <c r="G64" s="1"/>
  <c r="D63"/>
  <c r="C65" l="1"/>
  <c r="G65" s="1"/>
  <c r="D64"/>
  <c r="C66" l="1"/>
  <c r="G66" s="1"/>
  <c r="D65"/>
  <c r="C67" l="1"/>
  <c r="G67" s="1"/>
  <c r="D66"/>
  <c r="D67" l="1"/>
  <c r="C68"/>
  <c r="G68" s="1"/>
  <c r="C69" l="1"/>
  <c r="G69" s="1"/>
  <c r="D68"/>
  <c r="C70" l="1"/>
  <c r="G70" s="1"/>
  <c r="D69"/>
  <c r="D70" l="1"/>
  <c r="C71"/>
  <c r="G71" s="1"/>
  <c r="D71" l="1"/>
  <c r="C72"/>
  <c r="G72" s="1"/>
  <c r="D72" l="1"/>
  <c r="C73"/>
  <c r="G73" s="1"/>
  <c r="D73" l="1"/>
  <c r="C74"/>
  <c r="G74" s="1"/>
  <c r="D74" l="1"/>
  <c r="C75"/>
  <c r="G75" s="1"/>
  <c r="D75" l="1"/>
  <c r="C76"/>
  <c r="G76" s="1"/>
  <c r="C77" l="1"/>
  <c r="G77" s="1"/>
  <c r="D76"/>
  <c r="C78" l="1"/>
  <c r="G78" s="1"/>
  <c r="D77"/>
  <c r="D78" l="1"/>
  <c r="C79"/>
  <c r="G79" s="1"/>
  <c r="C80" l="1"/>
  <c r="G80" s="1"/>
  <c r="D79"/>
  <c r="D80" l="1"/>
  <c r="C81"/>
  <c r="G81" s="1"/>
  <c r="C82" l="1"/>
  <c r="G82" s="1"/>
  <c r="D81"/>
  <c r="D82" l="1"/>
  <c r="C83"/>
  <c r="G83" s="1"/>
  <c r="D83" l="1"/>
  <c r="C84"/>
  <c r="G84" s="1"/>
  <c r="C85" l="1"/>
  <c r="G85" s="1"/>
  <c r="D84"/>
  <c r="C86" l="1"/>
  <c r="G86" s="1"/>
  <c r="D85"/>
  <c r="D86" l="1"/>
  <c r="C87"/>
  <c r="G87" s="1"/>
  <c r="D87" l="1"/>
  <c r="C88"/>
  <c r="G88" s="1"/>
  <c r="C89" l="1"/>
  <c r="G89" s="1"/>
  <c r="D88"/>
  <c r="C90" l="1"/>
  <c r="G90" s="1"/>
  <c r="D89"/>
  <c r="D90" l="1"/>
  <c r="C91"/>
  <c r="G91" s="1"/>
  <c r="C92" l="1"/>
  <c r="G92" s="1"/>
  <c r="D91"/>
  <c r="C93" l="1"/>
  <c r="G93" s="1"/>
  <c r="D92"/>
  <c r="C94" l="1"/>
  <c r="G94" s="1"/>
  <c r="D93"/>
  <c r="C95" l="1"/>
  <c r="G95" s="1"/>
  <c r="D94"/>
  <c r="C96" l="1"/>
  <c r="G96" s="1"/>
  <c r="D95"/>
  <c r="D96" l="1"/>
  <c r="C97"/>
  <c r="G97" s="1"/>
  <c r="C98" l="1"/>
  <c r="G98" s="1"/>
  <c r="D97"/>
  <c r="C99" l="1"/>
  <c r="G99" s="1"/>
  <c r="D98"/>
  <c r="C100" l="1"/>
  <c r="G100" s="1"/>
  <c r="D99"/>
  <c r="C101" l="1"/>
  <c r="G101" s="1"/>
  <c r="D100"/>
  <c r="C102" l="1"/>
  <c r="G102" s="1"/>
  <c r="D101"/>
  <c r="D102" l="1"/>
  <c r="C103"/>
  <c r="G103" s="1"/>
  <c r="C104" l="1"/>
  <c r="G104" s="1"/>
  <c r="D103"/>
  <c r="D104" l="1"/>
  <c r="C105"/>
  <c r="G105" s="1"/>
  <c r="D105" l="1"/>
  <c r="C106"/>
  <c r="G106" s="1"/>
  <c r="C107" l="1"/>
  <c r="G107" s="1"/>
  <c r="D106"/>
  <c r="C108" l="1"/>
  <c r="G108" s="1"/>
  <c r="D107"/>
  <c r="D108" l="1"/>
  <c r="C109"/>
  <c r="G109" s="1"/>
  <c r="C110" l="1"/>
  <c r="G110" s="1"/>
  <c r="D109"/>
  <c r="C111" l="1"/>
  <c r="G111" s="1"/>
  <c r="D110"/>
  <c r="C112" l="1"/>
  <c r="G112" s="1"/>
  <c r="D111"/>
  <c r="D112" l="1"/>
  <c r="C113"/>
  <c r="G113" s="1"/>
  <c r="C114" l="1"/>
  <c r="G114" s="1"/>
  <c r="D113"/>
  <c r="C115" l="1"/>
  <c r="G115" s="1"/>
  <c r="D114"/>
  <c r="C116" l="1"/>
  <c r="G116" s="1"/>
  <c r="D115"/>
  <c r="D116" l="1"/>
  <c r="C117"/>
  <c r="G117" s="1"/>
  <c r="C118" l="1"/>
  <c r="G118" s="1"/>
  <c r="D117"/>
  <c r="C119" l="1"/>
  <c r="G119" s="1"/>
  <c r="D118"/>
  <c r="C120" l="1"/>
  <c r="G120" s="1"/>
  <c r="D119"/>
  <c r="C121" l="1"/>
  <c r="G121" s="1"/>
  <c r="D120"/>
  <c r="D121" l="1"/>
  <c r="C122"/>
  <c r="G122" s="1"/>
  <c r="C123" l="1"/>
  <c r="G123" s="1"/>
  <c r="D122"/>
  <c r="C124" l="1"/>
  <c r="G124" s="1"/>
  <c r="D123"/>
  <c r="C125" l="1"/>
  <c r="G125" s="1"/>
  <c r="D124"/>
  <c r="C126" l="1"/>
  <c r="G126" s="1"/>
  <c r="D125"/>
  <c r="C127" l="1"/>
  <c r="G127" s="1"/>
  <c r="D126"/>
  <c r="C128" l="1"/>
  <c r="G128" s="1"/>
  <c r="D127"/>
  <c r="C129" l="1"/>
  <c r="G129" s="1"/>
  <c r="D128"/>
  <c r="C130" l="1"/>
  <c r="G130" s="1"/>
  <c r="D129"/>
  <c r="C131" l="1"/>
  <c r="G131" s="1"/>
  <c r="D130"/>
  <c r="C132" l="1"/>
  <c r="G132" s="1"/>
  <c r="D131"/>
  <c r="D132" l="1"/>
  <c r="C133"/>
  <c r="G133" s="1"/>
  <c r="C134" l="1"/>
  <c r="G134" s="1"/>
  <c r="D133"/>
  <c r="C135" l="1"/>
  <c r="G135" s="1"/>
  <c r="D134"/>
  <c r="D135" l="1"/>
  <c r="C136"/>
  <c r="G136" s="1"/>
  <c r="C137" l="1"/>
  <c r="G137" s="1"/>
  <c r="D136"/>
  <c r="C138" l="1"/>
  <c r="G138" s="1"/>
  <c r="D137"/>
  <c r="C139" l="1"/>
  <c r="G139" s="1"/>
  <c r="D138"/>
  <c r="C140" l="1"/>
  <c r="G140" s="1"/>
  <c r="D139"/>
  <c r="C141" l="1"/>
  <c r="G141" s="1"/>
  <c r="D140"/>
  <c r="C142" l="1"/>
  <c r="G142" s="1"/>
  <c r="D141"/>
  <c r="C143" l="1"/>
  <c r="G143" s="1"/>
  <c r="D142"/>
  <c r="C144" l="1"/>
  <c r="G144" s="1"/>
  <c r="D143"/>
  <c r="C145" l="1"/>
  <c r="G145" s="1"/>
  <c r="D144"/>
  <c r="C146" l="1"/>
  <c r="G146" s="1"/>
  <c r="D145"/>
  <c r="C147" l="1"/>
  <c r="G147" s="1"/>
  <c r="D146"/>
  <c r="C148" l="1"/>
  <c r="G148" s="1"/>
  <c r="D147"/>
  <c r="C149" l="1"/>
  <c r="G149" s="1"/>
  <c r="D148"/>
  <c r="D149" l="1"/>
  <c r="C150"/>
  <c r="G150" s="1"/>
  <c r="C151" l="1"/>
  <c r="G151" s="1"/>
  <c r="D150"/>
  <c r="C152" l="1"/>
  <c r="G152" s="1"/>
  <c r="D151"/>
  <c r="C153" l="1"/>
  <c r="G153" s="1"/>
  <c r="D152"/>
  <c r="C154" l="1"/>
  <c r="G154" s="1"/>
  <c r="D153"/>
  <c r="C155" l="1"/>
  <c r="G155" s="1"/>
  <c r="D154"/>
  <c r="C156" l="1"/>
  <c r="G156" s="1"/>
  <c r="D155"/>
  <c r="D156" l="1"/>
  <c r="C157"/>
  <c r="G157" s="1"/>
  <c r="D157" l="1"/>
  <c r="C158"/>
  <c r="G158" s="1"/>
  <c r="C159" l="1"/>
  <c r="G159" s="1"/>
  <c r="D158"/>
  <c r="C160" l="1"/>
  <c r="G160" s="1"/>
  <c r="D159"/>
  <c r="D160" l="1"/>
  <c r="C161"/>
  <c r="G161" s="1"/>
  <c r="D161" l="1"/>
  <c r="C162"/>
  <c r="G162" s="1"/>
  <c r="C163" l="1"/>
  <c r="G163" s="1"/>
  <c r="D162"/>
  <c r="D163" l="1"/>
  <c r="C164"/>
  <c r="G164" s="1"/>
  <c r="D164" l="1"/>
  <c r="C165"/>
  <c r="G165" s="1"/>
  <c r="D165" l="1"/>
  <c r="C166"/>
  <c r="G166" s="1"/>
  <c r="C167" l="1"/>
  <c r="G167" s="1"/>
  <c r="D166"/>
  <c r="C168" l="1"/>
  <c r="G168" s="1"/>
  <c r="D167"/>
  <c r="C169" l="1"/>
  <c r="G169" s="1"/>
  <c r="D168"/>
  <c r="C170" l="1"/>
  <c r="G170" s="1"/>
  <c r="D169"/>
  <c r="C171" l="1"/>
  <c r="G171" s="1"/>
  <c r="D170"/>
  <c r="D171" l="1"/>
  <c r="C172"/>
  <c r="G172" s="1"/>
  <c r="C173" l="1"/>
  <c r="G173" s="1"/>
  <c r="D172"/>
  <c r="D173" l="1"/>
  <c r="C174"/>
  <c r="G174" s="1"/>
  <c r="C175" l="1"/>
  <c r="G175" s="1"/>
  <c r="D174"/>
  <c r="C176" l="1"/>
  <c r="G176" s="1"/>
  <c r="D175"/>
  <c r="D176" l="1"/>
  <c r="C177"/>
  <c r="G177" s="1"/>
  <c r="C178" l="1"/>
  <c r="G178" s="1"/>
  <c r="D177"/>
  <c r="C179" l="1"/>
  <c r="G179" s="1"/>
  <c r="D178"/>
  <c r="D179" l="1"/>
  <c r="C180"/>
  <c r="G180" s="1"/>
  <c r="D180" l="1"/>
  <c r="C181"/>
  <c r="G181" s="1"/>
  <c r="C182" l="1"/>
  <c r="G182" s="1"/>
  <c r="D181"/>
  <c r="C183" l="1"/>
  <c r="G183" s="1"/>
  <c r="D182"/>
  <c r="C184" l="1"/>
  <c r="G184" s="1"/>
  <c r="D183"/>
  <c r="D184" l="1"/>
  <c r="C185"/>
  <c r="G185" s="1"/>
  <c r="D185" l="1"/>
  <c r="C186"/>
  <c r="G186" s="1"/>
  <c r="D186" l="1"/>
  <c r="C187"/>
  <c r="G187" s="1"/>
  <c r="C188" l="1"/>
  <c r="G188" s="1"/>
  <c r="D187"/>
  <c r="D188" l="1"/>
  <c r="C189"/>
  <c r="G189" s="1"/>
  <c r="C190" l="1"/>
  <c r="G190" s="1"/>
  <c r="D189"/>
  <c r="C191" l="1"/>
  <c r="G191" s="1"/>
  <c r="D190"/>
  <c r="C192" l="1"/>
  <c r="G192" s="1"/>
  <c r="D191"/>
  <c r="C193" l="1"/>
  <c r="G193" s="1"/>
  <c r="D192"/>
  <c r="C194" l="1"/>
  <c r="G194" s="1"/>
  <c r="D193"/>
  <c r="C195" l="1"/>
  <c r="G195" s="1"/>
  <c r="D194"/>
  <c r="C196" l="1"/>
  <c r="G196" s="1"/>
  <c r="D195"/>
  <c r="C197" l="1"/>
  <c r="G197" s="1"/>
  <c r="D196"/>
  <c r="C198" l="1"/>
  <c r="G198" s="1"/>
  <c r="D197"/>
  <c r="D198" l="1"/>
  <c r="C199"/>
  <c r="G199" s="1"/>
  <c r="C200" l="1"/>
  <c r="G200" s="1"/>
  <c r="D199"/>
  <c r="C201" l="1"/>
  <c r="G201" s="1"/>
  <c r="D200"/>
  <c r="D201" l="1"/>
  <c r="C202"/>
  <c r="G202" s="1"/>
  <c r="C203" l="1"/>
  <c r="G203" s="1"/>
  <c r="D202"/>
  <c r="C204" l="1"/>
  <c r="G204" s="1"/>
  <c r="D203"/>
  <c r="C205" l="1"/>
  <c r="G205" s="1"/>
  <c r="D204"/>
  <c r="C206" l="1"/>
  <c r="G206" s="1"/>
  <c r="D205"/>
  <c r="D206" l="1"/>
  <c r="C207"/>
  <c r="G207" s="1"/>
  <c r="C208" l="1"/>
  <c r="G208" s="1"/>
  <c r="D207"/>
  <c r="D208" l="1"/>
  <c r="C209"/>
  <c r="G209" s="1"/>
  <c r="C210" l="1"/>
  <c r="G210" s="1"/>
  <c r="D209"/>
  <c r="C211" l="1"/>
  <c r="G211" s="1"/>
  <c r="D210"/>
  <c r="C212" l="1"/>
  <c r="G212" s="1"/>
  <c r="D211"/>
  <c r="D212" l="1"/>
  <c r="C213"/>
  <c r="G213" s="1"/>
  <c r="C214" l="1"/>
  <c r="G214" s="1"/>
  <c r="D213"/>
  <c r="C215" l="1"/>
  <c r="G215" s="1"/>
  <c r="D214"/>
  <c r="D215" l="1"/>
  <c r="C216"/>
  <c r="G216" s="1"/>
  <c r="D216" l="1"/>
  <c r="C217"/>
  <c r="G217" s="1"/>
  <c r="C218" l="1"/>
  <c r="G218" s="1"/>
  <c r="D217"/>
  <c r="D218" l="1"/>
  <c r="C219"/>
  <c r="G219" s="1"/>
  <c r="C220" l="1"/>
  <c r="G220" s="1"/>
  <c r="D219"/>
  <c r="C221" l="1"/>
  <c r="G221" s="1"/>
  <c r="D220"/>
  <c r="C222" l="1"/>
  <c r="G222" s="1"/>
  <c r="D221"/>
  <c r="D222" l="1"/>
  <c r="C223"/>
  <c r="G223" s="1"/>
  <c r="C224" l="1"/>
  <c r="G224" s="1"/>
  <c r="D223"/>
  <c r="D224" l="1"/>
  <c r="C225"/>
  <c r="G225" s="1"/>
  <c r="C226" l="1"/>
  <c r="G226" s="1"/>
  <c r="D225"/>
  <c r="C227" l="1"/>
  <c r="G227" s="1"/>
  <c r="D226"/>
  <c r="D227" l="1"/>
  <c r="C228"/>
  <c r="G228" s="1"/>
  <c r="C229" l="1"/>
  <c r="G229" s="1"/>
  <c r="D228"/>
  <c r="C230" l="1"/>
  <c r="G230" s="1"/>
  <c r="D229"/>
  <c r="C231" l="1"/>
  <c r="G231" s="1"/>
  <c r="D230"/>
  <c r="C232" l="1"/>
  <c r="G232" s="1"/>
  <c r="D231"/>
  <c r="C233" l="1"/>
  <c r="G233" s="1"/>
  <c r="D232"/>
  <c r="C234" l="1"/>
  <c r="G234" s="1"/>
  <c r="D233"/>
  <c r="C235" l="1"/>
  <c r="G235" s="1"/>
  <c r="D234"/>
  <c r="C236" l="1"/>
  <c r="G236" s="1"/>
  <c r="D235"/>
  <c r="D236" l="1"/>
  <c r="C237"/>
  <c r="G237" s="1"/>
  <c r="C238" l="1"/>
  <c r="G238" s="1"/>
  <c r="D237"/>
  <c r="C239" l="1"/>
  <c r="G239" s="1"/>
  <c r="D238"/>
  <c r="C240" l="1"/>
  <c r="G240" s="1"/>
  <c r="D239"/>
  <c r="D240" l="1"/>
  <c r="C241"/>
  <c r="G241" s="1"/>
  <c r="C242" l="1"/>
  <c r="G242" s="1"/>
  <c r="D241"/>
  <c r="C243" l="1"/>
  <c r="G243" s="1"/>
  <c r="D242"/>
  <c r="C244" l="1"/>
  <c r="G244" s="1"/>
  <c r="D243"/>
  <c r="C245" l="1"/>
  <c r="G245" s="1"/>
  <c r="D244"/>
  <c r="C246" l="1"/>
  <c r="G246" s="1"/>
  <c r="D245"/>
  <c r="C247" l="1"/>
  <c r="G247" s="1"/>
  <c r="D246"/>
  <c r="C248" l="1"/>
  <c r="G248" s="1"/>
  <c r="D247"/>
  <c r="C249" l="1"/>
  <c r="G249" s="1"/>
  <c r="D248"/>
  <c r="C250" l="1"/>
  <c r="G250" s="1"/>
  <c r="D249"/>
  <c r="D250" l="1"/>
  <c r="C251"/>
  <c r="G251" s="1"/>
  <c r="C252" l="1"/>
  <c r="G252" s="1"/>
  <c r="D251"/>
  <c r="C253" l="1"/>
  <c r="G253" s="1"/>
  <c r="D252"/>
  <c r="D253" l="1"/>
  <c r="C254"/>
  <c r="G254" s="1"/>
  <c r="C255" l="1"/>
  <c r="G255" s="1"/>
  <c r="D254"/>
  <c r="C256" l="1"/>
  <c r="G256" s="1"/>
  <c r="D255"/>
  <c r="C257" l="1"/>
  <c r="G257" s="1"/>
  <c r="D256"/>
  <c r="C258" l="1"/>
  <c r="G258" s="1"/>
  <c r="D257"/>
  <c r="D258" l="1"/>
  <c r="C259"/>
  <c r="G259" s="1"/>
  <c r="C260" l="1"/>
  <c r="G260" s="1"/>
  <c r="D259"/>
  <c r="C261" l="1"/>
  <c r="G261" s="1"/>
  <c r="D260"/>
  <c r="C262" l="1"/>
  <c r="G262" s="1"/>
  <c r="D261"/>
  <c r="C263" l="1"/>
  <c r="G263" s="1"/>
  <c r="D262"/>
  <c r="D263" l="1"/>
  <c r="C264"/>
  <c r="G264" s="1"/>
  <c r="D264" l="1"/>
  <c r="C265"/>
  <c r="G265" s="1"/>
  <c r="C266" l="1"/>
  <c r="G266" s="1"/>
  <c r="D265"/>
  <c r="C267" l="1"/>
  <c r="G267" s="1"/>
  <c r="D266"/>
  <c r="C268" l="1"/>
  <c r="G268" s="1"/>
  <c r="D267"/>
  <c r="D268" l="1"/>
  <c r="C269"/>
  <c r="G269" s="1"/>
  <c r="C270" l="1"/>
  <c r="G270" s="1"/>
  <c r="D269"/>
  <c r="C271" l="1"/>
  <c r="G271" s="1"/>
  <c r="D270"/>
  <c r="C272" l="1"/>
  <c r="G272" s="1"/>
  <c r="D271"/>
  <c r="C273" l="1"/>
  <c r="G273" s="1"/>
  <c r="D272"/>
  <c r="C274" l="1"/>
  <c r="G274" s="1"/>
  <c r="D273"/>
  <c r="C275" l="1"/>
  <c r="G275" s="1"/>
  <c r="D274"/>
  <c r="C276" l="1"/>
  <c r="G276" s="1"/>
  <c r="D275"/>
  <c r="C277" l="1"/>
  <c r="G277" s="1"/>
  <c r="D276"/>
  <c r="D277" l="1"/>
  <c r="C278"/>
  <c r="G278" s="1"/>
  <c r="C279" l="1"/>
  <c r="G279" s="1"/>
  <c r="D278"/>
  <c r="C280" l="1"/>
  <c r="G280" s="1"/>
  <c r="D279"/>
  <c r="C281" l="1"/>
  <c r="G281" s="1"/>
  <c r="D280"/>
  <c r="C282" l="1"/>
  <c r="G282" s="1"/>
  <c r="D281"/>
  <c r="C283" l="1"/>
  <c r="G283" s="1"/>
  <c r="D282"/>
  <c r="C284" l="1"/>
  <c r="G284" s="1"/>
  <c r="D283"/>
  <c r="C285" l="1"/>
  <c r="G285" s="1"/>
  <c r="D284"/>
  <c r="C286" l="1"/>
  <c r="G286" s="1"/>
  <c r="D285"/>
  <c r="C287" l="1"/>
  <c r="G287" s="1"/>
  <c r="D286"/>
  <c r="D287" l="1"/>
  <c r="C288"/>
  <c r="G288" s="1"/>
  <c r="C289" l="1"/>
  <c r="G289" s="1"/>
  <c r="D288"/>
  <c r="C290" l="1"/>
  <c r="G290" s="1"/>
  <c r="D289"/>
  <c r="D290" l="1"/>
  <c r="C291"/>
  <c r="G291" s="1"/>
  <c r="C292" l="1"/>
  <c r="G292" s="1"/>
  <c r="D291"/>
  <c r="D292" l="1"/>
  <c r="C293"/>
  <c r="G293" s="1"/>
  <c r="C294" l="1"/>
  <c r="G294" s="1"/>
  <c r="D293"/>
  <c r="D294" l="1"/>
  <c r="C295"/>
  <c r="G295" s="1"/>
  <c r="C296" l="1"/>
  <c r="G296" s="1"/>
  <c r="D295"/>
  <c r="C297" l="1"/>
  <c r="G297" s="1"/>
  <c r="D296"/>
  <c r="D297" l="1"/>
  <c r="C298"/>
  <c r="G298" s="1"/>
  <c r="D298" l="1"/>
  <c r="C299"/>
  <c r="G299" s="1"/>
  <c r="C300" l="1"/>
  <c r="G300" s="1"/>
  <c r="D299"/>
  <c r="D300" l="1"/>
  <c r="C301"/>
  <c r="G301" s="1"/>
  <c r="C302" l="1"/>
  <c r="G302" s="1"/>
  <c r="D301"/>
  <c r="C303" l="1"/>
  <c r="G303" s="1"/>
  <c r="D302"/>
  <c r="C304" l="1"/>
  <c r="G304" s="1"/>
  <c r="D303"/>
  <c r="D304" l="1"/>
  <c r="C305"/>
  <c r="G305" s="1"/>
  <c r="C306" l="1"/>
  <c r="G306" s="1"/>
  <c r="D305"/>
  <c r="D306" l="1"/>
  <c r="C307"/>
  <c r="G307" s="1"/>
  <c r="C308" l="1"/>
  <c r="G308" s="1"/>
  <c r="D307"/>
  <c r="C309" l="1"/>
  <c r="G309" s="1"/>
  <c r="D308"/>
  <c r="D309" l="1"/>
  <c r="C310"/>
  <c r="G310" s="1"/>
  <c r="C311" l="1"/>
  <c r="G311" s="1"/>
  <c r="D310"/>
  <c r="C312" l="1"/>
  <c r="G312" s="1"/>
  <c r="D311"/>
  <c r="C313" l="1"/>
  <c r="G313" s="1"/>
  <c r="D312"/>
  <c r="C314" l="1"/>
  <c r="G314" s="1"/>
  <c r="D313"/>
  <c r="C315" l="1"/>
  <c r="G315" s="1"/>
  <c r="D314"/>
  <c r="C316" l="1"/>
  <c r="G316" s="1"/>
  <c r="D315"/>
  <c r="C317" l="1"/>
  <c r="G317" s="1"/>
  <c r="D316"/>
  <c r="D317" l="1"/>
  <c r="C318"/>
  <c r="G318" s="1"/>
  <c r="C319" l="1"/>
  <c r="G319" s="1"/>
  <c r="D318"/>
  <c r="C320" l="1"/>
  <c r="G320" s="1"/>
  <c r="D319"/>
  <c r="D320" l="1"/>
  <c r="C321"/>
  <c r="G321" s="1"/>
  <c r="C322" l="1"/>
  <c r="G322" s="1"/>
  <c r="D321"/>
  <c r="D322" l="1"/>
  <c r="C323"/>
  <c r="G323" s="1"/>
  <c r="D323" l="1"/>
  <c r="C324"/>
  <c r="G324" s="1"/>
  <c r="D324" l="1"/>
  <c r="C325"/>
  <c r="G325" s="1"/>
  <c r="D325" l="1"/>
  <c r="C326"/>
  <c r="G326" s="1"/>
  <c r="C327" l="1"/>
  <c r="G327" s="1"/>
  <c r="D326"/>
  <c r="C328" l="1"/>
  <c r="G328" s="1"/>
  <c r="D327"/>
  <c r="C329" l="1"/>
  <c r="G329" s="1"/>
  <c r="D328"/>
  <c r="D329" l="1"/>
  <c r="C330"/>
  <c r="G330" s="1"/>
  <c r="D330" l="1"/>
  <c r="C331"/>
  <c r="G331" s="1"/>
  <c r="C332" l="1"/>
  <c r="G332" s="1"/>
  <c r="D331"/>
  <c r="C333" l="1"/>
  <c r="G333" s="1"/>
  <c r="D332"/>
  <c r="C334" l="1"/>
  <c r="G334" s="1"/>
  <c r="D333"/>
  <c r="D334" l="1"/>
  <c r="C335"/>
  <c r="G335" s="1"/>
  <c r="C336" l="1"/>
  <c r="G336" s="1"/>
  <c r="D335"/>
  <c r="C337" l="1"/>
  <c r="G337" s="1"/>
  <c r="D336"/>
  <c r="C338" l="1"/>
  <c r="G338" s="1"/>
  <c r="D337"/>
  <c r="D338" l="1"/>
  <c r="C339"/>
  <c r="G339" s="1"/>
  <c r="C340" l="1"/>
  <c r="G340" s="1"/>
  <c r="D339"/>
  <c r="D340" l="1"/>
  <c r="C341"/>
  <c r="G341" s="1"/>
  <c r="D341" l="1"/>
  <c r="C342"/>
  <c r="G342" s="1"/>
  <c r="D342" l="1"/>
  <c r="C343"/>
  <c r="G343" s="1"/>
  <c r="C344" l="1"/>
  <c r="G344" s="1"/>
  <c r="D343"/>
  <c r="D344" l="1"/>
  <c r="C345"/>
  <c r="G345" s="1"/>
  <c r="C346" l="1"/>
  <c r="G346" s="1"/>
  <c r="D345"/>
  <c r="D346" l="1"/>
  <c r="C347"/>
  <c r="G347" s="1"/>
  <c r="C348" l="1"/>
  <c r="G348" s="1"/>
  <c r="D347"/>
  <c r="C349" l="1"/>
  <c r="G349" s="1"/>
  <c r="D348"/>
  <c r="C350" l="1"/>
  <c r="G350" s="1"/>
  <c r="D349"/>
  <c r="D350" l="1"/>
  <c r="C351"/>
  <c r="G351" s="1"/>
  <c r="C352" l="1"/>
  <c r="G352" s="1"/>
  <c r="D351"/>
  <c r="C353" l="1"/>
  <c r="G353" s="1"/>
  <c r="D352"/>
  <c r="C354" l="1"/>
  <c r="G354" s="1"/>
  <c r="D353"/>
  <c r="C355" l="1"/>
  <c r="G355" s="1"/>
  <c r="D354"/>
  <c r="C356" l="1"/>
  <c r="G356" s="1"/>
  <c r="D355"/>
  <c r="D356" l="1"/>
  <c r="C357"/>
  <c r="G357" s="1"/>
  <c r="D357" l="1"/>
  <c r="C358"/>
  <c r="G358" s="1"/>
  <c r="C359" l="1"/>
  <c r="G359" s="1"/>
  <c r="D358"/>
  <c r="C360" l="1"/>
  <c r="G360" s="1"/>
  <c r="D359"/>
  <c r="C361" l="1"/>
  <c r="G361" s="1"/>
  <c r="D360"/>
  <c r="C362" l="1"/>
  <c r="G362" s="1"/>
  <c r="D361"/>
  <c r="C363" l="1"/>
  <c r="G363" s="1"/>
  <c r="D362"/>
  <c r="D363" l="1"/>
  <c r="C364"/>
  <c r="G364" s="1"/>
  <c r="C365" l="1"/>
  <c r="G365" s="1"/>
  <c r="D364"/>
  <c r="C366" l="1"/>
  <c r="G366" s="1"/>
  <c r="D365"/>
  <c r="C367" l="1"/>
  <c r="G367" s="1"/>
  <c r="D366"/>
  <c r="C368" l="1"/>
  <c r="G368" s="1"/>
  <c r="D367"/>
  <c r="N3" l="1"/>
  <c r="D368"/>
  <c r="M10"/>
</calcChain>
</file>

<file path=xl/sharedStrings.xml><?xml version="1.0" encoding="utf-8"?>
<sst xmlns="http://schemas.openxmlformats.org/spreadsheetml/2006/main" count="394" uniqueCount="27">
  <si>
    <t>Configurações</t>
  </si>
  <si>
    <t>Banca Inicial:</t>
  </si>
  <si>
    <t>Meta de Ganho:</t>
  </si>
  <si>
    <t>Lucro Diário:</t>
  </si>
  <si>
    <t>Projeção:</t>
  </si>
  <si>
    <r>
      <t xml:space="preserve">dias para atingir a sua </t>
    </r>
    <r>
      <rPr>
        <b/>
        <sz val="12"/>
        <color theme="8" tint="0.59999389629810485"/>
        <rFont val="Calibri"/>
        <family val="2"/>
        <scheme val="minor"/>
      </rPr>
      <t>Meta de Ganho</t>
    </r>
  </si>
  <si>
    <t>Dia</t>
  </si>
  <si>
    <t>Meta do dia</t>
  </si>
  <si>
    <t>Resultados do Dia</t>
  </si>
  <si>
    <t>Objetivo Financeiro</t>
  </si>
  <si>
    <t>Terminar com</t>
  </si>
  <si>
    <t>Lucro de</t>
  </si>
  <si>
    <t>Entrada(s)</t>
  </si>
  <si>
    <t>Em Caixa</t>
  </si>
  <si>
    <t>Lucro em R$</t>
  </si>
  <si>
    <t>Diferença</t>
  </si>
  <si>
    <t>Lucro em %</t>
  </si>
  <si>
    <t>Faltam</t>
  </si>
  <si>
    <t>Dia(s)</t>
  </si>
  <si>
    <t>em</t>
  </si>
  <si>
    <t>Total de Lucro</t>
  </si>
  <si>
    <t>&gt;</t>
  </si>
  <si>
    <t>Média de Lucro</t>
  </si>
  <si>
    <t>2.</t>
  </si>
  <si>
    <t>3.</t>
  </si>
  <si>
    <t>4.</t>
  </si>
  <si>
    <t>Sugestão de Entrada</t>
  </si>
</sst>
</file>

<file path=xl/styles.xml><?xml version="1.0" encoding="utf-8"?>
<styleSheet xmlns="http://schemas.openxmlformats.org/spreadsheetml/2006/main">
  <numFmts count="5">
    <numFmt numFmtId="164" formatCode="_-&quot;R$&quot;* #,##0.00_-;\-&quot;R$&quot;* #,##0.00_-;_-&quot;R$&quot;* &quot;-&quot;??_-;_-@_-"/>
    <numFmt numFmtId="165" formatCode="&quot;R$&quot;#,##0.00"/>
    <numFmt numFmtId="166" formatCode="_-[$$-409]* #,##0.00_ ;_-[$$-409]* \-#,##0.00\ ;_-[$$-409]* &quot;-&quot;??_ ;_-@_ "/>
    <numFmt numFmtId="167" formatCode="_-[$€-2]\ * #,##0.00_-;\-[$€-2]\ * #,##0.00_-;_-[$€-2]\ * &quot;-&quot;??_-;_-@_-"/>
    <numFmt numFmtId="168" formatCode="_-[$$-F6EFC]* #,##0.00_ ;_-[$$-F6EFC]* \-#,##0.00\ ;_-[$$-F6EFC]* &quot;-&quot;??_ ;_-@_ "/>
  </numFmts>
  <fonts count="3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5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5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8" tint="0.59999389629810485"/>
      <name val="Calibri"/>
      <family val="2"/>
      <scheme val="minor"/>
    </font>
    <font>
      <sz val="12"/>
      <color theme="8" tint="0.59999389629810485"/>
      <name val="Calibri"/>
      <family val="2"/>
      <scheme val="minor"/>
    </font>
    <font>
      <b/>
      <sz val="12"/>
      <color theme="8" tint="0.59999389629810485"/>
      <name val="Calibri"/>
      <family val="2"/>
      <scheme val="minor"/>
    </font>
    <font>
      <sz val="11"/>
      <color theme="8" tint="0.59999389629810485"/>
      <name val="Calibri"/>
      <family val="2"/>
      <scheme val="minor"/>
    </font>
    <font>
      <b/>
      <sz val="14"/>
      <color rgb="FF142340"/>
      <name val="Calibri"/>
      <family val="2"/>
      <scheme val="minor"/>
    </font>
    <font>
      <sz val="11"/>
      <color rgb="FF142340"/>
      <name val="Calibri"/>
      <family val="2"/>
      <scheme val="minor"/>
    </font>
    <font>
      <sz val="9"/>
      <color theme="5"/>
      <name val="Calibri"/>
      <family val="2"/>
      <scheme val="minor"/>
    </font>
    <font>
      <b/>
      <sz val="11"/>
      <color rgb="FF142340"/>
      <name val="Calibri"/>
      <family val="2"/>
      <scheme val="minor"/>
    </font>
    <font>
      <sz val="10"/>
      <color theme="5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0"/>
      <color theme="9"/>
      <name val="Calibri"/>
      <family val="2"/>
      <scheme val="minor"/>
    </font>
    <font>
      <b/>
      <sz val="9"/>
      <color theme="8" tint="0.59999389629810485"/>
      <name val="Calibri"/>
      <family val="2"/>
      <scheme val="minor"/>
    </font>
    <font>
      <b/>
      <sz val="11"/>
      <color theme="8" tint="0.59999389629810485"/>
      <name val="Calibri"/>
      <family val="2"/>
      <scheme val="minor"/>
    </font>
    <font>
      <b/>
      <sz val="10"/>
      <color rgb="FF142340"/>
      <name val="Calibri"/>
      <family val="2"/>
      <scheme val="minor"/>
    </font>
    <font>
      <sz val="9"/>
      <color rgb="FFDF5F5F"/>
      <name val="Calibri"/>
      <family val="2"/>
      <scheme val="minor"/>
    </font>
    <font>
      <sz val="10"/>
      <color theme="9"/>
      <name val="Calibri"/>
      <family val="2"/>
      <scheme val="minor"/>
    </font>
    <font>
      <sz val="10"/>
      <color rgb="FF14234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9"/>
      <color rgb="FF142340"/>
      <name val="Calibri"/>
      <family val="2"/>
      <scheme val="minor"/>
    </font>
    <font>
      <sz val="10"/>
      <color theme="4"/>
      <name val="Calibri"/>
      <family val="2"/>
      <scheme val="minor"/>
    </font>
    <font>
      <sz val="11"/>
      <color theme="4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4234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0E0A2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11">
    <border>
      <left/>
      <right/>
      <top/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/>
      <top/>
      <bottom style="thin">
        <color theme="3"/>
      </bottom>
      <diagonal/>
    </border>
    <border>
      <left/>
      <right/>
      <top/>
      <bottom style="thin">
        <color theme="3"/>
      </bottom>
      <diagonal/>
    </border>
    <border>
      <left style="thin">
        <color theme="3"/>
      </left>
      <right/>
      <top/>
      <bottom/>
      <diagonal/>
    </border>
    <border>
      <left/>
      <right style="thin">
        <color theme="3"/>
      </right>
      <top/>
      <bottom style="thin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/>
      <diagonal/>
    </border>
    <border>
      <left/>
      <right/>
      <top style="thin">
        <color theme="3"/>
      </top>
      <bottom/>
      <diagonal/>
    </border>
    <border>
      <left/>
      <right style="thin">
        <color theme="3"/>
      </right>
      <top/>
      <bottom/>
      <diagonal/>
    </border>
    <border>
      <left style="thin">
        <color theme="3"/>
      </left>
      <right/>
      <top style="thin">
        <color theme="3"/>
      </top>
      <bottom style="thin">
        <color theme="3"/>
      </bottom>
      <diagonal/>
    </border>
    <border>
      <left/>
      <right style="thin">
        <color theme="3"/>
      </right>
      <top style="thin">
        <color theme="3"/>
      </top>
      <bottom style="thin">
        <color theme="3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2">
    <xf numFmtId="0" fontId="0" fillId="0" borderId="0" xfId="0"/>
    <xf numFmtId="0" fontId="0" fillId="2" borderId="0" xfId="0" applyFill="1" applyAlignment="1">
      <alignment vertical="center"/>
    </xf>
    <xf numFmtId="0" fontId="3" fillId="2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6" fillId="2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8" fillId="4" borderId="0" xfId="2" applyNumberFormat="1" applyFont="1" applyFill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0" fontId="11" fillId="4" borderId="0" xfId="0" applyFont="1" applyFill="1" applyAlignment="1">
      <alignment vertical="center"/>
    </xf>
    <xf numFmtId="0" fontId="0" fillId="2" borderId="0" xfId="0" applyFill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165" fontId="6" fillId="2" borderId="0" xfId="1" applyNumberFormat="1" applyFont="1" applyFill="1" applyAlignment="1">
      <alignment horizontal="center" vertical="center"/>
    </xf>
    <xf numFmtId="0" fontId="13" fillId="2" borderId="0" xfId="0" applyFont="1" applyFill="1" applyAlignment="1">
      <alignment vertical="center" wrapText="1"/>
    </xf>
    <xf numFmtId="165" fontId="6" fillId="2" borderId="0" xfId="1" applyNumberFormat="1" applyFont="1" applyFill="1" applyAlignment="1">
      <alignment vertical="center"/>
    </xf>
    <xf numFmtId="0" fontId="15" fillId="2" borderId="0" xfId="0" applyFont="1" applyFill="1" applyBorder="1" applyAlignment="1">
      <alignment vertical="center"/>
    </xf>
    <xf numFmtId="165" fontId="16" fillId="2" borderId="1" xfId="1" applyNumberFormat="1" applyFont="1" applyFill="1" applyBorder="1" applyAlignment="1">
      <alignment horizontal="center" vertical="center"/>
    </xf>
    <xf numFmtId="0" fontId="16" fillId="2" borderId="4" xfId="0" applyFont="1" applyFill="1" applyBorder="1" applyAlignment="1">
      <alignment horizontal="right" vertical="center"/>
    </xf>
    <xf numFmtId="0" fontId="18" fillId="2" borderId="0" xfId="0" applyFont="1" applyFill="1" applyAlignment="1">
      <alignment horizontal="center" vertical="center"/>
    </xf>
    <xf numFmtId="0" fontId="16" fillId="2" borderId="5" xfId="0" applyFont="1" applyFill="1" applyBorder="1" applyAlignment="1">
      <alignment horizontal="left" vertical="center"/>
    </xf>
    <xf numFmtId="0" fontId="6" fillId="2" borderId="7" xfId="0" applyFont="1" applyFill="1" applyBorder="1" applyAlignment="1">
      <alignment vertical="center"/>
    </xf>
    <xf numFmtId="0" fontId="20" fillId="2" borderId="1" xfId="0" applyFont="1" applyFill="1" applyBorder="1" applyAlignment="1">
      <alignment horizontal="center" vertical="center"/>
    </xf>
    <xf numFmtId="0" fontId="16" fillId="2" borderId="0" xfId="0" applyFont="1" applyFill="1" applyAlignment="1">
      <alignment vertical="center"/>
    </xf>
    <xf numFmtId="0" fontId="21" fillId="2" borderId="0" xfId="0" applyFont="1" applyFill="1" applyAlignment="1">
      <alignment horizontal="center" vertical="center"/>
    </xf>
    <xf numFmtId="165" fontId="6" fillId="2" borderId="0" xfId="0" applyNumberFormat="1" applyFont="1" applyFill="1" applyAlignment="1">
      <alignment vertical="center"/>
    </xf>
    <xf numFmtId="10" fontId="6" fillId="2" borderId="0" xfId="2" applyNumberFormat="1" applyFont="1" applyFill="1" applyAlignment="1">
      <alignment vertical="center"/>
    </xf>
    <xf numFmtId="164" fontId="0" fillId="2" borderId="0" xfId="0" applyNumberFormat="1" applyFill="1" applyAlignment="1">
      <alignment vertical="center"/>
    </xf>
    <xf numFmtId="10" fontId="23" fillId="2" borderId="2" xfId="2" applyNumberFormat="1" applyFont="1" applyFill="1" applyBorder="1" applyAlignment="1">
      <alignment horizontal="center" vertical="center"/>
    </xf>
    <xf numFmtId="165" fontId="13" fillId="2" borderId="0" xfId="1" applyNumberFormat="1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vertical="center" wrapText="1"/>
    </xf>
    <xf numFmtId="165" fontId="13" fillId="2" borderId="0" xfId="1" applyNumberFormat="1" applyFont="1" applyFill="1" applyBorder="1" applyAlignment="1">
      <alignment vertical="center"/>
    </xf>
    <xf numFmtId="0" fontId="13" fillId="2" borderId="0" xfId="0" applyFont="1" applyFill="1" applyBorder="1" applyAlignment="1">
      <alignment vertical="center"/>
    </xf>
    <xf numFmtId="165" fontId="24" fillId="2" borderId="0" xfId="1" applyNumberFormat="1" applyFont="1" applyFill="1" applyBorder="1" applyAlignment="1">
      <alignment horizontal="center" vertical="center"/>
    </xf>
    <xf numFmtId="165" fontId="15" fillId="2" borderId="0" xfId="1" applyNumberFormat="1" applyFont="1" applyFill="1" applyBorder="1" applyAlignment="1">
      <alignment horizontal="center" vertical="center"/>
    </xf>
    <xf numFmtId="0" fontId="16" fillId="2" borderId="5" xfId="0" applyNumberFormat="1" applyFont="1" applyFill="1" applyBorder="1" applyAlignment="1">
      <alignment vertical="center"/>
    </xf>
    <xf numFmtId="0" fontId="6" fillId="2" borderId="0" xfId="0" applyFont="1" applyFill="1" applyBorder="1" applyAlignment="1">
      <alignment horizontal="center" vertical="center"/>
    </xf>
    <xf numFmtId="0" fontId="16" fillId="2" borderId="7" xfId="0" applyNumberFormat="1" applyFont="1" applyFill="1" applyBorder="1" applyAlignment="1">
      <alignment vertical="center"/>
    </xf>
    <xf numFmtId="0" fontId="13" fillId="2" borderId="0" xfId="0" applyFont="1" applyFill="1" applyAlignment="1">
      <alignment horizontal="center" vertical="center"/>
    </xf>
    <xf numFmtId="10" fontId="23" fillId="2" borderId="4" xfId="2" applyNumberFormat="1" applyFont="1" applyFill="1" applyBorder="1" applyAlignment="1">
      <alignment vertical="center"/>
    </xf>
    <xf numFmtId="0" fontId="12" fillId="2" borderId="0" xfId="0" applyFont="1" applyFill="1" applyAlignment="1">
      <alignment vertical="center"/>
    </xf>
    <xf numFmtId="0" fontId="2" fillId="2" borderId="0" xfId="0" applyFont="1" applyFill="1" applyAlignment="1">
      <alignment horizontal="right" vertical="center"/>
    </xf>
    <xf numFmtId="166" fontId="0" fillId="2" borderId="0" xfId="0" applyNumberFormat="1" applyFill="1" applyAlignment="1">
      <alignment vertical="center"/>
    </xf>
    <xf numFmtId="167" fontId="0" fillId="2" borderId="0" xfId="0" applyNumberFormat="1" applyFill="1" applyAlignment="1">
      <alignment vertical="center"/>
    </xf>
    <xf numFmtId="167" fontId="6" fillId="2" borderId="0" xfId="0" applyNumberFormat="1" applyFont="1" applyFill="1" applyAlignment="1">
      <alignment vertical="center"/>
    </xf>
    <xf numFmtId="167" fontId="16" fillId="2" borderId="0" xfId="0" applyNumberFormat="1" applyFont="1" applyFill="1" applyAlignment="1">
      <alignment vertical="center"/>
    </xf>
    <xf numFmtId="0" fontId="25" fillId="2" borderId="0" xfId="0" applyFont="1" applyFill="1" applyAlignment="1">
      <alignment vertical="center"/>
    </xf>
    <xf numFmtId="0" fontId="26" fillId="2" borderId="0" xfId="0" applyFont="1" applyFill="1" applyAlignment="1">
      <alignment horizontal="right" vertical="center"/>
    </xf>
    <xf numFmtId="0" fontId="26" fillId="2" borderId="0" xfId="0" applyFont="1" applyFill="1" applyAlignment="1">
      <alignment vertical="center"/>
    </xf>
    <xf numFmtId="0" fontId="0" fillId="2" borderId="0" xfId="0" applyFont="1" applyFill="1" applyAlignment="1">
      <alignment vertical="center"/>
    </xf>
    <xf numFmtId="0" fontId="16" fillId="2" borderId="0" xfId="0" applyFont="1" applyFill="1" applyAlignment="1">
      <alignment horizontal="right" vertical="center"/>
    </xf>
    <xf numFmtId="165" fontId="29" fillId="2" borderId="0" xfId="1" applyNumberFormat="1" applyFont="1" applyFill="1" applyAlignment="1">
      <alignment horizontal="center" vertical="center"/>
    </xf>
    <xf numFmtId="10" fontId="14" fillId="2" borderId="0" xfId="2" applyNumberFormat="1" applyFont="1" applyFill="1" applyAlignment="1">
      <alignment horizontal="left" vertical="center" indent="1"/>
    </xf>
    <xf numFmtId="10" fontId="16" fillId="2" borderId="1" xfId="2" applyNumberFormat="1" applyFont="1" applyFill="1" applyBorder="1" applyAlignment="1">
      <alignment horizontal="center" vertical="center"/>
    </xf>
    <xf numFmtId="10" fontId="22" fillId="2" borderId="6" xfId="2" applyNumberFormat="1" applyFont="1" applyFill="1" applyBorder="1" applyAlignment="1">
      <alignment horizontal="center" vertical="center"/>
    </xf>
    <xf numFmtId="10" fontId="22" fillId="2" borderId="1" xfId="2" applyNumberFormat="1" applyFont="1" applyFill="1" applyBorder="1" applyAlignment="1">
      <alignment horizontal="center" vertical="center"/>
    </xf>
    <xf numFmtId="0" fontId="2" fillId="2" borderId="0" xfId="0" applyFont="1" applyFill="1" applyAlignment="1">
      <alignment vertical="center"/>
    </xf>
    <xf numFmtId="9" fontId="5" fillId="3" borderId="0" xfId="2" applyFont="1" applyFill="1" applyAlignment="1" applyProtection="1">
      <alignment horizontal="center" vertical="center"/>
      <protection locked="0"/>
    </xf>
    <xf numFmtId="165" fontId="16" fillId="3" borderId="1" xfId="1" applyNumberFormat="1" applyFont="1" applyFill="1" applyBorder="1" applyAlignment="1" applyProtection="1">
      <alignment horizontal="center" vertical="center"/>
      <protection locked="0"/>
    </xf>
    <xf numFmtId="168" fontId="11" fillId="2" borderId="1" xfId="1" applyNumberFormat="1" applyFont="1" applyFill="1" applyBorder="1" applyAlignment="1">
      <alignment horizontal="center" vertical="center"/>
    </xf>
    <xf numFmtId="168" fontId="20" fillId="3" borderId="1" xfId="1" applyNumberFormat="1" applyFont="1" applyFill="1" applyBorder="1" applyAlignment="1" applyProtection="1">
      <alignment horizontal="center" vertical="center"/>
      <protection locked="0"/>
    </xf>
    <xf numFmtId="168" fontId="22" fillId="2" borderId="1" xfId="2" applyNumberFormat="1" applyFont="1" applyFill="1" applyBorder="1" applyAlignment="1">
      <alignment horizontal="center" vertical="center"/>
    </xf>
    <xf numFmtId="168" fontId="22" fillId="2" borderId="0" xfId="2" applyNumberFormat="1" applyFont="1" applyFill="1" applyAlignment="1">
      <alignment horizontal="center" vertical="center"/>
    </xf>
    <xf numFmtId="168" fontId="23" fillId="2" borderId="2" xfId="0" applyNumberFormat="1" applyFont="1" applyFill="1" applyBorder="1" applyAlignment="1">
      <alignment horizontal="center" vertical="center"/>
    </xf>
    <xf numFmtId="168" fontId="5" fillId="3" borderId="0" xfId="1" applyNumberFormat="1" applyFont="1" applyFill="1" applyAlignment="1" applyProtection="1">
      <alignment vertical="center"/>
      <protection locked="0"/>
    </xf>
    <xf numFmtId="0" fontId="6" fillId="2" borderId="0" xfId="0" applyFont="1" applyFill="1" applyAlignment="1" applyProtection="1">
      <alignment vertical="center"/>
      <protection locked="0" hidden="1"/>
    </xf>
    <xf numFmtId="165" fontId="29" fillId="2" borderId="0" xfId="1" applyNumberFormat="1" applyFont="1" applyFill="1" applyAlignment="1" applyProtection="1">
      <alignment horizontal="center" vertical="center"/>
      <protection locked="0" hidden="1"/>
    </xf>
    <xf numFmtId="0" fontId="17" fillId="3" borderId="1" xfId="0" applyFont="1" applyFill="1" applyBorder="1" applyAlignment="1" applyProtection="1">
      <alignment horizontal="center" vertical="center"/>
      <protection locked="0" hidden="1"/>
    </xf>
    <xf numFmtId="165" fontId="28" fillId="2" borderId="1" xfId="1" applyNumberFormat="1" applyFont="1" applyFill="1" applyBorder="1" applyAlignment="1" applyProtection="1">
      <alignment horizontal="center" vertical="center"/>
      <protection locked="0" hidden="1"/>
    </xf>
    <xf numFmtId="9" fontId="19" fillId="3" borderId="1" xfId="2" applyFont="1" applyFill="1" applyBorder="1" applyAlignment="1" applyProtection="1">
      <alignment horizontal="center" vertical="center"/>
      <protection locked="0" hidden="1"/>
    </xf>
    <xf numFmtId="168" fontId="28" fillId="2" borderId="1" xfId="1" applyNumberFormat="1" applyFont="1" applyFill="1" applyBorder="1" applyAlignment="1" applyProtection="1">
      <alignment horizontal="center" vertical="center"/>
      <protection locked="0" hidden="1"/>
    </xf>
    <xf numFmtId="0" fontId="15" fillId="6" borderId="4" xfId="0" applyFont="1" applyFill="1" applyBorder="1" applyAlignment="1">
      <alignment horizontal="center" vertical="center"/>
    </xf>
    <xf numFmtId="0" fontId="15" fillId="6" borderId="0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16" fillId="2" borderId="8" xfId="0" applyNumberFormat="1" applyFont="1" applyFill="1" applyBorder="1" applyAlignment="1">
      <alignment horizontal="left" vertical="center"/>
    </xf>
    <xf numFmtId="0" fontId="16" fillId="2" borderId="5" xfId="0" applyNumberFormat="1" applyFont="1" applyFill="1" applyBorder="1" applyAlignment="1">
      <alignment horizontal="left" vertical="center"/>
    </xf>
    <xf numFmtId="0" fontId="15" fillId="5" borderId="1" xfId="0" applyFont="1" applyFill="1" applyBorder="1" applyAlignment="1">
      <alignment horizontal="center" vertical="center"/>
    </xf>
    <xf numFmtId="0" fontId="15" fillId="5" borderId="2" xfId="0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9" xfId="0" applyFont="1" applyFill="1" applyBorder="1" applyAlignment="1">
      <alignment horizontal="center" vertical="center"/>
    </xf>
    <xf numFmtId="0" fontId="15" fillId="5" borderId="10" xfId="0" applyFont="1" applyFill="1" applyBorder="1" applyAlignment="1">
      <alignment horizontal="center" vertical="center"/>
    </xf>
    <xf numFmtId="0" fontId="27" fillId="7" borderId="9" xfId="0" applyFont="1" applyFill="1" applyBorder="1" applyAlignment="1" applyProtection="1">
      <alignment horizontal="center" vertical="center"/>
      <protection locked="0" hidden="1"/>
    </xf>
    <xf numFmtId="0" fontId="27" fillId="7" borderId="10" xfId="0" applyFont="1" applyFill="1" applyBorder="1" applyAlignment="1" applyProtection="1">
      <alignment horizontal="center" vertical="center"/>
      <protection locked="0" hidden="1"/>
    </xf>
  </cellXfs>
  <cellStyles count="3">
    <cellStyle name="Moeda" xfId="1" builtinId="4"/>
    <cellStyle name="Normal" xfId="0" builtinId="0"/>
    <cellStyle name="Porcentagem" xfId="2" builtinId="5"/>
  </cellStyles>
  <dxfs count="13">
    <dxf>
      <font>
        <color rgb="FFDF5F5F"/>
      </font>
    </dxf>
    <dxf>
      <font>
        <color theme="5"/>
      </font>
    </dxf>
    <dxf>
      <font>
        <color theme="5"/>
      </font>
    </dxf>
    <dxf>
      <font>
        <color rgb="FFDF5F5F"/>
      </font>
    </dxf>
    <dxf>
      <font>
        <color theme="5"/>
      </font>
    </dxf>
    <dxf>
      <font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color theme="5"/>
      </font>
    </dxf>
    <dxf>
      <font>
        <color theme="5"/>
      </font>
    </dxf>
    <dxf>
      <font>
        <b/>
        <i val="0"/>
        <color theme="9"/>
      </font>
    </dxf>
    <dxf>
      <font>
        <b/>
        <i val="0"/>
        <color theme="9"/>
      </font>
    </dxf>
    <dxf>
      <font>
        <b/>
        <i val="0"/>
        <color theme="9"/>
      </font>
    </dxf>
  </dxfs>
  <tableStyles count="0" defaultTableStyle="TableStyleMedium2" defaultPivotStyle="PivotStyleLight16"/>
  <colors>
    <mruColors>
      <color rgb="FF142340"/>
      <color rgb="FFDF5F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gerenciamento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Config.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16</xdr:row>
      <xdr:rowOff>9525</xdr:rowOff>
    </xdr:from>
    <xdr:to>
      <xdr:col>3</xdr:col>
      <xdr:colOff>800100</xdr:colOff>
      <xdr:row>18</xdr:row>
      <xdr:rowOff>0</xdr:rowOff>
    </xdr:to>
    <xdr:sp macro="" textlink="">
      <xdr:nvSpPr>
        <xdr:cNvPr id="7" name="Retângulo Arredondado 6">
          <a:hlinkClick xmlns:r="http://schemas.openxmlformats.org/officeDocument/2006/relationships" r:id="rId1"/>
        </xdr:cNvPr>
        <xdr:cNvSpPr/>
      </xdr:nvSpPr>
      <xdr:spPr>
        <a:xfrm>
          <a:off x="314325" y="3248025"/>
          <a:ext cx="1847850" cy="485775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142340"/>
              </a:solidFill>
            </a:rPr>
            <a:t>Ir para a Planilha</a:t>
          </a:r>
        </a:p>
      </xdr:txBody>
    </xdr:sp>
    <xdr:clientData/>
  </xdr:twoCellAnchor>
  <xdr:oneCellAnchor>
    <xdr:from>
      <xdr:col>3</xdr:col>
      <xdr:colOff>1028700</xdr:colOff>
      <xdr:row>0</xdr:row>
      <xdr:rowOff>276225</xdr:rowOff>
    </xdr:from>
    <xdr:ext cx="184731" cy="264560"/>
    <xdr:sp macro="" textlink="">
      <xdr:nvSpPr>
        <xdr:cNvPr id="12" name="CaixaDeTexto 11"/>
        <xdr:cNvSpPr txBox="1"/>
      </xdr:nvSpPr>
      <xdr:spPr>
        <a:xfrm>
          <a:off x="2390775" y="2762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>
            <a:solidFill>
              <a:schemeClr val="accent2"/>
            </a:solidFill>
          </a:endParaRPr>
        </a:p>
      </xdr:txBody>
    </xdr:sp>
    <xdr:clientData/>
  </xdr:oneCellAnchor>
  <xdr:twoCellAnchor editAs="oneCell">
    <xdr:from>
      <xdr:col>0</xdr:col>
      <xdr:colOff>142875</xdr:colOff>
      <xdr:row>1</xdr:row>
      <xdr:rowOff>269235</xdr:rowOff>
    </xdr:from>
    <xdr:to>
      <xdr:col>3</xdr:col>
      <xdr:colOff>763494</xdr:colOff>
      <xdr:row>4</xdr:row>
      <xdr:rowOff>64141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142875" y="554985"/>
          <a:ext cx="1982694" cy="4711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24848</xdr:colOff>
      <xdr:row>11</xdr:row>
      <xdr:rowOff>0</xdr:rowOff>
    </xdr:from>
    <xdr:to>
      <xdr:col>15</xdr:col>
      <xdr:colOff>24848</xdr:colOff>
      <xdr:row>12</xdr:row>
      <xdr:rowOff>182218</xdr:rowOff>
    </xdr:to>
    <xdr:sp macro="" textlink="">
      <xdr:nvSpPr>
        <xdr:cNvPr id="2" name="Retângulo Arredondado 1">
          <a:hlinkClick xmlns:r="http://schemas.openxmlformats.org/officeDocument/2006/relationships" r:id="rId1"/>
        </xdr:cNvPr>
        <xdr:cNvSpPr/>
      </xdr:nvSpPr>
      <xdr:spPr>
        <a:xfrm>
          <a:off x="7562022" y="2940326"/>
          <a:ext cx="1797326" cy="430696"/>
        </a:xfrm>
        <a:prstGeom prst="roundRect">
          <a:avLst/>
        </a:pr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rgbClr val="142340"/>
              </a:solidFill>
            </a:rPr>
            <a:t>&lt;  Configurações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ilha1"/>
  <dimension ref="A1:O18"/>
  <sheetViews>
    <sheetView showGridLines="0" showRowColHeaders="0" tabSelected="1" workbookViewId="0">
      <selection activeCell="D12" sqref="D12"/>
    </sheetView>
  </sheetViews>
  <sheetFormatPr defaultRowHeight="20.100000000000001" customHeight="1"/>
  <cols>
    <col min="1" max="1" width="4.28515625" style="39" customWidth="1"/>
    <col min="2" max="2" width="9.140625" style="1"/>
    <col min="3" max="3" width="7" style="1" customWidth="1"/>
    <col min="4" max="4" width="20.7109375" style="1" customWidth="1"/>
    <col min="5" max="5" width="4.85546875" style="1" customWidth="1"/>
    <col min="6" max="6" width="9.140625" style="1"/>
    <col min="7" max="7" width="9.140625" style="1" customWidth="1"/>
    <col min="8" max="9" width="9.140625" style="1"/>
    <col min="10" max="10" width="6" style="1" customWidth="1"/>
    <col min="11" max="12" width="9.140625" style="1"/>
    <col min="13" max="13" width="10.140625" style="1" bestFit="1" customWidth="1"/>
    <col min="14" max="16384" width="9.140625" style="1"/>
  </cols>
  <sheetData>
    <row r="1" spans="1:15" ht="22.5" customHeight="1"/>
    <row r="2" spans="1:15" ht="31.5">
      <c r="B2" s="2"/>
    </row>
    <row r="3" spans="1:15" ht="2.25" customHeight="1"/>
    <row r="5" spans="1:15" ht="20.100000000000001" customHeight="1">
      <c r="B5" s="3"/>
    </row>
    <row r="6" spans="1:15" ht="26.25" customHeight="1">
      <c r="A6" s="45"/>
      <c r="B6" s="3" t="s">
        <v>0</v>
      </c>
      <c r="E6" s="10"/>
      <c r="F6" s="4"/>
      <c r="G6" s="47"/>
      <c r="H6" s="47"/>
      <c r="J6" s="40"/>
      <c r="K6" s="40"/>
    </row>
    <row r="7" spans="1:15" ht="9.75" customHeight="1">
      <c r="A7" s="45"/>
      <c r="B7" s="44"/>
      <c r="E7" s="47"/>
      <c r="F7" s="47"/>
      <c r="G7" s="47"/>
      <c r="H7" s="47"/>
      <c r="K7" s="41"/>
    </row>
    <row r="8" spans="1:15" ht="27" customHeight="1">
      <c r="A8" s="45" t="s">
        <v>23</v>
      </c>
      <c r="B8" s="46" t="s">
        <v>1</v>
      </c>
      <c r="D8" s="62">
        <v>1</v>
      </c>
      <c r="E8" s="10"/>
      <c r="F8" s="42"/>
      <c r="G8" s="47"/>
      <c r="H8" s="47"/>
      <c r="M8" s="40"/>
    </row>
    <row r="9" spans="1:15" ht="9" customHeight="1">
      <c r="A9" s="45"/>
      <c r="B9" s="44"/>
      <c r="D9" s="5"/>
      <c r="E9" s="47"/>
      <c r="F9" s="47"/>
      <c r="G9" s="47"/>
      <c r="H9" s="47"/>
    </row>
    <row r="10" spans="1:15" ht="27" customHeight="1">
      <c r="A10" s="45" t="s">
        <v>24</v>
      </c>
      <c r="B10" s="46" t="s">
        <v>2</v>
      </c>
      <c r="D10" s="62">
        <v>0</v>
      </c>
      <c r="E10" s="10"/>
      <c r="F10" s="4"/>
      <c r="G10" s="47"/>
      <c r="H10" s="47"/>
      <c r="O10" s="41"/>
    </row>
    <row r="11" spans="1:15" ht="9" customHeight="1">
      <c r="A11" s="45"/>
      <c r="B11" s="44"/>
      <c r="E11" s="47"/>
      <c r="F11" s="47"/>
      <c r="G11" s="47"/>
      <c r="H11" s="47"/>
      <c r="M11" s="25"/>
    </row>
    <row r="12" spans="1:15" ht="27" customHeight="1">
      <c r="A12" s="45" t="s">
        <v>25</v>
      </c>
      <c r="B12" s="46" t="s">
        <v>3</v>
      </c>
      <c r="D12" s="55">
        <v>0.02</v>
      </c>
      <c r="E12" s="10"/>
      <c r="F12" s="4"/>
      <c r="G12" s="47"/>
      <c r="H12" s="47"/>
    </row>
    <row r="13" spans="1:15" ht="9.75" customHeight="1"/>
    <row r="14" spans="1:15" ht="27" customHeight="1">
      <c r="B14" s="48" t="s">
        <v>4</v>
      </c>
      <c r="D14" s="6">
        <f>IF(COUNTIF(gerenciamento!$S$4:$S$368,"meta")&gt;=1,COUNTIF(gerenciamento!$S$4:$S$368,"meta")+1,COUNTIF(gerenciamento!$S$4:$S$368,"meta"))</f>
        <v>0</v>
      </c>
      <c r="E14" s="7" t="s">
        <v>5</v>
      </c>
      <c r="F14" s="8"/>
      <c r="G14" s="8"/>
      <c r="H14" s="8"/>
      <c r="I14" s="8"/>
      <c r="J14" s="10"/>
      <c r="K14" s="4"/>
    </row>
    <row r="15" spans="1:15" ht="8.25" customHeight="1">
      <c r="E15" s="9"/>
    </row>
    <row r="16" spans="1:15" ht="6.75" customHeight="1"/>
    <row r="17" spans="2:5" ht="20.100000000000001" customHeight="1">
      <c r="B17" s="38"/>
      <c r="C17" s="38"/>
      <c r="D17" s="38"/>
      <c r="E17" s="54"/>
    </row>
    <row r="18" spans="2:5" ht="20.100000000000001" customHeight="1">
      <c r="B18" s="38"/>
      <c r="C18" s="38"/>
      <c r="D18" s="38"/>
      <c r="E18" s="21"/>
    </row>
  </sheetData>
  <sheetProtection sheet="1" objects="1" scenarios="1" formatCells="0" formatColumns="0" insertColumns="0" deleteColumns="0" deleteRows="0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ilha2"/>
  <dimension ref="A1:T368"/>
  <sheetViews>
    <sheetView showGridLines="0" showRowColHeaders="0" zoomScale="130" zoomScaleNormal="130" workbookViewId="0">
      <selection activeCell="H4" sqref="H4"/>
    </sheetView>
  </sheetViews>
  <sheetFormatPr defaultRowHeight="15"/>
  <cols>
    <col min="1" max="1" width="4.28515625" style="21" customWidth="1"/>
    <col min="2" max="2" width="7.28515625" style="10" customWidth="1"/>
    <col min="3" max="3" width="16.5703125" style="11" customWidth="1"/>
    <col min="4" max="4" width="13.42578125" style="11" customWidth="1"/>
    <col min="5" max="5" width="5.5703125" style="4" hidden="1" customWidth="1"/>
    <col min="6" max="6" width="10.85546875" style="49" hidden="1" customWidth="1"/>
    <col min="7" max="7" width="3.28515625" style="12" customWidth="1"/>
    <col min="8" max="8" width="13.42578125" style="13" customWidth="1"/>
    <col min="9" max="9" width="12.140625" style="13" customWidth="1"/>
    <col min="10" max="10" width="12.42578125" style="13" customWidth="1"/>
    <col min="11" max="11" width="10.7109375" style="50" customWidth="1"/>
    <col min="12" max="12" width="3.140625" style="4" customWidth="1"/>
    <col min="13" max="13" width="10.85546875" style="4" bestFit="1" customWidth="1"/>
    <col min="14" max="14" width="7" style="4" customWidth="1"/>
    <col min="15" max="16" width="9.140625" style="4"/>
    <col min="17" max="17" width="11.7109375" style="4" customWidth="1"/>
    <col min="18" max="18" width="16.5703125" style="27" hidden="1" customWidth="1"/>
    <col min="19" max="19" width="5.5703125" style="28" hidden="1" customWidth="1"/>
    <col min="20" max="20" width="13.42578125" style="29" hidden="1" customWidth="1"/>
    <col min="21" max="16384" width="9.140625" style="4"/>
  </cols>
  <sheetData>
    <row r="1" spans="1:20" ht="22.5" customHeight="1">
      <c r="A1" s="43"/>
      <c r="E1" s="63"/>
      <c r="F1" s="64"/>
    </row>
    <row r="2" spans="1:20" ht="22.5" customHeight="1">
      <c r="B2" s="75" t="s">
        <v>6</v>
      </c>
      <c r="C2" s="78" t="s">
        <v>7</v>
      </c>
      <c r="D2" s="79"/>
      <c r="E2" s="80" t="s">
        <v>26</v>
      </c>
      <c r="F2" s="81"/>
      <c r="H2" s="76" t="s">
        <v>8</v>
      </c>
      <c r="I2" s="77"/>
      <c r="J2" s="77"/>
      <c r="K2" s="77"/>
      <c r="M2" s="69" t="s">
        <v>9</v>
      </c>
      <c r="N2" s="70"/>
      <c r="O2" s="70"/>
      <c r="P2" s="14"/>
      <c r="R2" s="30"/>
      <c r="T2" s="30"/>
    </row>
    <row r="3" spans="1:20" ht="24.75" customHeight="1">
      <c r="B3" s="75"/>
      <c r="C3" s="15" t="s">
        <v>10</v>
      </c>
      <c r="D3" s="15" t="s">
        <v>11</v>
      </c>
      <c r="E3" s="65">
        <v>1</v>
      </c>
      <c r="F3" s="66" t="s">
        <v>12</v>
      </c>
      <c r="H3" s="56" t="s">
        <v>13</v>
      </c>
      <c r="I3" s="15" t="s">
        <v>14</v>
      </c>
      <c r="J3" s="15" t="s">
        <v>15</v>
      </c>
      <c r="K3" s="51" t="s">
        <v>16</v>
      </c>
      <c r="M3" s="16" t="s">
        <v>17</v>
      </c>
      <c r="N3" s="17">
        <f>IF(COUNTIF($G$4:$G$368,"meta")&gt;=1,COUNTIF($G$4:$G$368,"meta")+1,COUNTIF($G$4:$G$368,"meta"))</f>
        <v>0</v>
      </c>
      <c r="O3" s="18" t="s">
        <v>18</v>
      </c>
      <c r="R3" s="31" t="s">
        <v>10</v>
      </c>
      <c r="T3" s="31" t="s">
        <v>13</v>
      </c>
    </row>
    <row r="4" spans="1:20" ht="21" customHeight="1">
      <c r="A4" s="22" t="s">
        <v>21</v>
      </c>
      <c r="B4" s="20">
        <v>1</v>
      </c>
      <c r="C4" s="57">
        <f>(Config.!D8*Config.!D12)+Config.!D8</f>
        <v>1.02</v>
      </c>
      <c r="D4" s="57">
        <f>C4-Config.!D8</f>
        <v>2.0000000000000018E-2</v>
      </c>
      <c r="E4" s="67">
        <v>0.8</v>
      </c>
      <c r="F4" s="68">
        <f>IF(COUNTBLANK(E4)=0,(D4/E4)/$E$3,"-")</f>
        <v>2.5000000000000022E-2</v>
      </c>
      <c r="G4" s="12" t="str">
        <f>IF(COUNTBLANK(H4)=1,IF(C4&lt;=Config.!$D$10,"meta","nops"),"")</f>
        <v>nops</v>
      </c>
      <c r="H4" s="58"/>
      <c r="I4" s="59" t="str">
        <f>IF(COUNTBLANK(H4)=1,"",H4-Config.!$D$8)</f>
        <v/>
      </c>
      <c r="J4" s="59" t="str">
        <f>IF(I4="","",I4-D4)</f>
        <v/>
      </c>
      <c r="K4" s="52" t="str">
        <f>IF(COUNTBLANK(H4)=1,"",(H4-Config.!D8)/Config.!D8)</f>
        <v/>
      </c>
      <c r="M4" s="19"/>
      <c r="N4" s="19"/>
      <c r="O4" s="19"/>
      <c r="R4" s="27">
        <f>(Config.!D8*Config.!D12)+Config.!D8</f>
        <v>1.02</v>
      </c>
      <c r="S4" s="28" t="str">
        <f>IF(COUNTBLANK(T4)=1,IF(R4&lt;=Config.!$D$10,"meta","nops"),"")</f>
        <v>nops</v>
      </c>
      <c r="T4" s="32"/>
    </row>
    <row r="5" spans="1:20" ht="20.100000000000001" customHeight="1">
      <c r="A5" s="22" t="s">
        <v>21</v>
      </c>
      <c r="B5" s="20">
        <v>2</v>
      </c>
      <c r="C5" s="57">
        <f>IF(COUNTBLANK(H4)=1,(C4*Config.!$D$12)+C4,(H4*Config.!$D$12)+H4)</f>
        <v>1.0404</v>
      </c>
      <c r="D5" s="57">
        <f>IF(COUNTBLANK(H4)=1,C5-C4,C5-H4)</f>
        <v>2.0399999999999974E-2</v>
      </c>
      <c r="E5" s="67"/>
      <c r="F5" s="68" t="str">
        <f t="shared" ref="F5:F68" si="0">IF(COUNTBLANK(E5)=0,(D5/E5)/$E$3,"-")</f>
        <v>-</v>
      </c>
      <c r="G5" s="12" t="str">
        <f>IF(COUNTBLANK(H5)=1,IF(C5&lt;=Config.!$D$10,"meta","nops"),"")</f>
        <v>nops</v>
      </c>
      <c r="H5" s="58"/>
      <c r="I5" s="59" t="str">
        <f>IF(COUNTBLANK(H5)=1,"",H5-H4)</f>
        <v/>
      </c>
      <c r="J5" s="59" t="str">
        <f t="shared" ref="J5:J68" si="1">IF(I5="","",I5-D5)</f>
        <v/>
      </c>
      <c r="K5" s="53" t="str">
        <f>IF(COUNTBLANK(H5)=1,"",(H5-H4)/H4)</f>
        <v/>
      </c>
      <c r="M5" s="69" t="s">
        <v>20</v>
      </c>
      <c r="N5" s="70"/>
      <c r="O5" s="70"/>
      <c r="R5" s="27">
        <f>IF(COUNTBLANK(T4)=1,(R4*Config.!$D$12)+R4,(T4*Config.!$D$12)+T4)</f>
        <v>1.0404</v>
      </c>
      <c r="S5" s="28" t="str">
        <f>IF(COUNTBLANK(T5)=1,IF(R5&lt;=Config.!$D$10,"meta","nops"),"")</f>
        <v>nops</v>
      </c>
      <c r="T5" s="32"/>
    </row>
    <row r="6" spans="1:20" ht="20.100000000000001" customHeight="1">
      <c r="A6" s="22" t="s">
        <v>21</v>
      </c>
      <c r="B6" s="20">
        <v>3</v>
      </c>
      <c r="C6" s="57">
        <f>IF(COUNTBLANK(H5)=1,(C5*Config.!$D$12)+C5,(H5*Config.!$D$12)+H5)</f>
        <v>1.0612079999999999</v>
      </c>
      <c r="D6" s="57">
        <f t="shared" ref="D6:D69" si="2">IF(COUNTBLANK(H5)=1,C6-C5,C6-H5)</f>
        <v>2.0807999999999938E-2</v>
      </c>
      <c r="E6" s="67"/>
      <c r="F6" s="68" t="str">
        <f>IF(COUNTBLANK(E6)=0,(D6/E6)/$E$3,"-")</f>
        <v>-</v>
      </c>
      <c r="G6" s="12" t="str">
        <f>IF(COUNTBLANK(H6)=1,IF(C6&lt;=Config.!$D$10,"meta","nops"),"")</f>
        <v>nops</v>
      </c>
      <c r="H6" s="58"/>
      <c r="I6" s="60" t="str">
        <f t="shared" ref="I6:I69" si="3">IF(COUNTBLANK(H6)=1,"",H6-H5)</f>
        <v/>
      </c>
      <c r="J6" s="59" t="str">
        <f t="shared" si="1"/>
        <v/>
      </c>
      <c r="K6" s="53" t="str">
        <f t="shared" ref="K6:K69" si="4">IF(COUNTBLANK(H6)=1,"",(H6-H5)/H5)</f>
        <v/>
      </c>
      <c r="M6" s="26">
        <f>(($M$7+Config.!$D$8)-Config.!$D$8)/Config.!$D$8</f>
        <v>0</v>
      </c>
      <c r="N6" s="71" t="s">
        <v>19</v>
      </c>
      <c r="O6" s="73" t="str">
        <f>CONCATENATE(COUNT($K$4:$K$368)," dia(s)")</f>
        <v>0 dia(s)</v>
      </c>
      <c r="R6" s="27">
        <f>IF(COUNTBLANK(T5)=1,(R5*Config.!$D$12)+R5,(T5*Config.!$D$12)+T5)</f>
        <v>1.0612079999999999</v>
      </c>
      <c r="S6" s="28" t="str">
        <f>IF(COUNTBLANK(T6)=1,IF(R6&lt;=Config.!$D$10,"meta","nops"),"")</f>
        <v>nops</v>
      </c>
      <c r="T6" s="32"/>
    </row>
    <row r="7" spans="1:20" ht="21.75" customHeight="1">
      <c r="A7" s="22" t="s">
        <v>21</v>
      </c>
      <c r="B7" s="20">
        <v>4</v>
      </c>
      <c r="C7" s="57">
        <f>IF(COUNTBLANK(H6)=1,(C6*Config.!$D$12)+C6,(H6*Config.!$D$12)+H6)</f>
        <v>1.08243216</v>
      </c>
      <c r="D7" s="57">
        <f t="shared" si="2"/>
        <v>2.1224160000000047E-2</v>
      </c>
      <c r="E7" s="67"/>
      <c r="F7" s="68" t="str">
        <f t="shared" si="0"/>
        <v>-</v>
      </c>
      <c r="G7" s="12" t="str">
        <f>IF(COUNTBLANK(H7)=1,IF(C7&lt;=Config.!$D$10,"meta","nops"),"")</f>
        <v>nops</v>
      </c>
      <c r="H7" s="58"/>
      <c r="I7" s="59" t="str">
        <f t="shared" si="3"/>
        <v/>
      </c>
      <c r="J7" s="59" t="str">
        <f t="shared" si="1"/>
        <v/>
      </c>
      <c r="K7" s="53" t="str">
        <f t="shared" si="4"/>
        <v/>
      </c>
      <c r="M7" s="61">
        <f>SUM($I$4:$I$368)</f>
        <v>0</v>
      </c>
      <c r="N7" s="72"/>
      <c r="O7" s="74"/>
      <c r="P7" s="36">
        <f>COUNT($K$4:$K$368)</f>
        <v>0</v>
      </c>
      <c r="R7" s="27">
        <f>IF(COUNTBLANK(T6)=1,(R6*Config.!$D$12)+R6,(T6*Config.!$D$12)+T6)</f>
        <v>1.08243216</v>
      </c>
      <c r="S7" s="28" t="str">
        <f>IF(COUNTBLANK(T7)=1,IF(R7&lt;=Config.!$D$10,"meta","nops"),"")</f>
        <v>nops</v>
      </c>
      <c r="T7" s="32"/>
    </row>
    <row r="8" spans="1:20" ht="18.75" customHeight="1">
      <c r="A8" s="22" t="s">
        <v>21</v>
      </c>
      <c r="B8" s="20">
        <v>5</v>
      </c>
      <c r="C8" s="57">
        <f>IF(COUNTBLANK(H7)=1,(C7*Config.!$D$12)+C7,(H7*Config.!$D$12)+H7)</f>
        <v>1.1040808032</v>
      </c>
      <c r="D8" s="57">
        <f t="shared" si="2"/>
        <v>2.1648643200000039E-2</v>
      </c>
      <c r="E8" s="67"/>
      <c r="F8" s="68" t="str">
        <f t="shared" si="0"/>
        <v>-</v>
      </c>
      <c r="G8" s="12" t="str">
        <f>IF(COUNTBLANK(H8)=1,IF(C8&lt;=Config.!$D$10,"meta","nops"),"")</f>
        <v>nops</v>
      </c>
      <c r="H8" s="58"/>
      <c r="I8" s="59" t="str">
        <f t="shared" si="3"/>
        <v/>
      </c>
      <c r="J8" s="59" t="str">
        <f t="shared" si="1"/>
        <v/>
      </c>
      <c r="K8" s="53" t="str">
        <f t="shared" si="4"/>
        <v/>
      </c>
      <c r="Q8" s="23"/>
      <c r="R8" s="27">
        <f>IF(COUNTBLANK(T7)=1,(R7*Config.!$D$12)+R7,(T7*Config.!$D$12)+T7)</f>
        <v>1.1040808032</v>
      </c>
      <c r="S8" s="28" t="str">
        <f>IF(COUNTBLANK(T8)=1,IF(R8&lt;=Config.!$D$10,"meta","nops"),"")</f>
        <v>nops</v>
      </c>
      <c r="T8" s="32"/>
    </row>
    <row r="9" spans="1:20" ht="18.75" customHeight="1">
      <c r="A9" s="22" t="s">
        <v>21</v>
      </c>
      <c r="B9" s="20">
        <v>6</v>
      </c>
      <c r="C9" s="57">
        <f>IF(COUNTBLANK(H8)=1,(C8*Config.!$D$12)+C8,(H8*Config.!$D$12)+H8)</f>
        <v>1.1261624192640001</v>
      </c>
      <c r="D9" s="57">
        <f t="shared" si="2"/>
        <v>2.2081616064000054E-2</v>
      </c>
      <c r="E9" s="67"/>
      <c r="F9" s="68" t="str">
        <f t="shared" si="0"/>
        <v>-</v>
      </c>
      <c r="G9" s="12" t="str">
        <f>IF(COUNTBLANK(H9)=1,IF(C9&lt;=Config.!$D$10,"meta","nops"),"")</f>
        <v>nops</v>
      </c>
      <c r="H9" s="58"/>
      <c r="I9" s="59" t="str">
        <f t="shared" si="3"/>
        <v/>
      </c>
      <c r="J9" s="59" t="str">
        <f t="shared" si="1"/>
        <v/>
      </c>
      <c r="K9" s="53" t="str">
        <f t="shared" si="4"/>
        <v/>
      </c>
      <c r="M9" s="69" t="s">
        <v>22</v>
      </c>
      <c r="N9" s="70"/>
      <c r="O9" s="70"/>
      <c r="Q9" s="24"/>
      <c r="R9" s="27">
        <f>IF(COUNTBLANK(T8)=1,(R8*Config.!$D$12)+R8,(T8*Config.!$D$12)+T8)</f>
        <v>1.1261624192640001</v>
      </c>
      <c r="S9" s="28" t="str">
        <f>IF(COUNTBLANK(T9)=1,IF(R9&lt;=Config.!$D$10,"meta","nops"),"")</f>
        <v>nops</v>
      </c>
      <c r="T9" s="32"/>
    </row>
    <row r="10" spans="1:20" ht="21" customHeight="1">
      <c r="A10" s="22" t="s">
        <v>21</v>
      </c>
      <c r="B10" s="20">
        <v>7</v>
      </c>
      <c r="C10" s="57">
        <f>IF(COUNTBLANK(H9)=1,(C9*Config.!$D$12)+C9,(H9*Config.!$D$12)+H9)</f>
        <v>1.14868566764928</v>
      </c>
      <c r="D10" s="57">
        <f t="shared" si="2"/>
        <v>2.252324838527997E-2</v>
      </c>
      <c r="E10" s="67"/>
      <c r="F10" s="68" t="str">
        <f t="shared" si="0"/>
        <v>-</v>
      </c>
      <c r="G10" s="12" t="str">
        <f>IF(COUNTBLANK(H10)=1,IF(C10&lt;=Config.!$D$10,"meta","nops"),"")</f>
        <v>nops</v>
      </c>
      <c r="H10" s="58"/>
      <c r="I10" s="59" t="str">
        <f t="shared" si="3"/>
        <v/>
      </c>
      <c r="J10" s="59" t="str">
        <f t="shared" si="1"/>
        <v/>
      </c>
      <c r="K10" s="53" t="str">
        <f t="shared" si="4"/>
        <v/>
      </c>
      <c r="M10" s="37">
        <f>IFERROR($M$6/$P$7,0)</f>
        <v>0</v>
      </c>
      <c r="N10" s="34" t="s">
        <v>19</v>
      </c>
      <c r="O10" s="33" t="str">
        <f>CONCATENATE(COUNT($K$4:$K$368)," dia(s)")</f>
        <v>0 dia(s)</v>
      </c>
      <c r="R10" s="27">
        <f>IF(COUNTBLANK(T9)=1,(R9*Config.!$D$12)+R9,(T9*Config.!$D$12)+T9)</f>
        <v>1.14868566764928</v>
      </c>
      <c r="S10" s="28" t="str">
        <f>IF(COUNTBLANK(T10)=1,IF(R10&lt;=Config.!$D$10,"meta","nops"),"")</f>
        <v>nops</v>
      </c>
      <c r="T10" s="32"/>
    </row>
    <row r="11" spans="1:20" ht="21" customHeight="1">
      <c r="A11" s="22" t="s">
        <v>21</v>
      </c>
      <c r="B11" s="20">
        <v>8</v>
      </c>
      <c r="C11" s="57">
        <f>IF(COUNTBLANK(H10)=1,(C10*Config.!$D$12)+C10,(H10*Config.!$D$12)+H10)</f>
        <v>1.1716593810022657</v>
      </c>
      <c r="D11" s="57">
        <f t="shared" si="2"/>
        <v>2.2973713352985703E-2</v>
      </c>
      <c r="E11" s="67"/>
      <c r="F11" s="68" t="str">
        <f t="shared" si="0"/>
        <v>-</v>
      </c>
      <c r="G11" s="12" t="str">
        <f>IF(COUNTBLANK(H11)=1,IF(C11&lt;=Config.!$D$10,"meta","nops"),"")</f>
        <v>nops</v>
      </c>
      <c r="H11" s="58"/>
      <c r="I11" s="59" t="str">
        <f t="shared" si="3"/>
        <v/>
      </c>
      <c r="J11" s="59" t="str">
        <f t="shared" si="1"/>
        <v/>
      </c>
      <c r="K11" s="53" t="str">
        <f t="shared" si="4"/>
        <v/>
      </c>
      <c r="M11" s="19"/>
      <c r="N11" s="19"/>
      <c r="O11" s="35"/>
      <c r="R11" s="27">
        <f>IF(COUNTBLANK(T10)=1,(R10*Config.!$D$12)+R10,(T10*Config.!$D$12)+T10)</f>
        <v>1.1716593810022657</v>
      </c>
      <c r="S11" s="28" t="str">
        <f>IF(COUNTBLANK(T11)=1,IF(R11&lt;=Config.!$D$10,"meta","nops"),"")</f>
        <v>nops</v>
      </c>
      <c r="T11" s="32"/>
    </row>
    <row r="12" spans="1:20" ht="20.100000000000001" customHeight="1">
      <c r="A12" s="22" t="s">
        <v>21</v>
      </c>
      <c r="B12" s="20">
        <v>9</v>
      </c>
      <c r="C12" s="57">
        <f>IF(COUNTBLANK(H11)=1,(C11*Config.!$D$12)+C11,(H11*Config.!$D$12)+H11)</f>
        <v>1.1950925686223111</v>
      </c>
      <c r="D12" s="57">
        <f t="shared" si="2"/>
        <v>2.3433187620045315E-2</v>
      </c>
      <c r="E12" s="67"/>
      <c r="F12" s="68" t="str">
        <f t="shared" si="0"/>
        <v>-</v>
      </c>
      <c r="G12" s="12" t="str">
        <f>IF(COUNTBLANK(H12)=1,IF(C12&lt;=Config.!$D$10,"meta","nops"),"")</f>
        <v>nops</v>
      </c>
      <c r="H12" s="58"/>
      <c r="I12" s="59" t="str">
        <f t="shared" si="3"/>
        <v/>
      </c>
      <c r="J12" s="59" t="str">
        <f t="shared" si="1"/>
        <v/>
      </c>
      <c r="K12" s="53" t="str">
        <f t="shared" si="4"/>
        <v/>
      </c>
      <c r="R12" s="27">
        <f>IF(COUNTBLANK(T11)=1,(R11*Config.!$D$12)+R11,(T11*Config.!$D$12)+T11)</f>
        <v>1.1950925686223111</v>
      </c>
      <c r="S12" s="28" t="str">
        <f>IF(COUNTBLANK(T12)=1,IF(R12&lt;=Config.!$D$10,"meta","nops"),"")</f>
        <v>nops</v>
      </c>
      <c r="T12" s="32"/>
    </row>
    <row r="13" spans="1:20" ht="20.100000000000001" customHeight="1">
      <c r="A13" s="22" t="s">
        <v>21</v>
      </c>
      <c r="B13" s="20">
        <v>10</v>
      </c>
      <c r="C13" s="57">
        <f>IF(COUNTBLANK(H12)=1,(C12*Config.!$D$12)+C12,(H12*Config.!$D$12)+H12)</f>
        <v>1.2189944199947573</v>
      </c>
      <c r="D13" s="57">
        <f t="shared" si="2"/>
        <v>2.390185137244627E-2</v>
      </c>
      <c r="E13" s="67"/>
      <c r="F13" s="68" t="str">
        <f t="shared" si="0"/>
        <v>-</v>
      </c>
      <c r="G13" s="12" t="str">
        <f>IF(COUNTBLANK(H13)=1,IF(C13&lt;=Config.!$D$10,"meta","nops"),"")</f>
        <v>nops</v>
      </c>
      <c r="H13" s="58"/>
      <c r="I13" s="59" t="str">
        <f t="shared" si="3"/>
        <v/>
      </c>
      <c r="J13" s="59" t="str">
        <f t="shared" si="1"/>
        <v/>
      </c>
      <c r="K13" s="53" t="str">
        <f t="shared" si="4"/>
        <v/>
      </c>
      <c r="R13" s="27">
        <f>IF(COUNTBLANK(T12)=1,(R12*Config.!$D$12)+R12,(T12*Config.!$D$12)+T12)</f>
        <v>1.2189944199947573</v>
      </c>
      <c r="S13" s="28" t="str">
        <f>IF(COUNTBLANK(T13)=1,IF(R13&lt;=Config.!$D$10,"meta","nops"),"")</f>
        <v>nops</v>
      </c>
      <c r="T13" s="32"/>
    </row>
    <row r="14" spans="1:20" ht="20.100000000000001" customHeight="1">
      <c r="A14" s="22" t="s">
        <v>21</v>
      </c>
      <c r="B14" s="20">
        <v>11</v>
      </c>
      <c r="C14" s="57">
        <f>IF(COUNTBLANK(H13)=1,(C13*Config.!$D$12)+C13,(H13*Config.!$D$12)+H13)</f>
        <v>1.2433743083946525</v>
      </c>
      <c r="D14" s="57">
        <f t="shared" si="2"/>
        <v>2.4379888399895133E-2</v>
      </c>
      <c r="E14" s="67"/>
      <c r="F14" s="68" t="str">
        <f t="shared" si="0"/>
        <v>-</v>
      </c>
      <c r="G14" s="12" t="str">
        <f>IF(COUNTBLANK(H14)=1,IF(C14&lt;=Config.!$D$10,"meta","nops"),"")</f>
        <v>nops</v>
      </c>
      <c r="H14" s="58"/>
      <c r="I14" s="59" t="str">
        <f t="shared" si="3"/>
        <v/>
      </c>
      <c r="J14" s="59" t="str">
        <f t="shared" si="1"/>
        <v/>
      </c>
      <c r="K14" s="53" t="str">
        <f t="shared" si="4"/>
        <v/>
      </c>
      <c r="R14" s="27">
        <f>IF(COUNTBLANK(T13)=1,(R13*Config.!$D$12)+R13,(T13*Config.!$D$12)+T13)</f>
        <v>1.2433743083946525</v>
      </c>
      <c r="S14" s="28" t="str">
        <f>IF(COUNTBLANK(T14)=1,IF(R14&lt;=Config.!$D$10,"meta","nops"),"")</f>
        <v>nops</v>
      </c>
      <c r="T14" s="32"/>
    </row>
    <row r="15" spans="1:20" ht="20.100000000000001" customHeight="1">
      <c r="A15" s="22" t="s">
        <v>21</v>
      </c>
      <c r="B15" s="20">
        <v>12</v>
      </c>
      <c r="C15" s="57">
        <f>IF(COUNTBLANK(H14)=1,(C14*Config.!$D$12)+C14,(H14*Config.!$D$12)+H14)</f>
        <v>1.2682417945625455</v>
      </c>
      <c r="D15" s="57">
        <f t="shared" si="2"/>
        <v>2.4867486167893027E-2</v>
      </c>
      <c r="E15" s="67"/>
      <c r="F15" s="68" t="str">
        <f t="shared" si="0"/>
        <v>-</v>
      </c>
      <c r="G15" s="12" t="str">
        <f>IF(COUNTBLANK(H15)=1,IF(C15&lt;=Config.!$D$10,"meta","nops"),"")</f>
        <v>nops</v>
      </c>
      <c r="H15" s="58"/>
      <c r="I15" s="59" t="str">
        <f t="shared" si="3"/>
        <v/>
      </c>
      <c r="J15" s="59" t="str">
        <f t="shared" si="1"/>
        <v/>
      </c>
      <c r="K15" s="53" t="str">
        <f t="shared" si="4"/>
        <v/>
      </c>
      <c r="R15" s="27">
        <f>IF(COUNTBLANK(T14)=1,(R14*Config.!$D$12)+R14,(T14*Config.!$D$12)+T14)</f>
        <v>1.2682417945625455</v>
      </c>
      <c r="S15" s="28" t="str">
        <f>IF(COUNTBLANK(T15)=1,IF(R15&lt;=Config.!$D$10,"meta","nops"),"")</f>
        <v>nops</v>
      </c>
      <c r="T15" s="32"/>
    </row>
    <row r="16" spans="1:20" ht="20.100000000000001" customHeight="1">
      <c r="A16" s="22" t="s">
        <v>21</v>
      </c>
      <c r="B16" s="20">
        <v>13</v>
      </c>
      <c r="C16" s="57">
        <f>IF(COUNTBLANK(H15)=1,(C15*Config.!$D$12)+C15,(H15*Config.!$D$12)+H15)</f>
        <v>1.2936066304537963</v>
      </c>
      <c r="D16" s="57">
        <f t="shared" si="2"/>
        <v>2.5364835891250825E-2</v>
      </c>
      <c r="E16" s="67"/>
      <c r="F16" s="68" t="str">
        <f t="shared" si="0"/>
        <v>-</v>
      </c>
      <c r="G16" s="12" t="str">
        <f>IF(COUNTBLANK(H16)=1,IF(C16&lt;=Config.!$D$10,"meta","nops"),"")</f>
        <v>nops</v>
      </c>
      <c r="H16" s="58"/>
      <c r="I16" s="59" t="str">
        <f t="shared" si="3"/>
        <v/>
      </c>
      <c r="J16" s="59" t="str">
        <f t="shared" si="1"/>
        <v/>
      </c>
      <c r="K16" s="53" t="str">
        <f t="shared" si="4"/>
        <v/>
      </c>
      <c r="R16" s="27">
        <f>IF(COUNTBLANK(T15)=1,(R15*Config.!$D$12)+R15,(T15*Config.!$D$12)+T15)</f>
        <v>1.2936066304537963</v>
      </c>
      <c r="S16" s="28" t="str">
        <f>IF(COUNTBLANK(T16)=1,IF(R16&lt;=Config.!$D$10,"meta","nops"),"")</f>
        <v>nops</v>
      </c>
      <c r="T16" s="32"/>
    </row>
    <row r="17" spans="1:20" ht="20.100000000000001" customHeight="1">
      <c r="A17" s="22" t="s">
        <v>21</v>
      </c>
      <c r="B17" s="20">
        <v>14</v>
      </c>
      <c r="C17" s="57">
        <f>IF(COUNTBLANK(H16)=1,(C16*Config.!$D$12)+C16,(H16*Config.!$D$12)+H16)</f>
        <v>1.3194787630628722</v>
      </c>
      <c r="D17" s="57">
        <f t="shared" si="2"/>
        <v>2.5872132609075837E-2</v>
      </c>
      <c r="E17" s="67"/>
      <c r="F17" s="68" t="str">
        <f t="shared" si="0"/>
        <v>-</v>
      </c>
      <c r="G17" s="12" t="str">
        <f>IF(COUNTBLANK(H17)=1,IF(C17&lt;=Config.!$D$10,"meta","nops"),"")</f>
        <v>nops</v>
      </c>
      <c r="H17" s="58"/>
      <c r="I17" s="59" t="str">
        <f t="shared" si="3"/>
        <v/>
      </c>
      <c r="J17" s="59" t="str">
        <f t="shared" si="1"/>
        <v/>
      </c>
      <c r="K17" s="53" t="str">
        <f t="shared" si="4"/>
        <v/>
      </c>
      <c r="R17" s="27">
        <f>IF(COUNTBLANK(T16)=1,(R16*Config.!$D$12)+R16,(T16*Config.!$D$12)+T16)</f>
        <v>1.3194787630628722</v>
      </c>
      <c r="S17" s="28" t="str">
        <f>IF(COUNTBLANK(T17)=1,IF(R17&lt;=Config.!$D$10,"meta","nops"),"")</f>
        <v>nops</v>
      </c>
      <c r="T17" s="32"/>
    </row>
    <row r="18" spans="1:20" ht="20.100000000000001" customHeight="1">
      <c r="A18" s="22" t="s">
        <v>21</v>
      </c>
      <c r="B18" s="20">
        <v>15</v>
      </c>
      <c r="C18" s="57">
        <f>IF(COUNTBLANK(H17)=1,(C17*Config.!$D$12)+C17,(H17*Config.!$D$12)+H17)</f>
        <v>1.3458683383241297</v>
      </c>
      <c r="D18" s="57">
        <f t="shared" si="2"/>
        <v>2.6389575261257514E-2</v>
      </c>
      <c r="E18" s="67"/>
      <c r="F18" s="68" t="str">
        <f t="shared" si="0"/>
        <v>-</v>
      </c>
      <c r="G18" s="12" t="str">
        <f>IF(COUNTBLANK(H18)=1,IF(C18&lt;=Config.!$D$10,"meta","nops"),"")</f>
        <v>nops</v>
      </c>
      <c r="H18" s="58"/>
      <c r="I18" s="59" t="str">
        <f t="shared" si="3"/>
        <v/>
      </c>
      <c r="J18" s="59" t="str">
        <f t="shared" si="1"/>
        <v/>
      </c>
      <c r="K18" s="53" t="str">
        <f t="shared" si="4"/>
        <v/>
      </c>
      <c r="R18" s="27">
        <f>IF(COUNTBLANK(T17)=1,(R17*Config.!$D$12)+R17,(T17*Config.!$D$12)+T17)</f>
        <v>1.3458683383241297</v>
      </c>
      <c r="S18" s="28" t="str">
        <f>IF(COUNTBLANK(T18)=1,IF(R18&lt;=Config.!$D$10,"meta","nops"),"")</f>
        <v>nops</v>
      </c>
      <c r="T18" s="32"/>
    </row>
    <row r="19" spans="1:20" ht="20.100000000000001" customHeight="1">
      <c r="A19" s="22" t="s">
        <v>21</v>
      </c>
      <c r="B19" s="20">
        <v>16</v>
      </c>
      <c r="C19" s="57">
        <f>IF(COUNTBLANK(H18)=1,(C18*Config.!$D$12)+C18,(H18*Config.!$D$12)+H18)</f>
        <v>1.3727857050906123</v>
      </c>
      <c r="D19" s="57">
        <f t="shared" si="2"/>
        <v>2.6917366766482598E-2</v>
      </c>
      <c r="E19" s="67"/>
      <c r="F19" s="68" t="str">
        <f t="shared" si="0"/>
        <v>-</v>
      </c>
      <c r="G19" s="12" t="str">
        <f>IF(COUNTBLANK(H19)=1,IF(C19&lt;=Config.!$D$10,"meta","nops"),"")</f>
        <v>nops</v>
      </c>
      <c r="H19" s="58"/>
      <c r="I19" s="59" t="str">
        <f t="shared" si="3"/>
        <v/>
      </c>
      <c r="J19" s="59" t="str">
        <f t="shared" si="1"/>
        <v/>
      </c>
      <c r="K19" s="53" t="str">
        <f t="shared" si="4"/>
        <v/>
      </c>
      <c r="R19" s="27">
        <f>IF(COUNTBLANK(T18)=1,(R18*Config.!$D$12)+R18,(T18*Config.!$D$12)+T18)</f>
        <v>1.3727857050906123</v>
      </c>
      <c r="S19" s="28" t="str">
        <f>IF(COUNTBLANK(T19)=1,IF(R19&lt;=Config.!$D$10,"meta","nops"),"")</f>
        <v>nops</v>
      </c>
      <c r="T19" s="32"/>
    </row>
    <row r="20" spans="1:20" ht="20.100000000000001" customHeight="1">
      <c r="A20" s="22" t="s">
        <v>21</v>
      </c>
      <c r="B20" s="20">
        <v>17</v>
      </c>
      <c r="C20" s="57">
        <f>IF(COUNTBLANK(H19)=1,(C19*Config.!$D$12)+C19,(H19*Config.!$D$12)+H19)</f>
        <v>1.4002414191924246</v>
      </c>
      <c r="D20" s="57">
        <f t="shared" si="2"/>
        <v>2.7455714101812356E-2</v>
      </c>
      <c r="E20" s="67"/>
      <c r="F20" s="68" t="str">
        <f t="shared" si="0"/>
        <v>-</v>
      </c>
      <c r="G20" s="12" t="str">
        <f>IF(COUNTBLANK(H20)=1,IF(C20&lt;=Config.!$D$10,"meta","nops"),"")</f>
        <v>nops</v>
      </c>
      <c r="H20" s="58"/>
      <c r="I20" s="59" t="str">
        <f t="shared" si="3"/>
        <v/>
      </c>
      <c r="J20" s="59" t="str">
        <f t="shared" si="1"/>
        <v/>
      </c>
      <c r="K20" s="53" t="str">
        <f t="shared" si="4"/>
        <v/>
      </c>
      <c r="R20" s="27">
        <f>IF(COUNTBLANK(T19)=1,(R19*Config.!$D$12)+R19,(T19*Config.!$D$12)+T19)</f>
        <v>1.4002414191924246</v>
      </c>
      <c r="S20" s="28" t="str">
        <f>IF(COUNTBLANK(T20)=1,IF(R20&lt;=Config.!$D$10,"meta","nops"),"")</f>
        <v>nops</v>
      </c>
      <c r="T20" s="32"/>
    </row>
    <row r="21" spans="1:20" ht="20.100000000000001" customHeight="1">
      <c r="A21" s="22" t="s">
        <v>21</v>
      </c>
      <c r="B21" s="20">
        <v>18</v>
      </c>
      <c r="C21" s="57">
        <f>IF(COUNTBLANK(H20)=1,(C20*Config.!$D$12)+C20,(H20*Config.!$D$12)+H20)</f>
        <v>1.4282462475762732</v>
      </c>
      <c r="D21" s="57">
        <f t="shared" si="2"/>
        <v>2.8004828383848546E-2</v>
      </c>
      <c r="E21" s="67"/>
      <c r="F21" s="68" t="str">
        <f t="shared" si="0"/>
        <v>-</v>
      </c>
      <c r="G21" s="12" t="str">
        <f>IF(COUNTBLANK(H21)=1,IF(C21&lt;=Config.!$D$10,"meta","nops"),"")</f>
        <v>nops</v>
      </c>
      <c r="H21" s="58"/>
      <c r="I21" s="59" t="str">
        <f t="shared" si="3"/>
        <v/>
      </c>
      <c r="J21" s="59" t="str">
        <f t="shared" si="1"/>
        <v/>
      </c>
      <c r="K21" s="53" t="str">
        <f t="shared" si="4"/>
        <v/>
      </c>
      <c r="R21" s="27">
        <f>IF(COUNTBLANK(T20)=1,(R20*Config.!$D$12)+R20,(T20*Config.!$D$12)+T20)</f>
        <v>1.4282462475762732</v>
      </c>
      <c r="S21" s="28" t="str">
        <f>IF(COUNTBLANK(T21)=1,IF(R21&lt;=Config.!$D$10,"meta","nops"),"")</f>
        <v>nops</v>
      </c>
      <c r="T21" s="32"/>
    </row>
    <row r="22" spans="1:20" ht="20.100000000000001" customHeight="1">
      <c r="A22" s="22" t="s">
        <v>21</v>
      </c>
      <c r="B22" s="20">
        <v>19</v>
      </c>
      <c r="C22" s="57">
        <f>IF(COUNTBLANK(H21)=1,(C21*Config.!$D$12)+C21,(H21*Config.!$D$12)+H21)</f>
        <v>1.4568111725277986</v>
      </c>
      <c r="D22" s="57">
        <f t="shared" si="2"/>
        <v>2.8564924951525406E-2</v>
      </c>
      <c r="E22" s="67"/>
      <c r="F22" s="68" t="str">
        <f t="shared" si="0"/>
        <v>-</v>
      </c>
      <c r="G22" s="12" t="str">
        <f>IF(COUNTBLANK(H22)=1,IF(C22&lt;=Config.!$D$10,"meta","nops"),"")</f>
        <v>nops</v>
      </c>
      <c r="H22" s="58"/>
      <c r="I22" s="59" t="str">
        <f t="shared" si="3"/>
        <v/>
      </c>
      <c r="J22" s="59" t="str">
        <f t="shared" si="1"/>
        <v/>
      </c>
      <c r="K22" s="53" t="str">
        <f t="shared" si="4"/>
        <v/>
      </c>
      <c r="R22" s="27">
        <f>IF(COUNTBLANK(T21)=1,(R21*Config.!$D$12)+R21,(T21*Config.!$D$12)+T21)</f>
        <v>1.4568111725277986</v>
      </c>
      <c r="S22" s="28" t="str">
        <f>IF(COUNTBLANK(T22)=1,IF(R22&lt;=Config.!$D$10,"meta","nops"),"")</f>
        <v>nops</v>
      </c>
      <c r="T22" s="32"/>
    </row>
    <row r="23" spans="1:20" ht="20.100000000000001" customHeight="1">
      <c r="A23" s="22" t="s">
        <v>21</v>
      </c>
      <c r="B23" s="20">
        <v>20</v>
      </c>
      <c r="C23" s="57">
        <f>IF(COUNTBLANK(H22)=1,(C22*Config.!$D$12)+C22,(H22*Config.!$D$12)+H22)</f>
        <v>1.4859473959783545</v>
      </c>
      <c r="D23" s="57">
        <f t="shared" si="2"/>
        <v>2.9136223450555887E-2</v>
      </c>
      <c r="E23" s="67"/>
      <c r="F23" s="68" t="str">
        <f t="shared" si="0"/>
        <v>-</v>
      </c>
      <c r="G23" s="12" t="str">
        <f>IF(COUNTBLANK(H23)=1,IF(C23&lt;=Config.!$D$10,"meta","nops"),"")</f>
        <v>nops</v>
      </c>
      <c r="H23" s="58"/>
      <c r="I23" s="59" t="str">
        <f t="shared" si="3"/>
        <v/>
      </c>
      <c r="J23" s="59" t="str">
        <f t="shared" si="1"/>
        <v/>
      </c>
      <c r="K23" s="53" t="str">
        <f t="shared" si="4"/>
        <v/>
      </c>
      <c r="R23" s="27">
        <f>IF(COUNTBLANK(T22)=1,(R22*Config.!$D$12)+R22,(T22*Config.!$D$12)+T22)</f>
        <v>1.4859473959783545</v>
      </c>
      <c r="S23" s="28" t="str">
        <f>IF(COUNTBLANK(T23)=1,IF(R23&lt;=Config.!$D$10,"meta","nops"),"")</f>
        <v>nops</v>
      </c>
      <c r="T23" s="32"/>
    </row>
    <row r="24" spans="1:20" ht="20.100000000000001" customHeight="1">
      <c r="A24" s="22" t="s">
        <v>21</v>
      </c>
      <c r="B24" s="20">
        <v>21</v>
      </c>
      <c r="C24" s="57">
        <f>IF(COUNTBLANK(H23)=1,(C23*Config.!$D$12)+C23,(H23*Config.!$D$12)+H23)</f>
        <v>1.5156663438979217</v>
      </c>
      <c r="D24" s="57">
        <f t="shared" si="2"/>
        <v>2.9718947919567196E-2</v>
      </c>
      <c r="E24" s="67"/>
      <c r="F24" s="68" t="str">
        <f t="shared" si="0"/>
        <v>-</v>
      </c>
      <c r="G24" s="12" t="str">
        <f>IF(COUNTBLANK(H24)=1,IF(C24&lt;=Config.!$D$10,"meta","nops"),"")</f>
        <v>nops</v>
      </c>
      <c r="H24" s="58"/>
      <c r="I24" s="59" t="str">
        <f t="shared" si="3"/>
        <v/>
      </c>
      <c r="J24" s="59" t="str">
        <f t="shared" si="1"/>
        <v/>
      </c>
      <c r="K24" s="53" t="str">
        <f t="shared" si="4"/>
        <v/>
      </c>
      <c r="R24" s="27">
        <f>IF(COUNTBLANK(T23)=1,(R23*Config.!$D$12)+R23,(T23*Config.!$D$12)+T23)</f>
        <v>1.5156663438979217</v>
      </c>
      <c r="S24" s="28" t="str">
        <f>IF(COUNTBLANK(T24)=1,IF(R24&lt;=Config.!$D$10,"meta","nops"),"")</f>
        <v>nops</v>
      </c>
      <c r="T24" s="32"/>
    </row>
    <row r="25" spans="1:20" ht="20.100000000000001" customHeight="1">
      <c r="A25" s="22" t="s">
        <v>21</v>
      </c>
      <c r="B25" s="20">
        <v>22</v>
      </c>
      <c r="C25" s="57">
        <f>IF(COUNTBLANK(H24)=1,(C24*Config.!$D$12)+C24,(H24*Config.!$D$12)+H24)</f>
        <v>1.5459796707758802</v>
      </c>
      <c r="D25" s="57">
        <f t="shared" si="2"/>
        <v>3.0313326877958513E-2</v>
      </c>
      <c r="E25" s="67"/>
      <c r="F25" s="68" t="str">
        <f t="shared" si="0"/>
        <v>-</v>
      </c>
      <c r="G25" s="12" t="str">
        <f>IF(COUNTBLANK(H25)=1,IF(C25&lt;=Config.!$D$10,"meta","nops"),"")</f>
        <v>nops</v>
      </c>
      <c r="H25" s="58"/>
      <c r="I25" s="59" t="str">
        <f t="shared" si="3"/>
        <v/>
      </c>
      <c r="J25" s="59" t="str">
        <f t="shared" si="1"/>
        <v/>
      </c>
      <c r="K25" s="53" t="str">
        <f t="shared" si="4"/>
        <v/>
      </c>
      <c r="R25" s="27">
        <f>IF(COUNTBLANK(T24)=1,(R24*Config.!$D$12)+R24,(T24*Config.!$D$12)+T24)</f>
        <v>1.5459796707758802</v>
      </c>
      <c r="S25" s="28" t="str">
        <f>IF(COUNTBLANK(T25)=1,IF(R25&lt;=Config.!$D$10,"meta","nops"),"")</f>
        <v>nops</v>
      </c>
      <c r="T25" s="32"/>
    </row>
    <row r="26" spans="1:20" ht="20.100000000000001" customHeight="1">
      <c r="A26" s="22" t="s">
        <v>21</v>
      </c>
      <c r="B26" s="20">
        <v>23</v>
      </c>
      <c r="C26" s="57">
        <f>IF(COUNTBLANK(H25)=1,(C25*Config.!$D$12)+C25,(H25*Config.!$D$12)+H25)</f>
        <v>1.5768992641913977</v>
      </c>
      <c r="D26" s="57">
        <f t="shared" si="2"/>
        <v>3.0919593415517532E-2</v>
      </c>
      <c r="E26" s="67"/>
      <c r="F26" s="68" t="str">
        <f t="shared" si="0"/>
        <v>-</v>
      </c>
      <c r="G26" s="12" t="str">
        <f>IF(COUNTBLANK(H26)=1,IF(C26&lt;=Config.!$D$10,"meta","nops"),"")</f>
        <v>nops</v>
      </c>
      <c r="H26" s="58"/>
      <c r="I26" s="59" t="str">
        <f t="shared" si="3"/>
        <v/>
      </c>
      <c r="J26" s="59" t="str">
        <f t="shared" si="1"/>
        <v/>
      </c>
      <c r="K26" s="53" t="str">
        <f t="shared" si="4"/>
        <v/>
      </c>
      <c r="R26" s="27">
        <f>IF(COUNTBLANK(T25)=1,(R25*Config.!$D$12)+R25,(T25*Config.!$D$12)+T25)</f>
        <v>1.5768992641913977</v>
      </c>
      <c r="S26" s="28" t="str">
        <f>IF(COUNTBLANK(T26)=1,IF(R26&lt;=Config.!$D$10,"meta","nops"),"")</f>
        <v>nops</v>
      </c>
      <c r="T26" s="32"/>
    </row>
    <row r="27" spans="1:20" ht="20.100000000000001" customHeight="1">
      <c r="A27" s="22" t="s">
        <v>21</v>
      </c>
      <c r="B27" s="20">
        <v>24</v>
      </c>
      <c r="C27" s="57">
        <f>IF(COUNTBLANK(H26)=1,(C26*Config.!$D$12)+C26,(H26*Config.!$D$12)+H26)</f>
        <v>1.6084372494752257</v>
      </c>
      <c r="D27" s="57">
        <f t="shared" si="2"/>
        <v>3.1537985283828007E-2</v>
      </c>
      <c r="E27" s="67"/>
      <c r="F27" s="68" t="str">
        <f t="shared" si="0"/>
        <v>-</v>
      </c>
      <c r="G27" s="12" t="str">
        <f>IF(COUNTBLANK(H27)=1,IF(C27&lt;=Config.!$D$10,"meta","nops"),"")</f>
        <v>nops</v>
      </c>
      <c r="H27" s="58"/>
      <c r="I27" s="59" t="str">
        <f t="shared" si="3"/>
        <v/>
      </c>
      <c r="J27" s="59" t="str">
        <f t="shared" si="1"/>
        <v/>
      </c>
      <c r="K27" s="53" t="str">
        <f t="shared" si="4"/>
        <v/>
      </c>
      <c r="R27" s="27">
        <f>IF(COUNTBLANK(T26)=1,(R26*Config.!$D$12)+R26,(T26*Config.!$D$12)+T26)</f>
        <v>1.6084372494752257</v>
      </c>
      <c r="S27" s="28" t="str">
        <f>IF(COUNTBLANK(T27)=1,IF(R27&lt;=Config.!$D$10,"meta","nops"),"")</f>
        <v>nops</v>
      </c>
      <c r="T27" s="32"/>
    </row>
    <row r="28" spans="1:20" ht="20.100000000000001" customHeight="1">
      <c r="A28" s="22" t="s">
        <v>21</v>
      </c>
      <c r="B28" s="20">
        <v>25</v>
      </c>
      <c r="C28" s="57">
        <f>IF(COUNTBLANK(H27)=1,(C27*Config.!$D$12)+C27,(H27*Config.!$D$12)+H27)</f>
        <v>1.6406059944647302</v>
      </c>
      <c r="D28" s="57">
        <f t="shared" si="2"/>
        <v>3.2168744989504505E-2</v>
      </c>
      <c r="E28" s="67"/>
      <c r="F28" s="68" t="str">
        <f t="shared" si="0"/>
        <v>-</v>
      </c>
      <c r="G28" s="12" t="str">
        <f>IF(COUNTBLANK(H28)=1,IF(C28&lt;=Config.!$D$10,"meta","nops"),"")</f>
        <v>nops</v>
      </c>
      <c r="H28" s="58"/>
      <c r="I28" s="59" t="str">
        <f t="shared" si="3"/>
        <v/>
      </c>
      <c r="J28" s="59" t="str">
        <f t="shared" si="1"/>
        <v/>
      </c>
      <c r="K28" s="53" t="str">
        <f t="shared" si="4"/>
        <v/>
      </c>
      <c r="R28" s="27">
        <f>IF(COUNTBLANK(T27)=1,(R27*Config.!$D$12)+R27,(T27*Config.!$D$12)+T27)</f>
        <v>1.6406059944647302</v>
      </c>
      <c r="S28" s="28" t="str">
        <f>IF(COUNTBLANK(T28)=1,IF(R28&lt;=Config.!$D$10,"meta","nops"),"")</f>
        <v>nops</v>
      </c>
      <c r="T28" s="32"/>
    </row>
    <row r="29" spans="1:20" ht="20.100000000000001" customHeight="1">
      <c r="A29" s="22" t="s">
        <v>21</v>
      </c>
      <c r="B29" s="20">
        <v>26</v>
      </c>
      <c r="C29" s="57">
        <f>IF(COUNTBLANK(H28)=1,(C28*Config.!$D$12)+C28,(H28*Config.!$D$12)+H28)</f>
        <v>1.6734181143540248</v>
      </c>
      <c r="D29" s="57">
        <f t="shared" si="2"/>
        <v>3.2812119889294555E-2</v>
      </c>
      <c r="E29" s="67"/>
      <c r="F29" s="68" t="str">
        <f t="shared" si="0"/>
        <v>-</v>
      </c>
      <c r="G29" s="12" t="str">
        <f>IF(COUNTBLANK(H29)=1,IF(C29&lt;=Config.!$D$10,"meta","nops"),"")</f>
        <v>nops</v>
      </c>
      <c r="H29" s="58"/>
      <c r="I29" s="59" t="str">
        <f t="shared" si="3"/>
        <v/>
      </c>
      <c r="J29" s="59" t="str">
        <f t="shared" si="1"/>
        <v/>
      </c>
      <c r="K29" s="53" t="str">
        <f t="shared" si="4"/>
        <v/>
      </c>
      <c r="R29" s="27">
        <f>IF(COUNTBLANK(T28)=1,(R28*Config.!$D$12)+R28,(T28*Config.!$D$12)+T28)</f>
        <v>1.6734181143540248</v>
      </c>
      <c r="S29" s="28" t="str">
        <f>IF(COUNTBLANK(T29)=1,IF(R29&lt;=Config.!$D$10,"meta","nops"),"")</f>
        <v>nops</v>
      </c>
      <c r="T29" s="32"/>
    </row>
    <row r="30" spans="1:20" ht="20.100000000000001" customHeight="1">
      <c r="A30" s="22" t="s">
        <v>21</v>
      </c>
      <c r="B30" s="20">
        <v>27</v>
      </c>
      <c r="C30" s="57">
        <f>IF(COUNTBLANK(H29)=1,(C29*Config.!$D$12)+C29,(H29*Config.!$D$12)+H29)</f>
        <v>1.7068864766411052</v>
      </c>
      <c r="D30" s="57">
        <f t="shared" si="2"/>
        <v>3.3468362287080389E-2</v>
      </c>
      <c r="E30" s="67"/>
      <c r="F30" s="68" t="str">
        <f t="shared" si="0"/>
        <v>-</v>
      </c>
      <c r="G30" s="12" t="str">
        <f>IF(COUNTBLANK(H30)=1,IF(C30&lt;=Config.!$D$10,"meta","nops"),"")</f>
        <v>nops</v>
      </c>
      <c r="H30" s="58"/>
      <c r="I30" s="59" t="str">
        <f t="shared" si="3"/>
        <v/>
      </c>
      <c r="J30" s="59" t="str">
        <f t="shared" si="1"/>
        <v/>
      </c>
      <c r="K30" s="53" t="str">
        <f t="shared" si="4"/>
        <v/>
      </c>
      <c r="R30" s="27">
        <f>IF(COUNTBLANK(T29)=1,(R29*Config.!$D$12)+R29,(T29*Config.!$D$12)+T29)</f>
        <v>1.7068864766411052</v>
      </c>
      <c r="S30" s="28" t="str">
        <f>IF(COUNTBLANK(T30)=1,IF(R30&lt;=Config.!$D$10,"meta","nops"),"")</f>
        <v>nops</v>
      </c>
      <c r="T30" s="32"/>
    </row>
    <row r="31" spans="1:20" ht="20.100000000000001" customHeight="1">
      <c r="A31" s="22" t="s">
        <v>21</v>
      </c>
      <c r="B31" s="20">
        <v>28</v>
      </c>
      <c r="C31" s="57">
        <f>IF(COUNTBLANK(H30)=1,(C30*Config.!$D$12)+C30,(H30*Config.!$D$12)+H30)</f>
        <v>1.7410242061739272</v>
      </c>
      <c r="D31" s="57">
        <f t="shared" si="2"/>
        <v>3.4137729532822014E-2</v>
      </c>
      <c r="E31" s="67"/>
      <c r="F31" s="68" t="str">
        <f t="shared" si="0"/>
        <v>-</v>
      </c>
      <c r="G31" s="12" t="str">
        <f>IF(COUNTBLANK(H31)=1,IF(C31&lt;=Config.!$D$10,"meta","nops"),"")</f>
        <v>nops</v>
      </c>
      <c r="H31" s="58"/>
      <c r="I31" s="59" t="str">
        <f t="shared" si="3"/>
        <v/>
      </c>
      <c r="J31" s="59" t="str">
        <f t="shared" si="1"/>
        <v/>
      </c>
      <c r="K31" s="53" t="str">
        <f t="shared" si="4"/>
        <v/>
      </c>
      <c r="R31" s="27">
        <f>IF(COUNTBLANK(T30)=1,(R30*Config.!$D$12)+R30,(T30*Config.!$D$12)+T30)</f>
        <v>1.7410242061739272</v>
      </c>
      <c r="S31" s="28" t="str">
        <f>IF(COUNTBLANK(T31)=1,IF(R31&lt;=Config.!$D$10,"meta","nops"),"")</f>
        <v>nops</v>
      </c>
      <c r="T31" s="32"/>
    </row>
    <row r="32" spans="1:20" ht="20.100000000000001" customHeight="1">
      <c r="A32" s="22" t="s">
        <v>21</v>
      </c>
      <c r="B32" s="20">
        <v>29</v>
      </c>
      <c r="C32" s="57">
        <f>IF(COUNTBLANK(H31)=1,(C31*Config.!$D$12)+C31,(H31*Config.!$D$12)+H31)</f>
        <v>1.7758446902974057</v>
      </c>
      <c r="D32" s="57">
        <f t="shared" si="2"/>
        <v>3.482048412347849E-2</v>
      </c>
      <c r="E32" s="67"/>
      <c r="F32" s="68" t="str">
        <f t="shared" si="0"/>
        <v>-</v>
      </c>
      <c r="G32" s="12" t="str">
        <f>IF(COUNTBLANK(H32)=1,IF(C32&lt;=Config.!$D$10,"meta","nops"),"")</f>
        <v>nops</v>
      </c>
      <c r="H32" s="58"/>
      <c r="I32" s="59" t="str">
        <f t="shared" si="3"/>
        <v/>
      </c>
      <c r="J32" s="59" t="str">
        <f t="shared" si="1"/>
        <v/>
      </c>
      <c r="K32" s="53" t="str">
        <f t="shared" si="4"/>
        <v/>
      </c>
      <c r="R32" s="27">
        <f>IF(COUNTBLANK(T31)=1,(R31*Config.!$D$12)+R31,(T31*Config.!$D$12)+T31)</f>
        <v>1.7758446902974057</v>
      </c>
      <c r="S32" s="28" t="str">
        <f>IF(COUNTBLANK(T32)=1,IF(R32&lt;=Config.!$D$10,"meta","nops"),"")</f>
        <v>nops</v>
      </c>
      <c r="T32" s="32"/>
    </row>
    <row r="33" spans="1:20" ht="20.100000000000001" customHeight="1">
      <c r="A33" s="22" t="s">
        <v>21</v>
      </c>
      <c r="B33" s="20">
        <v>30</v>
      </c>
      <c r="C33" s="57">
        <f>IF(COUNTBLANK(H32)=1,(C32*Config.!$D$12)+C32,(H32*Config.!$D$12)+H32)</f>
        <v>1.8113615841033537</v>
      </c>
      <c r="D33" s="57">
        <f t="shared" si="2"/>
        <v>3.5516893805948024E-2</v>
      </c>
      <c r="E33" s="67"/>
      <c r="F33" s="68" t="str">
        <f t="shared" si="0"/>
        <v>-</v>
      </c>
      <c r="G33" s="12" t="str">
        <f>IF(COUNTBLANK(H33)=1,IF(C33&lt;=Config.!$D$10,"meta","nops"),"")</f>
        <v>nops</v>
      </c>
      <c r="H33" s="58"/>
      <c r="I33" s="59" t="str">
        <f t="shared" si="3"/>
        <v/>
      </c>
      <c r="J33" s="59" t="str">
        <f t="shared" si="1"/>
        <v/>
      </c>
      <c r="K33" s="53" t="str">
        <f t="shared" si="4"/>
        <v/>
      </c>
      <c r="R33" s="27">
        <f>IF(COUNTBLANK(T32)=1,(R32*Config.!$D$12)+R32,(T32*Config.!$D$12)+T32)</f>
        <v>1.8113615841033537</v>
      </c>
      <c r="S33" s="28" t="str">
        <f>IF(COUNTBLANK(T33)=1,IF(R33&lt;=Config.!$D$10,"meta","nops"),"")</f>
        <v>nops</v>
      </c>
      <c r="T33" s="32"/>
    </row>
    <row r="34" spans="1:20" ht="20.100000000000001" customHeight="1">
      <c r="A34" s="22" t="s">
        <v>21</v>
      </c>
      <c r="B34" s="20">
        <v>31</v>
      </c>
      <c r="C34" s="57">
        <f>IF(COUNTBLANK(H33)=1,(C33*Config.!$D$12)+C33,(H33*Config.!$D$12)+H33)</f>
        <v>1.8475888157854208</v>
      </c>
      <c r="D34" s="57">
        <f t="shared" si="2"/>
        <v>3.6227231682067096E-2</v>
      </c>
      <c r="E34" s="67"/>
      <c r="F34" s="68" t="str">
        <f t="shared" si="0"/>
        <v>-</v>
      </c>
      <c r="G34" s="12" t="str">
        <f>IF(COUNTBLANK(H34)=1,IF(C34&lt;=Config.!$D$10,"meta","nops"),"")</f>
        <v>nops</v>
      </c>
      <c r="H34" s="58"/>
      <c r="I34" s="59" t="str">
        <f t="shared" si="3"/>
        <v/>
      </c>
      <c r="J34" s="59" t="str">
        <f t="shared" si="1"/>
        <v/>
      </c>
      <c r="K34" s="53" t="str">
        <f t="shared" si="4"/>
        <v/>
      </c>
      <c r="R34" s="27">
        <f>IF(COUNTBLANK(T33)=1,(R33*Config.!$D$12)+R33,(T33*Config.!$D$12)+T33)</f>
        <v>1.8475888157854208</v>
      </c>
      <c r="S34" s="28" t="str">
        <f>IF(COUNTBLANK(T34)=1,IF(R34&lt;=Config.!$D$10,"meta","nops"),"")</f>
        <v>nops</v>
      </c>
      <c r="T34" s="32"/>
    </row>
    <row r="35" spans="1:20" ht="20.100000000000001" customHeight="1">
      <c r="A35" s="22" t="s">
        <v>21</v>
      </c>
      <c r="B35" s="20">
        <v>32</v>
      </c>
      <c r="C35" s="57">
        <f>IF(COUNTBLANK(H34)=1,(C34*Config.!$D$12)+C34,(H34*Config.!$D$12)+H34)</f>
        <v>1.8845405921011291</v>
      </c>
      <c r="D35" s="57">
        <f t="shared" si="2"/>
        <v>3.695177631570834E-2</v>
      </c>
      <c r="E35" s="67"/>
      <c r="F35" s="68" t="str">
        <f t="shared" si="0"/>
        <v>-</v>
      </c>
      <c r="G35" s="12" t="str">
        <f>IF(COUNTBLANK(H35)=1,IF(C35&lt;=Config.!$D$10,"meta","nops"),"")</f>
        <v>nops</v>
      </c>
      <c r="H35" s="58"/>
      <c r="I35" s="59" t="str">
        <f t="shared" si="3"/>
        <v/>
      </c>
      <c r="J35" s="59" t="str">
        <f t="shared" si="1"/>
        <v/>
      </c>
      <c r="K35" s="53" t="str">
        <f t="shared" si="4"/>
        <v/>
      </c>
      <c r="R35" s="27">
        <f>IF(COUNTBLANK(T34)=1,(R34*Config.!$D$12)+R34,(T34*Config.!$D$12)+T34)</f>
        <v>1.8845405921011291</v>
      </c>
      <c r="S35" s="28" t="str">
        <f>IF(COUNTBLANK(T35)=1,IF(R35&lt;=Config.!$D$10,"meta","nops"),"")</f>
        <v>nops</v>
      </c>
      <c r="T35" s="32"/>
    </row>
    <row r="36" spans="1:20" ht="20.100000000000001" customHeight="1">
      <c r="A36" s="22" t="s">
        <v>21</v>
      </c>
      <c r="B36" s="20">
        <v>33</v>
      </c>
      <c r="C36" s="57">
        <f>IF(COUNTBLANK(H35)=1,(C35*Config.!$D$12)+C35,(H35*Config.!$D$12)+H35)</f>
        <v>1.9222314039431516</v>
      </c>
      <c r="D36" s="57">
        <f t="shared" si="2"/>
        <v>3.7690811842022498E-2</v>
      </c>
      <c r="E36" s="67"/>
      <c r="F36" s="68" t="str">
        <f t="shared" si="0"/>
        <v>-</v>
      </c>
      <c r="G36" s="12" t="str">
        <f>IF(COUNTBLANK(H36)=1,IF(C36&lt;=Config.!$D$10,"meta","nops"),"")</f>
        <v>nops</v>
      </c>
      <c r="H36" s="58"/>
      <c r="I36" s="59" t="str">
        <f t="shared" si="3"/>
        <v/>
      </c>
      <c r="J36" s="59" t="str">
        <f t="shared" si="1"/>
        <v/>
      </c>
      <c r="K36" s="53" t="str">
        <f t="shared" si="4"/>
        <v/>
      </c>
      <c r="R36" s="27">
        <f>IF(COUNTBLANK(T35)=1,(R35*Config.!$D$12)+R35,(T35*Config.!$D$12)+T35)</f>
        <v>1.9222314039431516</v>
      </c>
      <c r="S36" s="28" t="str">
        <f>IF(COUNTBLANK(T36)=1,IF(R36&lt;=Config.!$D$10,"meta","nops"),"")</f>
        <v>nops</v>
      </c>
      <c r="T36" s="32"/>
    </row>
    <row r="37" spans="1:20" ht="20.100000000000001" customHeight="1">
      <c r="A37" s="22" t="s">
        <v>21</v>
      </c>
      <c r="B37" s="20">
        <v>34</v>
      </c>
      <c r="C37" s="57">
        <f>IF(COUNTBLANK(H36)=1,(C36*Config.!$D$12)+C36,(H36*Config.!$D$12)+H36)</f>
        <v>1.9606760320220147</v>
      </c>
      <c r="D37" s="57">
        <f t="shared" si="2"/>
        <v>3.8444628078863063E-2</v>
      </c>
      <c r="E37" s="67"/>
      <c r="F37" s="68" t="str">
        <f t="shared" si="0"/>
        <v>-</v>
      </c>
      <c r="G37" s="12" t="str">
        <f>IF(COUNTBLANK(H37)=1,IF(C37&lt;=Config.!$D$10,"meta","nops"),"")</f>
        <v>nops</v>
      </c>
      <c r="H37" s="58"/>
      <c r="I37" s="59" t="str">
        <f t="shared" si="3"/>
        <v/>
      </c>
      <c r="J37" s="59" t="str">
        <f t="shared" si="1"/>
        <v/>
      </c>
      <c r="K37" s="53" t="str">
        <f t="shared" si="4"/>
        <v/>
      </c>
      <c r="R37" s="27">
        <f>IF(COUNTBLANK(T36)=1,(R36*Config.!$D$12)+R36,(T36*Config.!$D$12)+T36)</f>
        <v>1.9606760320220147</v>
      </c>
      <c r="S37" s="28" t="str">
        <f>IF(COUNTBLANK(T37)=1,IF(R37&lt;=Config.!$D$10,"meta","nops"),"")</f>
        <v>nops</v>
      </c>
      <c r="T37" s="32"/>
    </row>
    <row r="38" spans="1:20" ht="20.100000000000001" customHeight="1">
      <c r="A38" s="22" t="s">
        <v>21</v>
      </c>
      <c r="B38" s="20">
        <v>35</v>
      </c>
      <c r="C38" s="57">
        <f>IF(COUNTBLANK(H37)=1,(C37*Config.!$D$12)+C37,(H37*Config.!$D$12)+H37)</f>
        <v>1.9998895526624549</v>
      </c>
      <c r="D38" s="57">
        <f t="shared" si="2"/>
        <v>3.9213520640440258E-2</v>
      </c>
      <c r="E38" s="67"/>
      <c r="F38" s="68" t="str">
        <f t="shared" si="0"/>
        <v>-</v>
      </c>
      <c r="G38" s="12" t="str">
        <f>IF(COUNTBLANK(H38)=1,IF(C38&lt;=Config.!$D$10,"meta","nops"),"")</f>
        <v>nops</v>
      </c>
      <c r="H38" s="58"/>
      <c r="I38" s="59" t="str">
        <f t="shared" si="3"/>
        <v/>
      </c>
      <c r="J38" s="59" t="str">
        <f t="shared" si="1"/>
        <v/>
      </c>
      <c r="K38" s="53" t="str">
        <f t="shared" si="4"/>
        <v/>
      </c>
      <c r="R38" s="27">
        <f>IF(COUNTBLANK(T37)=1,(R37*Config.!$D$12)+R37,(T37*Config.!$D$12)+T37)</f>
        <v>1.9998895526624549</v>
      </c>
      <c r="S38" s="28" t="str">
        <f>IF(COUNTBLANK(T38)=1,IF(R38&lt;=Config.!$D$10,"meta","nops"),"")</f>
        <v>nops</v>
      </c>
      <c r="T38" s="32"/>
    </row>
    <row r="39" spans="1:20" ht="20.100000000000001" customHeight="1">
      <c r="A39" s="22" t="s">
        <v>21</v>
      </c>
      <c r="B39" s="20">
        <v>36</v>
      </c>
      <c r="C39" s="57">
        <f>IF(COUNTBLANK(H38)=1,(C38*Config.!$D$12)+C38,(H38*Config.!$D$12)+H38)</f>
        <v>2.0398873437157041</v>
      </c>
      <c r="D39" s="57">
        <f t="shared" si="2"/>
        <v>3.9997791053249188E-2</v>
      </c>
      <c r="E39" s="67"/>
      <c r="F39" s="68" t="str">
        <f t="shared" si="0"/>
        <v>-</v>
      </c>
      <c r="G39" s="12" t="str">
        <f>IF(COUNTBLANK(H39)=1,IF(C39&lt;=Config.!$D$10,"meta","nops"),"")</f>
        <v>nops</v>
      </c>
      <c r="H39" s="58"/>
      <c r="I39" s="59" t="str">
        <f t="shared" si="3"/>
        <v/>
      </c>
      <c r="J39" s="59" t="str">
        <f t="shared" si="1"/>
        <v/>
      </c>
      <c r="K39" s="53" t="str">
        <f t="shared" si="4"/>
        <v/>
      </c>
      <c r="R39" s="27">
        <f>IF(COUNTBLANK(T38)=1,(R38*Config.!$D$12)+R38,(T38*Config.!$D$12)+T38)</f>
        <v>2.0398873437157041</v>
      </c>
      <c r="S39" s="28" t="str">
        <f>IF(COUNTBLANK(T39)=1,IF(R39&lt;=Config.!$D$10,"meta","nops"),"")</f>
        <v>nops</v>
      </c>
      <c r="T39" s="32"/>
    </row>
    <row r="40" spans="1:20" ht="20.100000000000001" customHeight="1">
      <c r="A40" s="22" t="s">
        <v>21</v>
      </c>
      <c r="B40" s="20">
        <v>37</v>
      </c>
      <c r="C40" s="57">
        <f>IF(COUNTBLANK(H39)=1,(C39*Config.!$D$12)+C39,(H39*Config.!$D$12)+H39)</f>
        <v>2.080685090590018</v>
      </c>
      <c r="D40" s="57">
        <f t="shared" si="2"/>
        <v>4.0797746874313923E-2</v>
      </c>
      <c r="E40" s="67"/>
      <c r="F40" s="68" t="str">
        <f t="shared" si="0"/>
        <v>-</v>
      </c>
      <c r="G40" s="12" t="str">
        <f>IF(COUNTBLANK(H40)=1,IF(C40&lt;=Config.!$D$10,"meta","nops"),"")</f>
        <v>nops</v>
      </c>
      <c r="H40" s="58"/>
      <c r="I40" s="59" t="str">
        <f t="shared" si="3"/>
        <v/>
      </c>
      <c r="J40" s="59" t="str">
        <f t="shared" si="1"/>
        <v/>
      </c>
      <c r="K40" s="53" t="str">
        <f t="shared" si="4"/>
        <v/>
      </c>
      <c r="R40" s="27">
        <f>IF(COUNTBLANK(T39)=1,(R39*Config.!$D$12)+R39,(T39*Config.!$D$12)+T39)</f>
        <v>2.080685090590018</v>
      </c>
      <c r="S40" s="28" t="str">
        <f>IF(COUNTBLANK(T40)=1,IF(R40&lt;=Config.!$D$10,"meta","nops"),"")</f>
        <v>nops</v>
      </c>
      <c r="T40" s="32"/>
    </row>
    <row r="41" spans="1:20" ht="20.100000000000001" customHeight="1">
      <c r="A41" s="22" t="s">
        <v>21</v>
      </c>
      <c r="B41" s="20">
        <v>38</v>
      </c>
      <c r="C41" s="57">
        <f>IF(COUNTBLANK(H40)=1,(C40*Config.!$D$12)+C40,(H40*Config.!$D$12)+H40)</f>
        <v>2.1222987924018186</v>
      </c>
      <c r="D41" s="57">
        <f t="shared" si="2"/>
        <v>4.1613701811800574E-2</v>
      </c>
      <c r="E41" s="67"/>
      <c r="F41" s="68" t="str">
        <f t="shared" si="0"/>
        <v>-</v>
      </c>
      <c r="G41" s="12" t="str">
        <f>IF(COUNTBLANK(H41)=1,IF(C41&lt;=Config.!$D$10,"meta","nops"),"")</f>
        <v>nops</v>
      </c>
      <c r="H41" s="58"/>
      <c r="I41" s="59" t="str">
        <f t="shared" si="3"/>
        <v/>
      </c>
      <c r="J41" s="59" t="str">
        <f t="shared" si="1"/>
        <v/>
      </c>
      <c r="K41" s="53" t="str">
        <f t="shared" si="4"/>
        <v/>
      </c>
      <c r="R41" s="27">
        <f>IF(COUNTBLANK(T40)=1,(R40*Config.!$D$12)+R40,(T40*Config.!$D$12)+T40)</f>
        <v>2.1222987924018186</v>
      </c>
      <c r="S41" s="28" t="str">
        <f>IF(COUNTBLANK(T41)=1,IF(R41&lt;=Config.!$D$10,"meta","nops"),"")</f>
        <v>nops</v>
      </c>
      <c r="T41" s="32"/>
    </row>
    <row r="42" spans="1:20" ht="20.100000000000001" customHeight="1">
      <c r="A42" s="22" t="s">
        <v>21</v>
      </c>
      <c r="B42" s="20">
        <v>39</v>
      </c>
      <c r="C42" s="57">
        <f>IF(COUNTBLANK(H41)=1,(C41*Config.!$D$12)+C41,(H41*Config.!$D$12)+H41)</f>
        <v>2.1647447682498551</v>
      </c>
      <c r="D42" s="57">
        <f t="shared" si="2"/>
        <v>4.2445975848036444E-2</v>
      </c>
      <c r="E42" s="67"/>
      <c r="F42" s="68" t="str">
        <f t="shared" si="0"/>
        <v>-</v>
      </c>
      <c r="G42" s="12" t="str">
        <f>IF(COUNTBLANK(H42)=1,IF(C42&lt;=Config.!$D$10,"meta","nops"),"")</f>
        <v>nops</v>
      </c>
      <c r="H42" s="58"/>
      <c r="I42" s="59" t="str">
        <f t="shared" si="3"/>
        <v/>
      </c>
      <c r="J42" s="59" t="str">
        <f t="shared" si="1"/>
        <v/>
      </c>
      <c r="K42" s="53" t="str">
        <f t="shared" si="4"/>
        <v/>
      </c>
      <c r="R42" s="27">
        <f>IF(COUNTBLANK(T41)=1,(R41*Config.!$D$12)+R41,(T41*Config.!$D$12)+T41)</f>
        <v>2.1647447682498551</v>
      </c>
      <c r="S42" s="28" t="str">
        <f>IF(COUNTBLANK(T42)=1,IF(R42&lt;=Config.!$D$10,"meta","nops"),"")</f>
        <v>nops</v>
      </c>
      <c r="T42" s="32"/>
    </row>
    <row r="43" spans="1:20" ht="20.100000000000001" customHeight="1">
      <c r="A43" s="22" t="s">
        <v>21</v>
      </c>
      <c r="B43" s="20">
        <v>40</v>
      </c>
      <c r="C43" s="57">
        <f>IF(COUNTBLANK(H42)=1,(C42*Config.!$D$12)+C42,(H42*Config.!$D$12)+H42)</f>
        <v>2.2080396636148523</v>
      </c>
      <c r="D43" s="57">
        <f t="shared" si="2"/>
        <v>4.3294895364997199E-2</v>
      </c>
      <c r="E43" s="67"/>
      <c r="F43" s="68" t="str">
        <f t="shared" si="0"/>
        <v>-</v>
      </c>
      <c r="G43" s="12" t="str">
        <f>IF(COUNTBLANK(H43)=1,IF(C43&lt;=Config.!$D$10,"meta","nops"),"")</f>
        <v>nops</v>
      </c>
      <c r="H43" s="58"/>
      <c r="I43" s="59" t="str">
        <f t="shared" si="3"/>
        <v/>
      </c>
      <c r="J43" s="59" t="str">
        <f t="shared" si="1"/>
        <v/>
      </c>
      <c r="K43" s="53" t="str">
        <f t="shared" si="4"/>
        <v/>
      </c>
      <c r="R43" s="27">
        <f>IF(COUNTBLANK(T42)=1,(R42*Config.!$D$12)+R42,(T42*Config.!$D$12)+T42)</f>
        <v>2.2080396636148523</v>
      </c>
      <c r="S43" s="28" t="str">
        <f>IF(COUNTBLANK(T43)=1,IF(R43&lt;=Config.!$D$10,"meta","nops"),"")</f>
        <v>nops</v>
      </c>
      <c r="T43" s="32"/>
    </row>
    <row r="44" spans="1:20" ht="20.100000000000001" customHeight="1">
      <c r="A44" s="22" t="s">
        <v>21</v>
      </c>
      <c r="B44" s="20">
        <v>41</v>
      </c>
      <c r="C44" s="57">
        <f>IF(COUNTBLANK(H43)=1,(C43*Config.!$D$12)+C43,(H43*Config.!$D$12)+H43)</f>
        <v>2.2522004568871492</v>
      </c>
      <c r="D44" s="57">
        <f t="shared" si="2"/>
        <v>4.4160793272296939E-2</v>
      </c>
      <c r="E44" s="67"/>
      <c r="F44" s="68" t="str">
        <f t="shared" si="0"/>
        <v>-</v>
      </c>
      <c r="G44" s="12" t="str">
        <f>IF(COUNTBLANK(H44)=1,IF(C44&lt;=Config.!$D$10,"meta","nops"),"")</f>
        <v>nops</v>
      </c>
      <c r="H44" s="58"/>
      <c r="I44" s="59" t="str">
        <f t="shared" si="3"/>
        <v/>
      </c>
      <c r="J44" s="59" t="str">
        <f t="shared" si="1"/>
        <v/>
      </c>
      <c r="K44" s="53" t="str">
        <f t="shared" si="4"/>
        <v/>
      </c>
      <c r="R44" s="27">
        <f>IF(COUNTBLANK(T43)=1,(R43*Config.!$D$12)+R43,(T43*Config.!$D$12)+T43)</f>
        <v>2.2522004568871492</v>
      </c>
      <c r="S44" s="28" t="str">
        <f>IF(COUNTBLANK(T44)=1,IF(R44&lt;=Config.!$D$10,"meta","nops"),"")</f>
        <v>nops</v>
      </c>
      <c r="T44" s="32"/>
    </row>
    <row r="45" spans="1:20" ht="20.100000000000001" customHeight="1">
      <c r="A45" s="22" t="s">
        <v>21</v>
      </c>
      <c r="B45" s="20">
        <v>42</v>
      </c>
      <c r="C45" s="57">
        <f>IF(COUNTBLANK(H44)=1,(C44*Config.!$D$12)+C44,(H44*Config.!$D$12)+H44)</f>
        <v>2.2972444660248921</v>
      </c>
      <c r="D45" s="57">
        <f t="shared" si="2"/>
        <v>4.5044009137742869E-2</v>
      </c>
      <c r="E45" s="67"/>
      <c r="F45" s="68" t="str">
        <f t="shared" si="0"/>
        <v>-</v>
      </c>
      <c r="G45" s="12" t="str">
        <f>IF(COUNTBLANK(H45)=1,IF(C45&lt;=Config.!$D$10,"meta","nops"),"")</f>
        <v>nops</v>
      </c>
      <c r="H45" s="58"/>
      <c r="I45" s="59" t="str">
        <f t="shared" si="3"/>
        <v/>
      </c>
      <c r="J45" s="59" t="str">
        <f t="shared" si="1"/>
        <v/>
      </c>
      <c r="K45" s="53" t="str">
        <f t="shared" si="4"/>
        <v/>
      </c>
      <c r="R45" s="27">
        <f>IF(COUNTBLANK(T44)=1,(R44*Config.!$D$12)+R44,(T44*Config.!$D$12)+T44)</f>
        <v>2.2972444660248921</v>
      </c>
      <c r="S45" s="28" t="str">
        <f>IF(COUNTBLANK(T45)=1,IF(R45&lt;=Config.!$D$10,"meta","nops"),"")</f>
        <v>nops</v>
      </c>
      <c r="T45" s="32"/>
    </row>
    <row r="46" spans="1:20" ht="20.100000000000001" customHeight="1">
      <c r="A46" s="22" t="s">
        <v>21</v>
      </c>
      <c r="B46" s="20">
        <v>43</v>
      </c>
      <c r="C46" s="57">
        <f>IF(COUNTBLANK(H45)=1,(C45*Config.!$D$12)+C45,(H45*Config.!$D$12)+H45)</f>
        <v>2.3431893553453897</v>
      </c>
      <c r="D46" s="57">
        <f t="shared" si="2"/>
        <v>4.5944889320497673E-2</v>
      </c>
      <c r="E46" s="67"/>
      <c r="F46" s="68" t="str">
        <f t="shared" si="0"/>
        <v>-</v>
      </c>
      <c r="G46" s="12" t="str">
        <f>IF(COUNTBLANK(H46)=1,IF(C46&lt;=Config.!$D$10,"meta","nops"),"")</f>
        <v>nops</v>
      </c>
      <c r="H46" s="58"/>
      <c r="I46" s="59" t="str">
        <f t="shared" si="3"/>
        <v/>
      </c>
      <c r="J46" s="59" t="str">
        <f t="shared" si="1"/>
        <v/>
      </c>
      <c r="K46" s="53" t="str">
        <f t="shared" si="4"/>
        <v/>
      </c>
      <c r="R46" s="27">
        <f>IF(COUNTBLANK(T45)=1,(R45*Config.!$D$12)+R45,(T45*Config.!$D$12)+T45)</f>
        <v>2.3431893553453897</v>
      </c>
      <c r="S46" s="28" t="str">
        <f>IF(COUNTBLANK(T46)=1,IF(R46&lt;=Config.!$D$10,"meta","nops"),"")</f>
        <v>nops</v>
      </c>
      <c r="T46" s="32"/>
    </row>
    <row r="47" spans="1:20" ht="20.100000000000001" customHeight="1">
      <c r="A47" s="22" t="s">
        <v>21</v>
      </c>
      <c r="B47" s="20">
        <v>44</v>
      </c>
      <c r="C47" s="57">
        <f>IF(COUNTBLANK(H46)=1,(C46*Config.!$D$12)+C46,(H46*Config.!$D$12)+H46)</f>
        <v>2.3900531424522975</v>
      </c>
      <c r="D47" s="57">
        <f t="shared" si="2"/>
        <v>4.6863787106907751E-2</v>
      </c>
      <c r="E47" s="67"/>
      <c r="F47" s="68" t="str">
        <f t="shared" si="0"/>
        <v>-</v>
      </c>
      <c r="G47" s="12" t="str">
        <f>IF(COUNTBLANK(H47)=1,IF(C47&lt;=Config.!$D$10,"meta","nops"),"")</f>
        <v>nops</v>
      </c>
      <c r="H47" s="58"/>
      <c r="I47" s="59" t="str">
        <f t="shared" si="3"/>
        <v/>
      </c>
      <c r="J47" s="59" t="str">
        <f t="shared" si="1"/>
        <v/>
      </c>
      <c r="K47" s="53" t="str">
        <f t="shared" si="4"/>
        <v/>
      </c>
      <c r="R47" s="27">
        <f>IF(COUNTBLANK(T46)=1,(R46*Config.!$D$12)+R46,(T46*Config.!$D$12)+T46)</f>
        <v>2.3900531424522975</v>
      </c>
      <c r="S47" s="28" t="str">
        <f>IF(COUNTBLANK(T47)=1,IF(R47&lt;=Config.!$D$10,"meta","nops"),"")</f>
        <v>nops</v>
      </c>
      <c r="T47" s="32"/>
    </row>
    <row r="48" spans="1:20" ht="20.100000000000001" customHeight="1">
      <c r="A48" s="22" t="s">
        <v>21</v>
      </c>
      <c r="B48" s="20">
        <v>45</v>
      </c>
      <c r="C48" s="57">
        <f>IF(COUNTBLANK(H47)=1,(C47*Config.!$D$12)+C47,(H47*Config.!$D$12)+H47)</f>
        <v>2.4378542053013437</v>
      </c>
      <c r="D48" s="57">
        <f t="shared" si="2"/>
        <v>4.7801062849046172E-2</v>
      </c>
      <c r="E48" s="67"/>
      <c r="F48" s="68" t="str">
        <f t="shared" si="0"/>
        <v>-</v>
      </c>
      <c r="G48" s="12" t="str">
        <f>IF(COUNTBLANK(H48)=1,IF(C48&lt;=Config.!$D$10,"meta","nops"),"")</f>
        <v>nops</v>
      </c>
      <c r="H48" s="58"/>
      <c r="I48" s="59" t="str">
        <f t="shared" si="3"/>
        <v/>
      </c>
      <c r="J48" s="59" t="str">
        <f t="shared" si="1"/>
        <v/>
      </c>
      <c r="K48" s="53" t="str">
        <f t="shared" si="4"/>
        <v/>
      </c>
      <c r="R48" s="27">
        <f>IF(COUNTBLANK(T47)=1,(R47*Config.!$D$12)+R47,(T47*Config.!$D$12)+T47)</f>
        <v>2.4378542053013437</v>
      </c>
      <c r="S48" s="28" t="str">
        <f>IF(COUNTBLANK(T48)=1,IF(R48&lt;=Config.!$D$10,"meta","nops"),"")</f>
        <v>nops</v>
      </c>
      <c r="T48" s="32"/>
    </row>
    <row r="49" spans="1:20" ht="20.100000000000001" customHeight="1">
      <c r="A49" s="22" t="s">
        <v>21</v>
      </c>
      <c r="B49" s="20">
        <v>46</v>
      </c>
      <c r="C49" s="57">
        <f>IF(COUNTBLANK(H48)=1,(C48*Config.!$D$12)+C48,(H48*Config.!$D$12)+H48)</f>
        <v>2.4866112894073704</v>
      </c>
      <c r="D49" s="57">
        <f t="shared" si="2"/>
        <v>4.8757084106026749E-2</v>
      </c>
      <c r="E49" s="67"/>
      <c r="F49" s="68" t="str">
        <f t="shared" si="0"/>
        <v>-</v>
      </c>
      <c r="G49" s="12" t="str">
        <f>IF(COUNTBLANK(H49)=1,IF(C49&lt;=Config.!$D$10,"meta","nops"),"")</f>
        <v>nops</v>
      </c>
      <c r="H49" s="58"/>
      <c r="I49" s="59" t="str">
        <f t="shared" si="3"/>
        <v/>
      </c>
      <c r="J49" s="59" t="str">
        <f t="shared" si="1"/>
        <v/>
      </c>
      <c r="K49" s="53" t="str">
        <f t="shared" si="4"/>
        <v/>
      </c>
      <c r="R49" s="27">
        <f>IF(COUNTBLANK(T48)=1,(R48*Config.!$D$12)+R48,(T48*Config.!$D$12)+T48)</f>
        <v>2.4866112894073704</v>
      </c>
      <c r="S49" s="28" t="str">
        <f>IF(COUNTBLANK(T49)=1,IF(R49&lt;=Config.!$D$10,"meta","nops"),"")</f>
        <v>nops</v>
      </c>
      <c r="T49" s="32"/>
    </row>
    <row r="50" spans="1:20" ht="20.100000000000001" customHeight="1">
      <c r="A50" s="22" t="s">
        <v>21</v>
      </c>
      <c r="B50" s="20">
        <v>47</v>
      </c>
      <c r="C50" s="57">
        <f>IF(COUNTBLANK(H49)=1,(C49*Config.!$D$12)+C49,(H49*Config.!$D$12)+H49)</f>
        <v>2.5363435151955178</v>
      </c>
      <c r="D50" s="57">
        <f t="shared" si="2"/>
        <v>4.9732225788147399E-2</v>
      </c>
      <c r="E50" s="67"/>
      <c r="F50" s="68" t="str">
        <f t="shared" si="0"/>
        <v>-</v>
      </c>
      <c r="G50" s="12" t="str">
        <f>IF(COUNTBLANK(H50)=1,IF(C50&lt;=Config.!$D$10,"meta","nops"),"")</f>
        <v>nops</v>
      </c>
      <c r="H50" s="58"/>
      <c r="I50" s="59" t="str">
        <f t="shared" si="3"/>
        <v/>
      </c>
      <c r="J50" s="59" t="str">
        <f t="shared" si="1"/>
        <v/>
      </c>
      <c r="K50" s="53" t="str">
        <f t="shared" si="4"/>
        <v/>
      </c>
      <c r="R50" s="27">
        <f>IF(COUNTBLANK(T49)=1,(R49*Config.!$D$12)+R49,(T49*Config.!$D$12)+T49)</f>
        <v>2.5363435151955178</v>
      </c>
      <c r="S50" s="28" t="str">
        <f>IF(COUNTBLANK(T50)=1,IF(R50&lt;=Config.!$D$10,"meta","nops"),"")</f>
        <v>nops</v>
      </c>
      <c r="T50" s="32"/>
    </row>
    <row r="51" spans="1:20" ht="20.100000000000001" customHeight="1">
      <c r="A51" s="22" t="s">
        <v>21</v>
      </c>
      <c r="B51" s="20">
        <v>48</v>
      </c>
      <c r="C51" s="57">
        <f>IF(COUNTBLANK(H50)=1,(C50*Config.!$D$12)+C50,(H50*Config.!$D$12)+H50)</f>
        <v>2.5870703854994281</v>
      </c>
      <c r="D51" s="57">
        <f t="shared" si="2"/>
        <v>5.0726870303910321E-2</v>
      </c>
      <c r="E51" s="67"/>
      <c r="F51" s="68" t="str">
        <f t="shared" si="0"/>
        <v>-</v>
      </c>
      <c r="G51" s="12" t="str">
        <f>IF(COUNTBLANK(H51)=1,IF(C51&lt;=Config.!$D$10,"meta","nops"),"")</f>
        <v>nops</v>
      </c>
      <c r="H51" s="58"/>
      <c r="I51" s="59" t="str">
        <f t="shared" si="3"/>
        <v/>
      </c>
      <c r="J51" s="59" t="str">
        <f t="shared" si="1"/>
        <v/>
      </c>
      <c r="K51" s="53" t="str">
        <f t="shared" si="4"/>
        <v/>
      </c>
      <c r="R51" s="27">
        <f>IF(COUNTBLANK(T50)=1,(R50*Config.!$D$12)+R50,(T50*Config.!$D$12)+T50)</f>
        <v>2.5870703854994281</v>
      </c>
      <c r="S51" s="28" t="str">
        <f>IF(COUNTBLANK(T51)=1,IF(R51&lt;=Config.!$D$10,"meta","nops"),"")</f>
        <v>nops</v>
      </c>
      <c r="T51" s="32"/>
    </row>
    <row r="52" spans="1:20" ht="20.100000000000001" customHeight="1">
      <c r="A52" s="22" t="s">
        <v>21</v>
      </c>
      <c r="B52" s="20">
        <v>49</v>
      </c>
      <c r="C52" s="57">
        <f>IF(COUNTBLANK(H51)=1,(C51*Config.!$D$12)+C51,(H51*Config.!$D$12)+H51)</f>
        <v>2.6388117932094168</v>
      </c>
      <c r="D52" s="57">
        <f t="shared" si="2"/>
        <v>5.1741407709988696E-2</v>
      </c>
      <c r="E52" s="67"/>
      <c r="F52" s="68" t="str">
        <f t="shared" si="0"/>
        <v>-</v>
      </c>
      <c r="G52" s="12" t="str">
        <f>IF(COUNTBLANK(H52)=1,IF(C52&lt;=Config.!$D$10,"meta","nops"),"")</f>
        <v>nops</v>
      </c>
      <c r="H52" s="58"/>
      <c r="I52" s="59" t="str">
        <f t="shared" si="3"/>
        <v/>
      </c>
      <c r="J52" s="59" t="str">
        <f t="shared" si="1"/>
        <v/>
      </c>
      <c r="K52" s="53" t="str">
        <f t="shared" si="4"/>
        <v/>
      </c>
      <c r="R52" s="27">
        <f>IF(COUNTBLANK(T51)=1,(R51*Config.!$D$12)+R51,(T51*Config.!$D$12)+T51)</f>
        <v>2.6388117932094168</v>
      </c>
      <c r="S52" s="28" t="str">
        <f>IF(COUNTBLANK(T52)=1,IF(R52&lt;=Config.!$D$10,"meta","nops"),"")</f>
        <v>nops</v>
      </c>
      <c r="T52" s="32"/>
    </row>
    <row r="53" spans="1:20" ht="20.100000000000001" customHeight="1">
      <c r="A53" s="22" t="s">
        <v>21</v>
      </c>
      <c r="B53" s="20">
        <v>50</v>
      </c>
      <c r="C53" s="57">
        <f>IF(COUNTBLANK(H52)=1,(C52*Config.!$D$12)+C52,(H52*Config.!$D$12)+H52)</f>
        <v>2.6915880290736052</v>
      </c>
      <c r="D53" s="57">
        <f t="shared" si="2"/>
        <v>5.2776235864188337E-2</v>
      </c>
      <c r="E53" s="67"/>
      <c r="F53" s="68" t="str">
        <f t="shared" si="0"/>
        <v>-</v>
      </c>
      <c r="G53" s="12" t="str">
        <f>IF(COUNTBLANK(H53)=1,IF(C53&lt;=Config.!$D$10,"meta","nops"),"")</f>
        <v>nops</v>
      </c>
      <c r="H53" s="58"/>
      <c r="I53" s="59" t="str">
        <f t="shared" si="3"/>
        <v/>
      </c>
      <c r="J53" s="59" t="str">
        <f t="shared" si="1"/>
        <v/>
      </c>
      <c r="K53" s="53" t="str">
        <f t="shared" si="4"/>
        <v/>
      </c>
      <c r="R53" s="27">
        <f>IF(COUNTBLANK(T52)=1,(R52*Config.!$D$12)+R52,(T52*Config.!$D$12)+T52)</f>
        <v>2.6915880290736052</v>
      </c>
      <c r="S53" s="28" t="str">
        <f>IF(COUNTBLANK(T53)=1,IF(R53&lt;=Config.!$D$10,"meta","nops"),"")</f>
        <v>nops</v>
      </c>
      <c r="T53" s="32"/>
    </row>
    <row r="54" spans="1:20" ht="20.100000000000001" customHeight="1">
      <c r="A54" s="22" t="s">
        <v>21</v>
      </c>
      <c r="B54" s="20">
        <v>51</v>
      </c>
      <c r="C54" s="57">
        <f>IF(COUNTBLANK(H53)=1,(C53*Config.!$D$12)+C53,(H53*Config.!$D$12)+H53)</f>
        <v>2.7454197896550774</v>
      </c>
      <c r="D54" s="57">
        <f t="shared" si="2"/>
        <v>5.383176058147221E-2</v>
      </c>
      <c r="E54" s="67"/>
      <c r="F54" s="68" t="str">
        <f t="shared" si="0"/>
        <v>-</v>
      </c>
      <c r="G54" s="12" t="str">
        <f>IF(COUNTBLANK(H54)=1,IF(C54&lt;=Config.!$D$10,"meta","nops"),"")</f>
        <v>nops</v>
      </c>
      <c r="H54" s="58"/>
      <c r="I54" s="59" t="str">
        <f t="shared" si="3"/>
        <v/>
      </c>
      <c r="J54" s="59" t="str">
        <f t="shared" si="1"/>
        <v/>
      </c>
      <c r="K54" s="53" t="str">
        <f t="shared" si="4"/>
        <v/>
      </c>
      <c r="R54" s="27">
        <f>IF(COUNTBLANK(T53)=1,(R53*Config.!$D$12)+R53,(T53*Config.!$D$12)+T53)</f>
        <v>2.7454197896550774</v>
      </c>
      <c r="S54" s="28" t="str">
        <f>IF(COUNTBLANK(T54)=1,IF(R54&lt;=Config.!$D$10,"meta","nops"),"")</f>
        <v>nops</v>
      </c>
      <c r="T54" s="32"/>
    </row>
    <row r="55" spans="1:20" ht="20.100000000000001" customHeight="1">
      <c r="A55" s="22" t="s">
        <v>21</v>
      </c>
      <c r="B55" s="20">
        <v>52</v>
      </c>
      <c r="C55" s="57">
        <f>IF(COUNTBLANK(H54)=1,(C54*Config.!$D$12)+C54,(H54*Config.!$D$12)+H54)</f>
        <v>2.800328185448179</v>
      </c>
      <c r="D55" s="57">
        <f t="shared" si="2"/>
        <v>5.4908395793101583E-2</v>
      </c>
      <c r="E55" s="67"/>
      <c r="F55" s="68" t="str">
        <f t="shared" si="0"/>
        <v>-</v>
      </c>
      <c r="G55" s="12" t="str">
        <f>IF(COUNTBLANK(H55)=1,IF(C55&lt;=Config.!$D$10,"meta","nops"),"")</f>
        <v>nops</v>
      </c>
      <c r="H55" s="58"/>
      <c r="I55" s="59" t="str">
        <f t="shared" si="3"/>
        <v/>
      </c>
      <c r="J55" s="59" t="str">
        <f t="shared" si="1"/>
        <v/>
      </c>
      <c r="K55" s="53" t="str">
        <f t="shared" si="4"/>
        <v/>
      </c>
      <c r="R55" s="27">
        <f>IF(COUNTBLANK(T54)=1,(R54*Config.!$D$12)+R54,(T54*Config.!$D$12)+T54)</f>
        <v>2.800328185448179</v>
      </c>
      <c r="S55" s="28" t="str">
        <f>IF(COUNTBLANK(T55)=1,IF(R55&lt;=Config.!$D$10,"meta","nops"),"")</f>
        <v>nops</v>
      </c>
      <c r="T55" s="32"/>
    </row>
    <row r="56" spans="1:20" ht="20.100000000000001" customHeight="1">
      <c r="A56" s="22" t="s">
        <v>21</v>
      </c>
      <c r="B56" s="20">
        <v>53</v>
      </c>
      <c r="C56" s="57">
        <f>IF(COUNTBLANK(H55)=1,(C55*Config.!$D$12)+C55,(H55*Config.!$D$12)+H55)</f>
        <v>2.8563347491571425</v>
      </c>
      <c r="D56" s="57">
        <f t="shared" si="2"/>
        <v>5.6006563708963508E-2</v>
      </c>
      <c r="E56" s="67"/>
      <c r="F56" s="68" t="str">
        <f t="shared" si="0"/>
        <v>-</v>
      </c>
      <c r="G56" s="12" t="str">
        <f>IF(COUNTBLANK(H56)=1,IF(C56&lt;=Config.!$D$10,"meta","nops"),"")</f>
        <v>nops</v>
      </c>
      <c r="H56" s="58"/>
      <c r="I56" s="59" t="str">
        <f t="shared" si="3"/>
        <v/>
      </c>
      <c r="J56" s="59" t="str">
        <f t="shared" si="1"/>
        <v/>
      </c>
      <c r="K56" s="53" t="str">
        <f t="shared" si="4"/>
        <v/>
      </c>
      <c r="R56" s="27">
        <f>IF(COUNTBLANK(T55)=1,(R55*Config.!$D$12)+R55,(T55*Config.!$D$12)+T55)</f>
        <v>2.8563347491571425</v>
      </c>
      <c r="S56" s="28" t="str">
        <f>IF(COUNTBLANK(T56)=1,IF(R56&lt;=Config.!$D$10,"meta","nops"),"")</f>
        <v>nops</v>
      </c>
      <c r="T56" s="32"/>
    </row>
    <row r="57" spans="1:20" ht="20.100000000000001" customHeight="1">
      <c r="A57" s="22" t="s">
        <v>21</v>
      </c>
      <c r="B57" s="20">
        <v>54</v>
      </c>
      <c r="C57" s="57">
        <f>IF(COUNTBLANK(H56)=1,(C56*Config.!$D$12)+C56,(H56*Config.!$D$12)+H56)</f>
        <v>2.9134614441402853</v>
      </c>
      <c r="D57" s="57">
        <f t="shared" si="2"/>
        <v>5.7126694983142823E-2</v>
      </c>
      <c r="E57" s="67"/>
      <c r="F57" s="68" t="str">
        <f t="shared" si="0"/>
        <v>-</v>
      </c>
      <c r="G57" s="12" t="str">
        <f>IF(COUNTBLANK(H57)=1,IF(C57&lt;=Config.!$D$10,"meta","nops"),"")</f>
        <v>nops</v>
      </c>
      <c r="H57" s="58"/>
      <c r="I57" s="59" t="str">
        <f t="shared" si="3"/>
        <v/>
      </c>
      <c r="J57" s="59" t="str">
        <f t="shared" si="1"/>
        <v/>
      </c>
      <c r="K57" s="53" t="str">
        <f t="shared" si="4"/>
        <v/>
      </c>
      <c r="R57" s="27">
        <f>IF(COUNTBLANK(T56)=1,(R56*Config.!$D$12)+R56,(T56*Config.!$D$12)+T56)</f>
        <v>2.9134614441402853</v>
      </c>
      <c r="S57" s="28" t="str">
        <f>IF(COUNTBLANK(T57)=1,IF(R57&lt;=Config.!$D$10,"meta","nops"),"")</f>
        <v>nops</v>
      </c>
      <c r="T57" s="32"/>
    </row>
    <row r="58" spans="1:20" ht="20.100000000000001" customHeight="1">
      <c r="A58" s="22" t="s">
        <v>21</v>
      </c>
      <c r="B58" s="20">
        <v>55</v>
      </c>
      <c r="C58" s="57">
        <f>IF(COUNTBLANK(H57)=1,(C57*Config.!$D$12)+C57,(H57*Config.!$D$12)+H57)</f>
        <v>2.971730673023091</v>
      </c>
      <c r="D58" s="57">
        <f t="shared" si="2"/>
        <v>5.8269228882805724E-2</v>
      </c>
      <c r="E58" s="67"/>
      <c r="F58" s="68" t="str">
        <f t="shared" si="0"/>
        <v>-</v>
      </c>
      <c r="G58" s="12" t="str">
        <f>IF(COUNTBLANK(H58)=1,IF(C58&lt;=Config.!$D$10,"meta","nops"),"")</f>
        <v>nops</v>
      </c>
      <c r="H58" s="58"/>
      <c r="I58" s="59" t="str">
        <f t="shared" si="3"/>
        <v/>
      </c>
      <c r="J58" s="59" t="str">
        <f t="shared" si="1"/>
        <v/>
      </c>
      <c r="K58" s="53" t="str">
        <f t="shared" si="4"/>
        <v/>
      </c>
      <c r="R58" s="27">
        <f>IF(COUNTBLANK(T57)=1,(R57*Config.!$D$12)+R57,(T57*Config.!$D$12)+T57)</f>
        <v>2.971730673023091</v>
      </c>
      <c r="S58" s="28" t="str">
        <f>IF(COUNTBLANK(T58)=1,IF(R58&lt;=Config.!$D$10,"meta","nops"),"")</f>
        <v>nops</v>
      </c>
      <c r="T58" s="32"/>
    </row>
    <row r="59" spans="1:20" ht="20.100000000000001" customHeight="1">
      <c r="A59" s="22" t="s">
        <v>21</v>
      </c>
      <c r="B59" s="20">
        <v>56</v>
      </c>
      <c r="C59" s="57">
        <f>IF(COUNTBLANK(H58)=1,(C58*Config.!$D$12)+C58,(H58*Config.!$D$12)+H58)</f>
        <v>3.031165286483553</v>
      </c>
      <c r="D59" s="57">
        <f t="shared" si="2"/>
        <v>5.9434613460461971E-2</v>
      </c>
      <c r="E59" s="67"/>
      <c r="F59" s="68" t="str">
        <f t="shared" si="0"/>
        <v>-</v>
      </c>
      <c r="G59" s="12" t="str">
        <f>IF(COUNTBLANK(H59)=1,IF(C59&lt;=Config.!$D$10,"meta","nops"),"")</f>
        <v>nops</v>
      </c>
      <c r="H59" s="58"/>
      <c r="I59" s="59" t="str">
        <f t="shared" si="3"/>
        <v/>
      </c>
      <c r="J59" s="59" t="str">
        <f t="shared" si="1"/>
        <v/>
      </c>
      <c r="K59" s="53" t="str">
        <f t="shared" si="4"/>
        <v/>
      </c>
      <c r="R59" s="27">
        <f>IF(COUNTBLANK(T58)=1,(R58*Config.!$D$12)+R58,(T58*Config.!$D$12)+T58)</f>
        <v>3.031165286483553</v>
      </c>
      <c r="S59" s="28" t="str">
        <f>IF(COUNTBLANK(T59)=1,IF(R59&lt;=Config.!$D$10,"meta","nops"),"")</f>
        <v>nops</v>
      </c>
      <c r="T59" s="32"/>
    </row>
    <row r="60" spans="1:20" ht="20.100000000000001" customHeight="1">
      <c r="A60" s="22" t="s">
        <v>21</v>
      </c>
      <c r="B60" s="20">
        <v>57</v>
      </c>
      <c r="C60" s="57">
        <f>IF(COUNTBLANK(H59)=1,(C59*Config.!$D$12)+C59,(H59*Config.!$D$12)+H59)</f>
        <v>3.091788592213224</v>
      </c>
      <c r="D60" s="57">
        <f t="shared" si="2"/>
        <v>6.0623305729671007E-2</v>
      </c>
      <c r="E60" s="67"/>
      <c r="F60" s="68" t="str">
        <f t="shared" si="0"/>
        <v>-</v>
      </c>
      <c r="G60" s="12" t="str">
        <f>IF(COUNTBLANK(H60)=1,IF(C60&lt;=Config.!$D$10,"meta","nops"),"")</f>
        <v>nops</v>
      </c>
      <c r="H60" s="58"/>
      <c r="I60" s="59" t="str">
        <f t="shared" si="3"/>
        <v/>
      </c>
      <c r="J60" s="59" t="str">
        <f t="shared" si="1"/>
        <v/>
      </c>
      <c r="K60" s="53" t="str">
        <f t="shared" si="4"/>
        <v/>
      </c>
      <c r="R60" s="27">
        <f>IF(COUNTBLANK(T59)=1,(R59*Config.!$D$12)+R59,(T59*Config.!$D$12)+T59)</f>
        <v>3.091788592213224</v>
      </c>
      <c r="S60" s="28" t="str">
        <f>IF(COUNTBLANK(T60)=1,IF(R60&lt;=Config.!$D$10,"meta","nops"),"")</f>
        <v>nops</v>
      </c>
      <c r="T60" s="32"/>
    </row>
    <row r="61" spans="1:20" ht="20.100000000000001" customHeight="1">
      <c r="A61" s="22" t="s">
        <v>21</v>
      </c>
      <c r="B61" s="20">
        <v>58</v>
      </c>
      <c r="C61" s="57">
        <f>IF(COUNTBLANK(H60)=1,(C60*Config.!$D$12)+C60,(H60*Config.!$D$12)+H60)</f>
        <v>3.1536243640574884</v>
      </c>
      <c r="D61" s="57">
        <f t="shared" si="2"/>
        <v>6.1835771844264364E-2</v>
      </c>
      <c r="E61" s="67"/>
      <c r="F61" s="68" t="str">
        <f t="shared" si="0"/>
        <v>-</v>
      </c>
      <c r="G61" s="12" t="str">
        <f>IF(COUNTBLANK(H61)=1,IF(C61&lt;=Config.!$D$10,"meta","nops"),"")</f>
        <v>nops</v>
      </c>
      <c r="H61" s="58"/>
      <c r="I61" s="59" t="str">
        <f t="shared" si="3"/>
        <v/>
      </c>
      <c r="J61" s="59" t="str">
        <f t="shared" si="1"/>
        <v/>
      </c>
      <c r="K61" s="53" t="str">
        <f t="shared" si="4"/>
        <v/>
      </c>
      <c r="R61" s="27">
        <f>IF(COUNTBLANK(T60)=1,(R60*Config.!$D$12)+R60,(T60*Config.!$D$12)+T60)</f>
        <v>3.1536243640574884</v>
      </c>
      <c r="S61" s="28" t="str">
        <f>IF(COUNTBLANK(T61)=1,IF(R61&lt;=Config.!$D$10,"meta","nops"),"")</f>
        <v>nops</v>
      </c>
      <c r="T61" s="32"/>
    </row>
    <row r="62" spans="1:20" ht="20.100000000000001" customHeight="1">
      <c r="A62" s="22" t="s">
        <v>21</v>
      </c>
      <c r="B62" s="20">
        <v>59</v>
      </c>
      <c r="C62" s="57">
        <f>IF(COUNTBLANK(H61)=1,(C61*Config.!$D$12)+C61,(H61*Config.!$D$12)+H61)</f>
        <v>3.216696851338638</v>
      </c>
      <c r="D62" s="57">
        <f t="shared" si="2"/>
        <v>6.307248728114967E-2</v>
      </c>
      <c r="E62" s="67"/>
      <c r="F62" s="68" t="str">
        <f t="shared" si="0"/>
        <v>-</v>
      </c>
      <c r="G62" s="12" t="str">
        <f>IF(COUNTBLANK(H62)=1,IF(C62&lt;=Config.!$D$10,"meta","nops"),"")</f>
        <v>nops</v>
      </c>
      <c r="H62" s="58"/>
      <c r="I62" s="59" t="str">
        <f t="shared" si="3"/>
        <v/>
      </c>
      <c r="J62" s="59" t="str">
        <f t="shared" si="1"/>
        <v/>
      </c>
      <c r="K62" s="53" t="str">
        <f t="shared" si="4"/>
        <v/>
      </c>
      <c r="R62" s="27">
        <f>IF(COUNTBLANK(T61)=1,(R61*Config.!$D$12)+R61,(T61*Config.!$D$12)+T61)</f>
        <v>3.216696851338638</v>
      </c>
      <c r="S62" s="28" t="str">
        <f>IF(COUNTBLANK(T62)=1,IF(R62&lt;=Config.!$D$10,"meta","nops"),"")</f>
        <v>nops</v>
      </c>
      <c r="T62" s="32"/>
    </row>
    <row r="63" spans="1:20" ht="20.100000000000001" customHeight="1">
      <c r="A63" s="22" t="s">
        <v>21</v>
      </c>
      <c r="B63" s="20">
        <v>60</v>
      </c>
      <c r="C63" s="57">
        <f>IF(COUNTBLANK(H62)=1,(C62*Config.!$D$12)+C62,(H62*Config.!$D$12)+H62)</f>
        <v>3.2810307883654106</v>
      </c>
      <c r="D63" s="57">
        <f t="shared" si="2"/>
        <v>6.4333937026772592E-2</v>
      </c>
      <c r="E63" s="67"/>
      <c r="F63" s="68" t="str">
        <f t="shared" si="0"/>
        <v>-</v>
      </c>
      <c r="G63" s="12" t="str">
        <f>IF(COUNTBLANK(H63)=1,IF(C63&lt;=Config.!$D$10,"meta","nops"),"")</f>
        <v>nops</v>
      </c>
      <c r="H63" s="58"/>
      <c r="I63" s="59" t="str">
        <f t="shared" si="3"/>
        <v/>
      </c>
      <c r="J63" s="59" t="str">
        <f t="shared" si="1"/>
        <v/>
      </c>
      <c r="K63" s="53" t="str">
        <f t="shared" si="4"/>
        <v/>
      </c>
      <c r="R63" s="27">
        <f>IF(COUNTBLANK(T62)=1,(R62*Config.!$D$12)+R62,(T62*Config.!$D$12)+T62)</f>
        <v>3.2810307883654106</v>
      </c>
      <c r="S63" s="28" t="str">
        <f>IF(COUNTBLANK(T63)=1,IF(R63&lt;=Config.!$D$10,"meta","nops"),"")</f>
        <v>nops</v>
      </c>
      <c r="T63" s="32"/>
    </row>
    <row r="64" spans="1:20" ht="20.100000000000001" customHeight="1">
      <c r="A64" s="22" t="s">
        <v>21</v>
      </c>
      <c r="B64" s="20">
        <v>61</v>
      </c>
      <c r="C64" s="57">
        <f>IF(COUNTBLANK(H63)=1,(C63*Config.!$D$12)+C63,(H63*Config.!$D$12)+H63)</f>
        <v>3.3466514041327189</v>
      </c>
      <c r="D64" s="57">
        <f t="shared" si="2"/>
        <v>6.5620615767308266E-2</v>
      </c>
      <c r="E64" s="67"/>
      <c r="F64" s="68" t="str">
        <f t="shared" si="0"/>
        <v>-</v>
      </c>
      <c r="G64" s="12" t="str">
        <f>IF(COUNTBLANK(H64)=1,IF(C64&lt;=Config.!$D$10,"meta","nops"),"")</f>
        <v>nops</v>
      </c>
      <c r="H64" s="58"/>
      <c r="I64" s="59" t="str">
        <f t="shared" si="3"/>
        <v/>
      </c>
      <c r="J64" s="59" t="str">
        <f t="shared" si="1"/>
        <v/>
      </c>
      <c r="K64" s="53" t="str">
        <f t="shared" si="4"/>
        <v/>
      </c>
      <c r="R64" s="27">
        <f>IF(COUNTBLANK(T63)=1,(R63*Config.!$D$12)+R63,(T63*Config.!$D$12)+T63)</f>
        <v>3.3466514041327189</v>
      </c>
      <c r="S64" s="28" t="str">
        <f>IF(COUNTBLANK(T64)=1,IF(R64&lt;=Config.!$D$10,"meta","nops"),"")</f>
        <v>nops</v>
      </c>
      <c r="T64" s="32"/>
    </row>
    <row r="65" spans="1:20" ht="20.100000000000001" customHeight="1">
      <c r="A65" s="22" t="s">
        <v>21</v>
      </c>
      <c r="B65" s="20">
        <v>62</v>
      </c>
      <c r="C65" s="57">
        <f>IF(COUNTBLANK(H64)=1,(C64*Config.!$D$12)+C64,(H64*Config.!$D$12)+H64)</f>
        <v>3.4135844322153734</v>
      </c>
      <c r="D65" s="57">
        <f t="shared" si="2"/>
        <v>6.6933028082654555E-2</v>
      </c>
      <c r="E65" s="67"/>
      <c r="F65" s="68" t="str">
        <f t="shared" si="0"/>
        <v>-</v>
      </c>
      <c r="G65" s="12" t="str">
        <f>IF(COUNTBLANK(H65)=1,IF(C65&lt;=Config.!$D$10,"meta","nops"),"")</f>
        <v>nops</v>
      </c>
      <c r="H65" s="58"/>
      <c r="I65" s="59" t="str">
        <f t="shared" si="3"/>
        <v/>
      </c>
      <c r="J65" s="59" t="str">
        <f t="shared" si="1"/>
        <v/>
      </c>
      <c r="K65" s="53" t="str">
        <f t="shared" si="4"/>
        <v/>
      </c>
      <c r="R65" s="27">
        <f>IF(COUNTBLANK(T64)=1,(R64*Config.!$D$12)+R64,(T64*Config.!$D$12)+T64)</f>
        <v>3.4135844322153734</v>
      </c>
      <c r="S65" s="28" t="str">
        <f>IF(COUNTBLANK(T65)=1,IF(R65&lt;=Config.!$D$10,"meta","nops"),"")</f>
        <v>nops</v>
      </c>
      <c r="T65" s="32"/>
    </row>
    <row r="66" spans="1:20" ht="20.100000000000001" customHeight="1">
      <c r="A66" s="22" t="s">
        <v>21</v>
      </c>
      <c r="B66" s="20">
        <v>63</v>
      </c>
      <c r="C66" s="57">
        <f>IF(COUNTBLANK(H65)=1,(C65*Config.!$D$12)+C65,(H65*Config.!$D$12)+H65)</f>
        <v>3.481856120859681</v>
      </c>
      <c r="D66" s="57">
        <f t="shared" si="2"/>
        <v>6.8271688644307549E-2</v>
      </c>
      <c r="E66" s="67"/>
      <c r="F66" s="68" t="str">
        <f t="shared" si="0"/>
        <v>-</v>
      </c>
      <c r="G66" s="12" t="str">
        <f>IF(COUNTBLANK(H66)=1,IF(C66&lt;=Config.!$D$10,"meta","nops"),"")</f>
        <v>nops</v>
      </c>
      <c r="H66" s="58"/>
      <c r="I66" s="59" t="str">
        <f t="shared" si="3"/>
        <v/>
      </c>
      <c r="J66" s="59" t="str">
        <f t="shared" si="1"/>
        <v/>
      </c>
      <c r="K66" s="53" t="str">
        <f t="shared" si="4"/>
        <v/>
      </c>
      <c r="R66" s="27">
        <f>IF(COUNTBLANK(T65)=1,(R65*Config.!$D$12)+R65,(T65*Config.!$D$12)+T65)</f>
        <v>3.481856120859681</v>
      </c>
      <c r="S66" s="28" t="str">
        <f>IF(COUNTBLANK(T66)=1,IF(R66&lt;=Config.!$D$10,"meta","nops"),"")</f>
        <v>nops</v>
      </c>
      <c r="T66" s="32"/>
    </row>
    <row r="67" spans="1:20" ht="20.100000000000001" customHeight="1">
      <c r="A67" s="22" t="s">
        <v>21</v>
      </c>
      <c r="B67" s="20">
        <v>64</v>
      </c>
      <c r="C67" s="57">
        <f>IF(COUNTBLANK(H66)=1,(C66*Config.!$D$12)+C66,(H66*Config.!$D$12)+H66)</f>
        <v>3.5514932432768744</v>
      </c>
      <c r="D67" s="57">
        <f t="shared" si="2"/>
        <v>6.9637122417193442E-2</v>
      </c>
      <c r="E67" s="67"/>
      <c r="F67" s="68" t="str">
        <f t="shared" si="0"/>
        <v>-</v>
      </c>
      <c r="G67" s="12" t="str">
        <f>IF(COUNTBLANK(H67)=1,IF(C67&lt;=Config.!$D$10,"meta","nops"),"")</f>
        <v>nops</v>
      </c>
      <c r="H67" s="58"/>
      <c r="I67" s="59" t="str">
        <f t="shared" si="3"/>
        <v/>
      </c>
      <c r="J67" s="59" t="str">
        <f t="shared" si="1"/>
        <v/>
      </c>
      <c r="K67" s="53" t="str">
        <f t="shared" si="4"/>
        <v/>
      </c>
      <c r="R67" s="27">
        <f>IF(COUNTBLANK(T66)=1,(R66*Config.!$D$12)+R66,(T66*Config.!$D$12)+T66)</f>
        <v>3.5514932432768744</v>
      </c>
      <c r="S67" s="28" t="str">
        <f>IF(COUNTBLANK(T67)=1,IF(R67&lt;=Config.!$D$10,"meta","nops"),"")</f>
        <v>nops</v>
      </c>
      <c r="T67" s="32"/>
    </row>
    <row r="68" spans="1:20" ht="20.100000000000001" customHeight="1">
      <c r="A68" s="22" t="s">
        <v>21</v>
      </c>
      <c r="B68" s="20">
        <v>65</v>
      </c>
      <c r="C68" s="57">
        <f>IF(COUNTBLANK(H67)=1,(C67*Config.!$D$12)+C67,(H67*Config.!$D$12)+H67)</f>
        <v>3.6225231081424121</v>
      </c>
      <c r="D68" s="57">
        <f t="shared" si="2"/>
        <v>7.102986486553764E-2</v>
      </c>
      <c r="E68" s="67"/>
      <c r="F68" s="68" t="str">
        <f t="shared" si="0"/>
        <v>-</v>
      </c>
      <c r="G68" s="12" t="str">
        <f>IF(COUNTBLANK(H68)=1,IF(C68&lt;=Config.!$D$10,"meta","nops"),"")</f>
        <v>nops</v>
      </c>
      <c r="H68" s="58"/>
      <c r="I68" s="59" t="str">
        <f t="shared" si="3"/>
        <v/>
      </c>
      <c r="J68" s="59" t="str">
        <f t="shared" si="1"/>
        <v/>
      </c>
      <c r="K68" s="53" t="str">
        <f t="shared" si="4"/>
        <v/>
      </c>
      <c r="R68" s="27">
        <f>IF(COUNTBLANK(T67)=1,(R67*Config.!$D$12)+R67,(T67*Config.!$D$12)+T67)</f>
        <v>3.6225231081424121</v>
      </c>
      <c r="S68" s="28" t="str">
        <f>IF(COUNTBLANK(T68)=1,IF(R68&lt;=Config.!$D$10,"meta","nops"),"")</f>
        <v>nops</v>
      </c>
      <c r="T68" s="32"/>
    </row>
    <row r="69" spans="1:20" ht="20.100000000000001" customHeight="1">
      <c r="A69" s="22" t="s">
        <v>21</v>
      </c>
      <c r="B69" s="20">
        <v>66</v>
      </c>
      <c r="C69" s="57">
        <f>IF(COUNTBLANK(H68)=1,(C68*Config.!$D$12)+C68,(H68*Config.!$D$12)+H68)</f>
        <v>3.6949735703052604</v>
      </c>
      <c r="D69" s="57">
        <f t="shared" si="2"/>
        <v>7.2450462162848339E-2</v>
      </c>
      <c r="E69" s="67"/>
      <c r="F69" s="68" t="str">
        <f t="shared" ref="F69:F132" si="5">IF(COUNTBLANK(E69)=0,(D69/E69)/$E$3,"-")</f>
        <v>-</v>
      </c>
      <c r="G69" s="12" t="str">
        <f>IF(COUNTBLANK(H69)=1,IF(C69&lt;=Config.!$D$10,"meta","nops"),"")</f>
        <v>nops</v>
      </c>
      <c r="H69" s="58"/>
      <c r="I69" s="59" t="str">
        <f t="shared" si="3"/>
        <v/>
      </c>
      <c r="J69" s="59" t="str">
        <f t="shared" ref="J69:J132" si="6">IF(I69="","",I69-D69)</f>
        <v/>
      </c>
      <c r="K69" s="53" t="str">
        <f t="shared" si="4"/>
        <v/>
      </c>
      <c r="R69" s="27">
        <f>IF(COUNTBLANK(T68)=1,(R68*Config.!$D$12)+R68,(T68*Config.!$D$12)+T68)</f>
        <v>3.6949735703052604</v>
      </c>
      <c r="S69" s="28" t="str">
        <f>IF(COUNTBLANK(T69)=1,IF(R69&lt;=Config.!$D$10,"meta","nops"),"")</f>
        <v>nops</v>
      </c>
      <c r="T69" s="32"/>
    </row>
    <row r="70" spans="1:20" ht="20.100000000000001" customHeight="1">
      <c r="A70" s="22" t="s">
        <v>21</v>
      </c>
      <c r="B70" s="20">
        <v>67</v>
      </c>
      <c r="C70" s="57">
        <f>IF(COUNTBLANK(H69)=1,(C69*Config.!$D$12)+C69,(H69*Config.!$D$12)+H69)</f>
        <v>3.7688730417113656</v>
      </c>
      <c r="D70" s="57">
        <f t="shared" ref="D70:D133" si="7">IF(COUNTBLANK(H69)=1,C70-C69,C70-H69)</f>
        <v>7.3899471406105199E-2</v>
      </c>
      <c r="E70" s="67"/>
      <c r="F70" s="68" t="str">
        <f t="shared" si="5"/>
        <v>-</v>
      </c>
      <c r="G70" s="12" t="str">
        <f>IF(COUNTBLANK(H70)=1,IF(C70&lt;=Config.!$D$10,"meta","nops"),"")</f>
        <v>nops</v>
      </c>
      <c r="H70" s="58"/>
      <c r="I70" s="59" t="str">
        <f t="shared" ref="I70:I133" si="8">IF(COUNTBLANK(H70)=1,"",H70-H69)</f>
        <v/>
      </c>
      <c r="J70" s="59" t="str">
        <f t="shared" si="6"/>
        <v/>
      </c>
      <c r="K70" s="53" t="str">
        <f t="shared" ref="K70:K133" si="9">IF(COUNTBLANK(H70)=1,"",(H70-H69)/H69)</f>
        <v/>
      </c>
      <c r="R70" s="27">
        <f>IF(COUNTBLANK(T69)=1,(R69*Config.!$D$12)+R69,(T69*Config.!$D$12)+T69)</f>
        <v>3.7688730417113656</v>
      </c>
      <c r="S70" s="28" t="str">
        <f>IF(COUNTBLANK(T70)=1,IF(R70&lt;=Config.!$D$10,"meta","nops"),"")</f>
        <v>nops</v>
      </c>
      <c r="T70" s="32"/>
    </row>
    <row r="71" spans="1:20" ht="20.100000000000001" customHeight="1">
      <c r="A71" s="22" t="s">
        <v>21</v>
      </c>
      <c r="B71" s="20">
        <v>68</v>
      </c>
      <c r="C71" s="57">
        <f>IF(COUNTBLANK(H70)=1,(C70*Config.!$D$12)+C70,(H70*Config.!$D$12)+H70)</f>
        <v>3.8442505025455929</v>
      </c>
      <c r="D71" s="57">
        <f t="shared" si="7"/>
        <v>7.537746083422725E-2</v>
      </c>
      <c r="E71" s="67"/>
      <c r="F71" s="68" t="str">
        <f t="shared" si="5"/>
        <v>-</v>
      </c>
      <c r="G71" s="12" t="str">
        <f>IF(COUNTBLANK(H71)=1,IF(C71&lt;=Config.!$D$10,"meta","nops"),"")</f>
        <v>nops</v>
      </c>
      <c r="H71" s="58"/>
      <c r="I71" s="59" t="str">
        <f t="shared" si="8"/>
        <v/>
      </c>
      <c r="J71" s="59" t="str">
        <f t="shared" si="6"/>
        <v/>
      </c>
      <c r="K71" s="53" t="str">
        <f t="shared" si="9"/>
        <v/>
      </c>
      <c r="R71" s="27">
        <f>IF(COUNTBLANK(T70)=1,(R70*Config.!$D$12)+R70,(T70*Config.!$D$12)+T70)</f>
        <v>3.8442505025455929</v>
      </c>
      <c r="S71" s="28" t="str">
        <f>IF(COUNTBLANK(T71)=1,IF(R71&lt;=Config.!$D$10,"meta","nops"),"")</f>
        <v>nops</v>
      </c>
      <c r="T71" s="32"/>
    </row>
    <row r="72" spans="1:20" ht="20.100000000000001" customHeight="1">
      <c r="A72" s="22" t="s">
        <v>21</v>
      </c>
      <c r="B72" s="20">
        <v>69</v>
      </c>
      <c r="C72" s="57">
        <f>IF(COUNTBLANK(H71)=1,(C71*Config.!$D$12)+C71,(H71*Config.!$D$12)+H71)</f>
        <v>3.9211355125965048</v>
      </c>
      <c r="D72" s="57">
        <f t="shared" si="7"/>
        <v>7.6885010050911973E-2</v>
      </c>
      <c r="E72" s="67"/>
      <c r="F72" s="68" t="str">
        <f t="shared" si="5"/>
        <v>-</v>
      </c>
      <c r="G72" s="12" t="str">
        <f>IF(COUNTBLANK(H72)=1,IF(C72&lt;=Config.!$D$10,"meta","nops"),"")</f>
        <v>nops</v>
      </c>
      <c r="H72" s="58"/>
      <c r="I72" s="59" t="str">
        <f t="shared" si="8"/>
        <v/>
      </c>
      <c r="J72" s="59" t="str">
        <f t="shared" si="6"/>
        <v/>
      </c>
      <c r="K72" s="53" t="str">
        <f t="shared" si="9"/>
        <v/>
      </c>
      <c r="R72" s="27">
        <f>IF(COUNTBLANK(T71)=1,(R71*Config.!$D$12)+R71,(T71*Config.!$D$12)+T71)</f>
        <v>3.9211355125965048</v>
      </c>
      <c r="S72" s="28" t="str">
        <f>IF(COUNTBLANK(T72)=1,IF(R72&lt;=Config.!$D$10,"meta","nops"),"")</f>
        <v>nops</v>
      </c>
      <c r="T72" s="32"/>
    </row>
    <row r="73" spans="1:20" ht="20.100000000000001" customHeight="1">
      <c r="A73" s="22" t="s">
        <v>21</v>
      </c>
      <c r="B73" s="20">
        <v>70</v>
      </c>
      <c r="C73" s="57">
        <f>IF(COUNTBLANK(H72)=1,(C72*Config.!$D$12)+C72,(H72*Config.!$D$12)+H72)</f>
        <v>3.9995582228484348</v>
      </c>
      <c r="D73" s="57">
        <f t="shared" si="7"/>
        <v>7.8422710251929928E-2</v>
      </c>
      <c r="E73" s="67"/>
      <c r="F73" s="68" t="str">
        <f t="shared" si="5"/>
        <v>-</v>
      </c>
      <c r="G73" s="12" t="str">
        <f>IF(COUNTBLANK(H73)=1,IF(C73&lt;=Config.!$D$10,"meta","nops"),"")</f>
        <v>nops</v>
      </c>
      <c r="H73" s="58"/>
      <c r="I73" s="59" t="str">
        <f t="shared" si="8"/>
        <v/>
      </c>
      <c r="J73" s="59" t="str">
        <f t="shared" si="6"/>
        <v/>
      </c>
      <c r="K73" s="53" t="str">
        <f t="shared" si="9"/>
        <v/>
      </c>
      <c r="R73" s="27">
        <f>IF(COUNTBLANK(T72)=1,(R72*Config.!$D$12)+R72,(T72*Config.!$D$12)+T72)</f>
        <v>3.9995582228484348</v>
      </c>
      <c r="S73" s="28" t="str">
        <f>IF(COUNTBLANK(T73)=1,IF(R73&lt;=Config.!$D$10,"meta","nops"),"")</f>
        <v>nops</v>
      </c>
      <c r="T73" s="32"/>
    </row>
    <row r="74" spans="1:20" ht="20.100000000000001" customHeight="1">
      <c r="A74" s="22" t="s">
        <v>21</v>
      </c>
      <c r="B74" s="20">
        <v>71</v>
      </c>
      <c r="C74" s="57">
        <f>IF(COUNTBLANK(H73)=1,(C73*Config.!$D$12)+C73,(H73*Config.!$D$12)+H73)</f>
        <v>4.0795493873054038</v>
      </c>
      <c r="D74" s="57">
        <f t="shared" si="7"/>
        <v>7.9991164456969077E-2</v>
      </c>
      <c r="E74" s="67"/>
      <c r="F74" s="68" t="str">
        <f t="shared" si="5"/>
        <v>-</v>
      </c>
      <c r="G74" s="12" t="str">
        <f>IF(COUNTBLANK(H74)=1,IF(C74&lt;=Config.!$D$10,"meta","nops"),"")</f>
        <v>nops</v>
      </c>
      <c r="H74" s="58"/>
      <c r="I74" s="59" t="str">
        <f t="shared" si="8"/>
        <v/>
      </c>
      <c r="J74" s="59" t="str">
        <f t="shared" si="6"/>
        <v/>
      </c>
      <c r="K74" s="53" t="str">
        <f t="shared" si="9"/>
        <v/>
      </c>
      <c r="R74" s="27">
        <f>IF(COUNTBLANK(T73)=1,(R73*Config.!$D$12)+R73,(T73*Config.!$D$12)+T73)</f>
        <v>4.0795493873054038</v>
      </c>
      <c r="S74" s="28" t="str">
        <f>IF(COUNTBLANK(T74)=1,IF(R74&lt;=Config.!$D$10,"meta","nops"),"")</f>
        <v>nops</v>
      </c>
      <c r="T74" s="32"/>
    </row>
    <row r="75" spans="1:20" ht="20.100000000000001" customHeight="1">
      <c r="A75" s="22" t="s">
        <v>21</v>
      </c>
      <c r="B75" s="20">
        <v>72</v>
      </c>
      <c r="C75" s="57">
        <f>IF(COUNTBLANK(H74)=1,(C74*Config.!$D$12)+C74,(H74*Config.!$D$12)+H74)</f>
        <v>4.1611403750515121</v>
      </c>
      <c r="D75" s="57">
        <f t="shared" si="7"/>
        <v>8.159098774610829E-2</v>
      </c>
      <c r="E75" s="67"/>
      <c r="F75" s="68" t="str">
        <f t="shared" si="5"/>
        <v>-</v>
      </c>
      <c r="G75" s="12" t="str">
        <f>IF(COUNTBLANK(H75)=1,IF(C75&lt;=Config.!$D$10,"meta","nops"),"")</f>
        <v>nops</v>
      </c>
      <c r="H75" s="58"/>
      <c r="I75" s="59" t="str">
        <f t="shared" si="8"/>
        <v/>
      </c>
      <c r="J75" s="59" t="str">
        <f t="shared" si="6"/>
        <v/>
      </c>
      <c r="K75" s="53" t="str">
        <f t="shared" si="9"/>
        <v/>
      </c>
      <c r="R75" s="27">
        <f>IF(COUNTBLANK(T74)=1,(R74*Config.!$D$12)+R74,(T74*Config.!$D$12)+T74)</f>
        <v>4.1611403750515121</v>
      </c>
      <c r="S75" s="28" t="str">
        <f>IF(COUNTBLANK(T75)=1,IF(R75&lt;=Config.!$D$10,"meta","nops"),"")</f>
        <v>nops</v>
      </c>
      <c r="T75" s="32"/>
    </row>
    <row r="76" spans="1:20" ht="20.100000000000001" customHeight="1">
      <c r="A76" s="22" t="s">
        <v>21</v>
      </c>
      <c r="B76" s="20">
        <v>73</v>
      </c>
      <c r="C76" s="57">
        <f>IF(COUNTBLANK(H75)=1,(C75*Config.!$D$12)+C75,(H75*Config.!$D$12)+H75)</f>
        <v>4.2443631825525427</v>
      </c>
      <c r="D76" s="57">
        <f t="shared" si="7"/>
        <v>8.3222807501030616E-2</v>
      </c>
      <c r="E76" s="67"/>
      <c r="F76" s="68" t="str">
        <f t="shared" si="5"/>
        <v>-</v>
      </c>
      <c r="G76" s="12" t="str">
        <f>IF(COUNTBLANK(H76)=1,IF(C76&lt;=Config.!$D$10,"meta","nops"),"")</f>
        <v>nops</v>
      </c>
      <c r="H76" s="58"/>
      <c r="I76" s="59" t="str">
        <f t="shared" si="8"/>
        <v/>
      </c>
      <c r="J76" s="59" t="str">
        <f t="shared" si="6"/>
        <v/>
      </c>
      <c r="K76" s="53" t="str">
        <f t="shared" si="9"/>
        <v/>
      </c>
      <c r="R76" s="27">
        <f>IF(COUNTBLANK(T75)=1,(R75*Config.!$D$12)+R75,(T75*Config.!$D$12)+T75)</f>
        <v>4.2443631825525427</v>
      </c>
      <c r="S76" s="28" t="str">
        <f>IF(COUNTBLANK(T76)=1,IF(R76&lt;=Config.!$D$10,"meta","nops"),"")</f>
        <v>nops</v>
      </c>
      <c r="T76" s="32"/>
    </row>
    <row r="77" spans="1:20" ht="20.100000000000001" customHeight="1">
      <c r="A77" s="22" t="s">
        <v>21</v>
      </c>
      <c r="B77" s="20">
        <v>74</v>
      </c>
      <c r="C77" s="57">
        <f>IF(COUNTBLANK(H76)=1,(C76*Config.!$D$12)+C76,(H76*Config.!$D$12)+H76)</f>
        <v>4.3292504462035932</v>
      </c>
      <c r="D77" s="57">
        <f t="shared" si="7"/>
        <v>8.4887263651050482E-2</v>
      </c>
      <c r="E77" s="67"/>
      <c r="F77" s="68" t="str">
        <f t="shared" si="5"/>
        <v>-</v>
      </c>
      <c r="G77" s="12" t="str">
        <f>IF(COUNTBLANK(H77)=1,IF(C77&lt;=Config.!$D$10,"meta","nops"),"")</f>
        <v>nops</v>
      </c>
      <c r="H77" s="58"/>
      <c r="I77" s="59" t="str">
        <f t="shared" si="8"/>
        <v/>
      </c>
      <c r="J77" s="59" t="str">
        <f t="shared" si="6"/>
        <v/>
      </c>
      <c r="K77" s="53" t="str">
        <f t="shared" si="9"/>
        <v/>
      </c>
      <c r="R77" s="27">
        <f>IF(COUNTBLANK(T76)=1,(R76*Config.!$D$12)+R76,(T76*Config.!$D$12)+T76)</f>
        <v>4.3292504462035932</v>
      </c>
      <c r="S77" s="28" t="str">
        <f>IF(COUNTBLANK(T77)=1,IF(R77&lt;=Config.!$D$10,"meta","nops"),"")</f>
        <v>nops</v>
      </c>
      <c r="T77" s="32"/>
    </row>
    <row r="78" spans="1:20" ht="20.100000000000001" customHeight="1">
      <c r="A78" s="22" t="s">
        <v>21</v>
      </c>
      <c r="B78" s="20">
        <v>75</v>
      </c>
      <c r="C78" s="57">
        <f>IF(COUNTBLANK(H77)=1,(C77*Config.!$D$12)+C77,(H77*Config.!$D$12)+H77)</f>
        <v>4.4158354551276648</v>
      </c>
      <c r="D78" s="57">
        <f t="shared" si="7"/>
        <v>8.6585008924071616E-2</v>
      </c>
      <c r="E78" s="67"/>
      <c r="F78" s="68" t="str">
        <f t="shared" si="5"/>
        <v>-</v>
      </c>
      <c r="G78" s="12" t="str">
        <f>IF(COUNTBLANK(H78)=1,IF(C78&lt;=Config.!$D$10,"meta","nops"),"")</f>
        <v>nops</v>
      </c>
      <c r="H78" s="58"/>
      <c r="I78" s="59" t="str">
        <f t="shared" si="8"/>
        <v/>
      </c>
      <c r="J78" s="59" t="str">
        <f t="shared" si="6"/>
        <v/>
      </c>
      <c r="K78" s="53" t="str">
        <f t="shared" si="9"/>
        <v/>
      </c>
      <c r="R78" s="27">
        <f>IF(COUNTBLANK(T77)=1,(R77*Config.!$D$12)+R77,(T77*Config.!$D$12)+T77)</f>
        <v>4.4158354551276648</v>
      </c>
      <c r="S78" s="28" t="str">
        <f>IF(COUNTBLANK(T78)=1,IF(R78&lt;=Config.!$D$10,"meta","nops"),"")</f>
        <v>nops</v>
      </c>
      <c r="T78" s="32"/>
    </row>
    <row r="79" spans="1:20" ht="20.100000000000001" customHeight="1">
      <c r="A79" s="22" t="s">
        <v>21</v>
      </c>
      <c r="B79" s="20">
        <v>76</v>
      </c>
      <c r="C79" s="57">
        <f>IF(COUNTBLANK(H78)=1,(C78*Config.!$D$12)+C78,(H78*Config.!$D$12)+H78)</f>
        <v>4.5041521642302182</v>
      </c>
      <c r="D79" s="57">
        <f t="shared" si="7"/>
        <v>8.8316709102553403E-2</v>
      </c>
      <c r="E79" s="67"/>
      <c r="F79" s="68" t="str">
        <f t="shared" si="5"/>
        <v>-</v>
      </c>
      <c r="G79" s="12" t="str">
        <f>IF(COUNTBLANK(H79)=1,IF(C79&lt;=Config.!$D$10,"meta","nops"),"")</f>
        <v>nops</v>
      </c>
      <c r="H79" s="58"/>
      <c r="I79" s="59" t="str">
        <f t="shared" si="8"/>
        <v/>
      </c>
      <c r="J79" s="59" t="str">
        <f t="shared" si="6"/>
        <v/>
      </c>
      <c r="K79" s="53" t="str">
        <f t="shared" si="9"/>
        <v/>
      </c>
      <c r="R79" s="27">
        <f>IF(COUNTBLANK(T78)=1,(R78*Config.!$D$12)+R78,(T78*Config.!$D$12)+T78)</f>
        <v>4.5041521642302182</v>
      </c>
      <c r="S79" s="28" t="str">
        <f>IF(COUNTBLANK(T79)=1,IF(R79&lt;=Config.!$D$10,"meta","nops"),"")</f>
        <v>nops</v>
      </c>
      <c r="T79" s="32"/>
    </row>
    <row r="80" spans="1:20" ht="20.100000000000001" customHeight="1">
      <c r="A80" s="22" t="s">
        <v>21</v>
      </c>
      <c r="B80" s="20">
        <v>77</v>
      </c>
      <c r="C80" s="57">
        <f>IF(COUNTBLANK(H79)=1,(C79*Config.!$D$12)+C79,(H79*Config.!$D$12)+H79)</f>
        <v>4.5942352075148225</v>
      </c>
      <c r="D80" s="57">
        <f t="shared" si="7"/>
        <v>9.0083043284604258E-2</v>
      </c>
      <c r="E80" s="67"/>
      <c r="F80" s="68" t="str">
        <f t="shared" si="5"/>
        <v>-</v>
      </c>
      <c r="G80" s="12" t="str">
        <f>IF(COUNTBLANK(H80)=1,IF(C80&lt;=Config.!$D$10,"meta","nops"),"")</f>
        <v>nops</v>
      </c>
      <c r="H80" s="58"/>
      <c r="I80" s="59" t="str">
        <f t="shared" si="8"/>
        <v/>
      </c>
      <c r="J80" s="59" t="str">
        <f t="shared" si="6"/>
        <v/>
      </c>
      <c r="K80" s="53" t="str">
        <f t="shared" si="9"/>
        <v/>
      </c>
      <c r="R80" s="27">
        <f>IF(COUNTBLANK(T79)=1,(R79*Config.!$D$12)+R79,(T79*Config.!$D$12)+T79)</f>
        <v>4.5942352075148225</v>
      </c>
      <c r="S80" s="28" t="str">
        <f>IF(COUNTBLANK(T80)=1,IF(R80&lt;=Config.!$D$10,"meta","nops"),"")</f>
        <v>nops</v>
      </c>
      <c r="T80" s="32"/>
    </row>
    <row r="81" spans="1:20" ht="20.100000000000001" customHeight="1">
      <c r="A81" s="22" t="s">
        <v>21</v>
      </c>
      <c r="B81" s="20">
        <v>78</v>
      </c>
      <c r="C81" s="57">
        <f>IF(COUNTBLANK(H80)=1,(C80*Config.!$D$12)+C80,(H80*Config.!$D$12)+H80)</f>
        <v>4.6861199116651191</v>
      </c>
      <c r="D81" s="57">
        <f t="shared" si="7"/>
        <v>9.1884704150296592E-2</v>
      </c>
      <c r="E81" s="67"/>
      <c r="F81" s="68" t="str">
        <f t="shared" si="5"/>
        <v>-</v>
      </c>
      <c r="G81" s="12" t="str">
        <f>IF(COUNTBLANK(H81)=1,IF(C81&lt;=Config.!$D$10,"meta","nops"),"")</f>
        <v>nops</v>
      </c>
      <c r="H81" s="58"/>
      <c r="I81" s="59" t="str">
        <f t="shared" si="8"/>
        <v/>
      </c>
      <c r="J81" s="59" t="str">
        <f t="shared" si="6"/>
        <v/>
      </c>
      <c r="K81" s="53" t="str">
        <f t="shared" si="9"/>
        <v/>
      </c>
      <c r="R81" s="27">
        <f>IF(COUNTBLANK(T80)=1,(R80*Config.!$D$12)+R80,(T80*Config.!$D$12)+T80)</f>
        <v>4.6861199116651191</v>
      </c>
      <c r="S81" s="28" t="str">
        <f>IF(COUNTBLANK(T81)=1,IF(R81&lt;=Config.!$D$10,"meta","nops"),"")</f>
        <v>nops</v>
      </c>
      <c r="T81" s="32"/>
    </row>
    <row r="82" spans="1:20" ht="20.100000000000001" customHeight="1">
      <c r="A82" s="22" t="s">
        <v>21</v>
      </c>
      <c r="B82" s="20">
        <v>79</v>
      </c>
      <c r="C82" s="57">
        <f>IF(COUNTBLANK(H81)=1,(C81*Config.!$D$12)+C81,(H81*Config.!$D$12)+H81)</f>
        <v>4.7798423098984211</v>
      </c>
      <c r="D82" s="57">
        <f t="shared" si="7"/>
        <v>9.3722398233301973E-2</v>
      </c>
      <c r="E82" s="67"/>
      <c r="F82" s="68" t="str">
        <f t="shared" si="5"/>
        <v>-</v>
      </c>
      <c r="G82" s="12" t="str">
        <f>IF(COUNTBLANK(H82)=1,IF(C82&lt;=Config.!$D$10,"meta","nops"),"")</f>
        <v>nops</v>
      </c>
      <c r="H82" s="58"/>
      <c r="I82" s="59" t="str">
        <f t="shared" si="8"/>
        <v/>
      </c>
      <c r="J82" s="59" t="str">
        <f t="shared" si="6"/>
        <v/>
      </c>
      <c r="K82" s="53" t="str">
        <f t="shared" si="9"/>
        <v/>
      </c>
      <c r="R82" s="27">
        <f>IF(COUNTBLANK(T81)=1,(R81*Config.!$D$12)+R81,(T81*Config.!$D$12)+T81)</f>
        <v>4.7798423098984211</v>
      </c>
      <c r="S82" s="28" t="str">
        <f>IF(COUNTBLANK(T82)=1,IF(R82&lt;=Config.!$D$10,"meta","nops"),"")</f>
        <v>nops</v>
      </c>
      <c r="T82" s="32"/>
    </row>
    <row r="83" spans="1:20" ht="20.100000000000001" customHeight="1">
      <c r="A83" s="22" t="s">
        <v>21</v>
      </c>
      <c r="B83" s="20">
        <v>80</v>
      </c>
      <c r="C83" s="57">
        <f>IF(COUNTBLANK(H82)=1,(C82*Config.!$D$12)+C82,(H82*Config.!$D$12)+H82)</f>
        <v>4.8754391560963892</v>
      </c>
      <c r="D83" s="57">
        <f t="shared" si="7"/>
        <v>9.5596846197968155E-2</v>
      </c>
      <c r="E83" s="67"/>
      <c r="F83" s="68" t="str">
        <f t="shared" si="5"/>
        <v>-</v>
      </c>
      <c r="G83" s="12" t="str">
        <f>IF(COUNTBLANK(H83)=1,IF(C83&lt;=Config.!$D$10,"meta","nops"),"")</f>
        <v>nops</v>
      </c>
      <c r="H83" s="58"/>
      <c r="I83" s="59" t="str">
        <f t="shared" si="8"/>
        <v/>
      </c>
      <c r="J83" s="59" t="str">
        <f t="shared" si="6"/>
        <v/>
      </c>
      <c r="K83" s="53" t="str">
        <f t="shared" si="9"/>
        <v/>
      </c>
      <c r="R83" s="27">
        <f>IF(COUNTBLANK(T82)=1,(R82*Config.!$D$12)+R82,(T82*Config.!$D$12)+T82)</f>
        <v>4.8754391560963892</v>
      </c>
      <c r="S83" s="28" t="str">
        <f>IF(COUNTBLANK(T83)=1,IF(R83&lt;=Config.!$D$10,"meta","nops"),"")</f>
        <v>nops</v>
      </c>
      <c r="T83" s="32"/>
    </row>
    <row r="84" spans="1:20" ht="20.100000000000001" customHeight="1">
      <c r="A84" s="22" t="s">
        <v>21</v>
      </c>
      <c r="B84" s="20">
        <v>81</v>
      </c>
      <c r="C84" s="57">
        <f>IF(COUNTBLANK(H83)=1,(C83*Config.!$D$12)+C83,(H83*Config.!$D$12)+H83)</f>
        <v>4.9729479392183169</v>
      </c>
      <c r="D84" s="57">
        <f t="shared" si="7"/>
        <v>9.7508783121927678E-2</v>
      </c>
      <c r="E84" s="67"/>
      <c r="F84" s="68" t="str">
        <f t="shared" si="5"/>
        <v>-</v>
      </c>
      <c r="G84" s="12" t="str">
        <f>IF(COUNTBLANK(H84)=1,IF(C84&lt;=Config.!$D$10,"meta","nops"),"")</f>
        <v>nops</v>
      </c>
      <c r="H84" s="58"/>
      <c r="I84" s="59" t="str">
        <f t="shared" si="8"/>
        <v/>
      </c>
      <c r="J84" s="59" t="str">
        <f t="shared" si="6"/>
        <v/>
      </c>
      <c r="K84" s="53" t="str">
        <f t="shared" si="9"/>
        <v/>
      </c>
      <c r="R84" s="27">
        <f>IF(COUNTBLANK(T83)=1,(R83*Config.!$D$12)+R83,(T83*Config.!$D$12)+T83)</f>
        <v>4.9729479392183169</v>
      </c>
      <c r="S84" s="28" t="str">
        <f>IF(COUNTBLANK(T84)=1,IF(R84&lt;=Config.!$D$10,"meta","nops"),"")</f>
        <v>nops</v>
      </c>
      <c r="T84" s="32"/>
    </row>
    <row r="85" spans="1:20" ht="20.100000000000001" customHeight="1">
      <c r="A85" s="22" t="s">
        <v>21</v>
      </c>
      <c r="B85" s="20">
        <v>82</v>
      </c>
      <c r="C85" s="57">
        <f>IF(COUNTBLANK(H84)=1,(C84*Config.!$D$12)+C84,(H84*Config.!$D$12)+H84)</f>
        <v>5.0724068980026829</v>
      </c>
      <c r="D85" s="57">
        <f t="shared" si="7"/>
        <v>9.9458958784365947E-2</v>
      </c>
      <c r="E85" s="67"/>
      <c r="F85" s="68" t="str">
        <f t="shared" si="5"/>
        <v>-</v>
      </c>
      <c r="G85" s="12" t="str">
        <f>IF(COUNTBLANK(H85)=1,IF(C85&lt;=Config.!$D$10,"meta","nops"),"")</f>
        <v>nops</v>
      </c>
      <c r="H85" s="58"/>
      <c r="I85" s="59" t="str">
        <f t="shared" si="8"/>
        <v/>
      </c>
      <c r="J85" s="59" t="str">
        <f t="shared" si="6"/>
        <v/>
      </c>
      <c r="K85" s="53" t="str">
        <f t="shared" si="9"/>
        <v/>
      </c>
      <c r="R85" s="27">
        <f>IF(COUNTBLANK(T84)=1,(R84*Config.!$D$12)+R84,(T84*Config.!$D$12)+T84)</f>
        <v>5.0724068980026829</v>
      </c>
      <c r="S85" s="28" t="str">
        <f>IF(COUNTBLANK(T85)=1,IF(R85&lt;=Config.!$D$10,"meta","nops"),"")</f>
        <v>nops</v>
      </c>
      <c r="T85" s="32"/>
    </row>
    <row r="86" spans="1:20" ht="20.100000000000001" customHeight="1">
      <c r="A86" s="22" t="s">
        <v>21</v>
      </c>
      <c r="B86" s="20">
        <v>83</v>
      </c>
      <c r="C86" s="57">
        <f>IF(COUNTBLANK(H85)=1,(C85*Config.!$D$12)+C85,(H85*Config.!$D$12)+H85)</f>
        <v>5.1738550359627364</v>
      </c>
      <c r="D86" s="57">
        <f t="shared" si="7"/>
        <v>0.10144813796005359</v>
      </c>
      <c r="E86" s="67"/>
      <c r="F86" s="68" t="str">
        <f t="shared" si="5"/>
        <v>-</v>
      </c>
      <c r="G86" s="12" t="str">
        <f>IF(COUNTBLANK(H86)=1,IF(C86&lt;=Config.!$D$10,"meta","nops"),"")</f>
        <v>nops</v>
      </c>
      <c r="H86" s="58"/>
      <c r="I86" s="59" t="str">
        <f t="shared" si="8"/>
        <v/>
      </c>
      <c r="J86" s="59" t="str">
        <f t="shared" si="6"/>
        <v/>
      </c>
      <c r="K86" s="53" t="str">
        <f t="shared" si="9"/>
        <v/>
      </c>
      <c r="R86" s="27">
        <f>IF(COUNTBLANK(T85)=1,(R85*Config.!$D$12)+R85,(T85*Config.!$D$12)+T85)</f>
        <v>5.1738550359627364</v>
      </c>
      <c r="S86" s="28" t="str">
        <f>IF(COUNTBLANK(T86)=1,IF(R86&lt;=Config.!$D$10,"meta","nops"),"")</f>
        <v>nops</v>
      </c>
      <c r="T86" s="32"/>
    </row>
    <row r="87" spans="1:20" ht="20.100000000000001" customHeight="1">
      <c r="A87" s="22" t="s">
        <v>21</v>
      </c>
      <c r="B87" s="20">
        <v>84</v>
      </c>
      <c r="C87" s="57">
        <f>IF(COUNTBLANK(H86)=1,(C86*Config.!$D$12)+C86,(H86*Config.!$D$12)+H86)</f>
        <v>5.2773321366819914</v>
      </c>
      <c r="D87" s="57">
        <f t="shared" si="7"/>
        <v>0.10347710071925498</v>
      </c>
      <c r="E87" s="67"/>
      <c r="F87" s="68" t="str">
        <f t="shared" si="5"/>
        <v>-</v>
      </c>
      <c r="G87" s="12" t="str">
        <f>IF(COUNTBLANK(H87)=1,IF(C87&lt;=Config.!$D$10,"meta","nops"),"")</f>
        <v>nops</v>
      </c>
      <c r="H87" s="58"/>
      <c r="I87" s="59" t="str">
        <f t="shared" si="8"/>
        <v/>
      </c>
      <c r="J87" s="59" t="str">
        <f t="shared" si="6"/>
        <v/>
      </c>
      <c r="K87" s="53" t="str">
        <f t="shared" si="9"/>
        <v/>
      </c>
      <c r="R87" s="27">
        <f>IF(COUNTBLANK(T86)=1,(R86*Config.!$D$12)+R86,(T86*Config.!$D$12)+T86)</f>
        <v>5.2773321366819914</v>
      </c>
      <c r="S87" s="28" t="str">
        <f>IF(COUNTBLANK(T87)=1,IF(R87&lt;=Config.!$D$10,"meta","nops"),"")</f>
        <v>nops</v>
      </c>
      <c r="T87" s="32"/>
    </row>
    <row r="88" spans="1:20" ht="20.100000000000001" customHeight="1">
      <c r="A88" s="22" t="s">
        <v>21</v>
      </c>
      <c r="B88" s="20">
        <v>85</v>
      </c>
      <c r="C88" s="57">
        <f>IF(COUNTBLANK(H87)=1,(C87*Config.!$D$12)+C87,(H87*Config.!$D$12)+H87)</f>
        <v>5.3828787794156314</v>
      </c>
      <c r="D88" s="57">
        <f t="shared" si="7"/>
        <v>0.10554664273364001</v>
      </c>
      <c r="E88" s="67"/>
      <c r="F88" s="68" t="str">
        <f t="shared" si="5"/>
        <v>-</v>
      </c>
      <c r="G88" s="12" t="str">
        <f>IF(COUNTBLANK(H88)=1,IF(C88&lt;=Config.!$D$10,"meta","nops"),"")</f>
        <v>nops</v>
      </c>
      <c r="H88" s="58"/>
      <c r="I88" s="59" t="str">
        <f t="shared" si="8"/>
        <v/>
      </c>
      <c r="J88" s="59" t="str">
        <f t="shared" si="6"/>
        <v/>
      </c>
      <c r="K88" s="53" t="str">
        <f t="shared" si="9"/>
        <v/>
      </c>
      <c r="R88" s="27">
        <f>IF(COUNTBLANK(T87)=1,(R87*Config.!$D$12)+R87,(T87*Config.!$D$12)+T87)</f>
        <v>5.3828787794156314</v>
      </c>
      <c r="S88" s="28" t="str">
        <f>IF(COUNTBLANK(T88)=1,IF(R88&lt;=Config.!$D$10,"meta","nops"),"")</f>
        <v>nops</v>
      </c>
      <c r="T88" s="32"/>
    </row>
    <row r="89" spans="1:20" ht="20.100000000000001" customHeight="1">
      <c r="A89" s="22" t="s">
        <v>21</v>
      </c>
      <c r="B89" s="20">
        <v>86</v>
      </c>
      <c r="C89" s="57">
        <f>IF(COUNTBLANK(H88)=1,(C88*Config.!$D$12)+C88,(H88*Config.!$D$12)+H88)</f>
        <v>5.4905363550039441</v>
      </c>
      <c r="D89" s="57">
        <f t="shared" si="7"/>
        <v>0.10765757558831268</v>
      </c>
      <c r="E89" s="67"/>
      <c r="F89" s="68" t="str">
        <f t="shared" si="5"/>
        <v>-</v>
      </c>
      <c r="G89" s="12" t="str">
        <f>IF(COUNTBLANK(H89)=1,IF(C89&lt;=Config.!$D$10,"meta","nops"),"")</f>
        <v>nops</v>
      </c>
      <c r="H89" s="58"/>
      <c r="I89" s="59" t="str">
        <f t="shared" si="8"/>
        <v/>
      </c>
      <c r="J89" s="59" t="str">
        <f t="shared" si="6"/>
        <v/>
      </c>
      <c r="K89" s="53" t="str">
        <f t="shared" si="9"/>
        <v/>
      </c>
      <c r="R89" s="27">
        <f>IF(COUNTBLANK(T88)=1,(R88*Config.!$D$12)+R88,(T88*Config.!$D$12)+T88)</f>
        <v>5.4905363550039441</v>
      </c>
      <c r="S89" s="28" t="str">
        <f>IF(COUNTBLANK(T89)=1,IF(R89&lt;=Config.!$D$10,"meta","nops"),"")</f>
        <v>nops</v>
      </c>
      <c r="T89" s="32"/>
    </row>
    <row r="90" spans="1:20" ht="20.100000000000001" customHeight="1">
      <c r="A90" s="22" t="s">
        <v>21</v>
      </c>
      <c r="B90" s="20">
        <v>87</v>
      </c>
      <c r="C90" s="57">
        <f>IF(COUNTBLANK(H89)=1,(C89*Config.!$D$12)+C89,(H89*Config.!$D$12)+H89)</f>
        <v>5.6003470821040233</v>
      </c>
      <c r="D90" s="57">
        <f t="shared" si="7"/>
        <v>0.10981072710007922</v>
      </c>
      <c r="E90" s="67"/>
      <c r="F90" s="68" t="str">
        <f t="shared" si="5"/>
        <v>-</v>
      </c>
      <c r="G90" s="12" t="str">
        <f>IF(COUNTBLANK(H90)=1,IF(C90&lt;=Config.!$D$10,"meta","nops"),"")</f>
        <v>nops</v>
      </c>
      <c r="H90" s="58"/>
      <c r="I90" s="59" t="str">
        <f t="shared" si="8"/>
        <v/>
      </c>
      <c r="J90" s="59" t="str">
        <f t="shared" si="6"/>
        <v/>
      </c>
      <c r="K90" s="53" t="str">
        <f t="shared" si="9"/>
        <v/>
      </c>
      <c r="R90" s="27">
        <f>IF(COUNTBLANK(T89)=1,(R89*Config.!$D$12)+R89,(T89*Config.!$D$12)+T89)</f>
        <v>5.6003470821040233</v>
      </c>
      <c r="S90" s="28" t="str">
        <f>IF(COUNTBLANK(T90)=1,IF(R90&lt;=Config.!$D$10,"meta","nops"),"")</f>
        <v>nops</v>
      </c>
      <c r="T90" s="32"/>
    </row>
    <row r="91" spans="1:20" ht="20.100000000000001" customHeight="1">
      <c r="A91" s="22" t="s">
        <v>21</v>
      </c>
      <c r="B91" s="20">
        <v>88</v>
      </c>
      <c r="C91" s="57">
        <f>IF(COUNTBLANK(H90)=1,(C90*Config.!$D$12)+C90,(H90*Config.!$D$12)+H90)</f>
        <v>5.7123540237461041</v>
      </c>
      <c r="D91" s="57">
        <f t="shared" si="7"/>
        <v>0.1120069416420808</v>
      </c>
      <c r="E91" s="67"/>
      <c r="F91" s="68" t="str">
        <f t="shared" si="5"/>
        <v>-</v>
      </c>
      <c r="G91" s="12" t="str">
        <f>IF(COUNTBLANK(H91)=1,IF(C91&lt;=Config.!$D$10,"meta","nops"),"")</f>
        <v>nops</v>
      </c>
      <c r="H91" s="58"/>
      <c r="I91" s="59" t="str">
        <f t="shared" si="8"/>
        <v/>
      </c>
      <c r="J91" s="59" t="str">
        <f t="shared" si="6"/>
        <v/>
      </c>
      <c r="K91" s="53" t="str">
        <f t="shared" si="9"/>
        <v/>
      </c>
      <c r="R91" s="27">
        <f>IF(COUNTBLANK(T90)=1,(R90*Config.!$D$12)+R90,(T90*Config.!$D$12)+T90)</f>
        <v>5.7123540237461041</v>
      </c>
      <c r="S91" s="28" t="str">
        <f>IF(COUNTBLANK(T91)=1,IF(R91&lt;=Config.!$D$10,"meta","nops"),"")</f>
        <v>nops</v>
      </c>
      <c r="T91" s="32"/>
    </row>
    <row r="92" spans="1:20" ht="20.100000000000001" customHeight="1">
      <c r="A92" s="22" t="s">
        <v>21</v>
      </c>
      <c r="B92" s="20">
        <v>89</v>
      </c>
      <c r="C92" s="57">
        <f>IF(COUNTBLANK(H91)=1,(C91*Config.!$D$12)+C91,(H91*Config.!$D$12)+H91)</f>
        <v>5.8266011042210266</v>
      </c>
      <c r="D92" s="57">
        <f t="shared" si="7"/>
        <v>0.11424708047492249</v>
      </c>
      <c r="E92" s="67"/>
      <c r="F92" s="68" t="str">
        <f t="shared" si="5"/>
        <v>-</v>
      </c>
      <c r="G92" s="12" t="str">
        <f>IF(COUNTBLANK(H92)=1,IF(C92&lt;=Config.!$D$10,"meta","nops"),"")</f>
        <v>nops</v>
      </c>
      <c r="H92" s="58"/>
      <c r="I92" s="59" t="str">
        <f t="shared" si="8"/>
        <v/>
      </c>
      <c r="J92" s="59" t="str">
        <f t="shared" si="6"/>
        <v/>
      </c>
      <c r="K92" s="53" t="str">
        <f t="shared" si="9"/>
        <v/>
      </c>
      <c r="R92" s="27">
        <f>IF(COUNTBLANK(T91)=1,(R91*Config.!$D$12)+R91,(T91*Config.!$D$12)+T91)</f>
        <v>5.8266011042210266</v>
      </c>
      <c r="S92" s="28" t="str">
        <f>IF(COUNTBLANK(T92)=1,IF(R92&lt;=Config.!$D$10,"meta","nops"),"")</f>
        <v>nops</v>
      </c>
      <c r="T92" s="32"/>
    </row>
    <row r="93" spans="1:20" ht="20.100000000000001" customHeight="1">
      <c r="A93" s="22" t="s">
        <v>21</v>
      </c>
      <c r="B93" s="20">
        <v>90</v>
      </c>
      <c r="C93" s="57">
        <f>IF(COUNTBLANK(H92)=1,(C92*Config.!$D$12)+C92,(H92*Config.!$D$12)+H92)</f>
        <v>5.9431331263054474</v>
      </c>
      <c r="D93" s="57">
        <f t="shared" si="7"/>
        <v>0.11653202208442082</v>
      </c>
      <c r="E93" s="67"/>
      <c r="F93" s="68" t="str">
        <f t="shared" si="5"/>
        <v>-</v>
      </c>
      <c r="G93" s="12" t="str">
        <f>IF(COUNTBLANK(H93)=1,IF(C93&lt;=Config.!$D$10,"meta","nops"),"")</f>
        <v>nops</v>
      </c>
      <c r="H93" s="58"/>
      <c r="I93" s="59" t="str">
        <f t="shared" si="8"/>
        <v/>
      </c>
      <c r="J93" s="59" t="str">
        <f t="shared" si="6"/>
        <v/>
      </c>
      <c r="K93" s="53" t="str">
        <f t="shared" si="9"/>
        <v/>
      </c>
      <c r="R93" s="27">
        <f>IF(COUNTBLANK(T92)=1,(R92*Config.!$D$12)+R92,(T92*Config.!$D$12)+T92)</f>
        <v>5.9431331263054474</v>
      </c>
      <c r="S93" s="28" t="str">
        <f>IF(COUNTBLANK(T93)=1,IF(R93&lt;=Config.!$D$10,"meta","nops"),"")</f>
        <v>nops</v>
      </c>
      <c r="T93" s="32"/>
    </row>
    <row r="94" spans="1:20" ht="20.100000000000001" customHeight="1">
      <c r="A94" s="22" t="s">
        <v>21</v>
      </c>
      <c r="B94" s="20">
        <v>91</v>
      </c>
      <c r="C94" s="57">
        <f>IF(COUNTBLANK(H93)=1,(C93*Config.!$D$12)+C93,(H93*Config.!$D$12)+H93)</f>
        <v>6.0619957888315561</v>
      </c>
      <c r="D94" s="57">
        <f t="shared" si="7"/>
        <v>0.11886266252610866</v>
      </c>
      <c r="E94" s="67"/>
      <c r="F94" s="68" t="str">
        <f t="shared" si="5"/>
        <v>-</v>
      </c>
      <c r="G94" s="12" t="str">
        <f>IF(COUNTBLANK(H94)=1,IF(C94&lt;=Config.!$D$10,"meta","nops"),"")</f>
        <v>nops</v>
      </c>
      <c r="H94" s="58"/>
      <c r="I94" s="59" t="str">
        <f t="shared" si="8"/>
        <v/>
      </c>
      <c r="J94" s="59" t="str">
        <f t="shared" si="6"/>
        <v/>
      </c>
      <c r="K94" s="53" t="str">
        <f t="shared" si="9"/>
        <v/>
      </c>
      <c r="R94" s="27">
        <f>IF(COUNTBLANK(T93)=1,(R93*Config.!$D$12)+R93,(T93*Config.!$D$12)+T93)</f>
        <v>6.0619957888315561</v>
      </c>
      <c r="S94" s="28" t="str">
        <f>IF(COUNTBLANK(T94)=1,IF(R94&lt;=Config.!$D$10,"meta","nops"),"")</f>
        <v>nops</v>
      </c>
      <c r="T94" s="32"/>
    </row>
    <row r="95" spans="1:20" ht="20.100000000000001" customHeight="1">
      <c r="A95" s="22" t="s">
        <v>21</v>
      </c>
      <c r="B95" s="20">
        <v>92</v>
      </c>
      <c r="C95" s="57">
        <f>IF(COUNTBLANK(H94)=1,(C94*Config.!$D$12)+C94,(H94*Config.!$D$12)+H94)</f>
        <v>6.1832357046081876</v>
      </c>
      <c r="D95" s="57">
        <f t="shared" si="7"/>
        <v>0.12123991577663151</v>
      </c>
      <c r="E95" s="67"/>
      <c r="F95" s="68" t="str">
        <f t="shared" si="5"/>
        <v>-</v>
      </c>
      <c r="G95" s="12" t="str">
        <f>IF(COUNTBLANK(H95)=1,IF(C95&lt;=Config.!$D$10,"meta","nops"),"")</f>
        <v>nops</v>
      </c>
      <c r="H95" s="58"/>
      <c r="I95" s="59" t="str">
        <f t="shared" si="8"/>
        <v/>
      </c>
      <c r="J95" s="59" t="str">
        <f t="shared" si="6"/>
        <v/>
      </c>
      <c r="K95" s="53" t="str">
        <f t="shared" si="9"/>
        <v/>
      </c>
      <c r="R95" s="27">
        <f>IF(COUNTBLANK(T94)=1,(R94*Config.!$D$12)+R94,(T94*Config.!$D$12)+T94)</f>
        <v>6.1832357046081876</v>
      </c>
      <c r="S95" s="28" t="str">
        <f>IF(COUNTBLANK(T95)=1,IF(R95&lt;=Config.!$D$10,"meta","nops"),"")</f>
        <v>nops</v>
      </c>
      <c r="T95" s="32"/>
    </row>
    <row r="96" spans="1:20" ht="20.100000000000001" customHeight="1">
      <c r="A96" s="22" t="s">
        <v>21</v>
      </c>
      <c r="B96" s="20">
        <v>93</v>
      </c>
      <c r="C96" s="57">
        <f>IF(COUNTBLANK(H95)=1,(C95*Config.!$D$12)+C95,(H95*Config.!$D$12)+H95)</f>
        <v>6.3069004187003515</v>
      </c>
      <c r="D96" s="57">
        <f t="shared" si="7"/>
        <v>0.12366471409216384</v>
      </c>
      <c r="E96" s="67"/>
      <c r="F96" s="68" t="str">
        <f t="shared" si="5"/>
        <v>-</v>
      </c>
      <c r="G96" s="12" t="str">
        <f>IF(COUNTBLANK(H96)=1,IF(C96&lt;=Config.!$D$10,"meta","nops"),"")</f>
        <v>nops</v>
      </c>
      <c r="H96" s="58"/>
      <c r="I96" s="59" t="str">
        <f t="shared" si="8"/>
        <v/>
      </c>
      <c r="J96" s="59" t="str">
        <f t="shared" si="6"/>
        <v/>
      </c>
      <c r="K96" s="53" t="str">
        <f t="shared" si="9"/>
        <v/>
      </c>
      <c r="R96" s="27">
        <f>IF(COUNTBLANK(T95)=1,(R95*Config.!$D$12)+R95,(T95*Config.!$D$12)+T95)</f>
        <v>6.3069004187003515</v>
      </c>
      <c r="S96" s="28" t="str">
        <f>IF(COUNTBLANK(T96)=1,IF(R96&lt;=Config.!$D$10,"meta","nops"),"")</f>
        <v>nops</v>
      </c>
      <c r="T96" s="32"/>
    </row>
    <row r="97" spans="1:20" ht="20.100000000000001" customHeight="1">
      <c r="A97" s="22" t="s">
        <v>21</v>
      </c>
      <c r="B97" s="20">
        <v>94</v>
      </c>
      <c r="C97" s="57">
        <f>IF(COUNTBLANK(H96)=1,(C96*Config.!$D$12)+C96,(H96*Config.!$D$12)+H96)</f>
        <v>6.4330384270743588</v>
      </c>
      <c r="D97" s="57">
        <f t="shared" si="7"/>
        <v>0.12613800837400735</v>
      </c>
      <c r="E97" s="67"/>
      <c r="F97" s="68" t="str">
        <f t="shared" si="5"/>
        <v>-</v>
      </c>
      <c r="G97" s="12" t="str">
        <f>IF(COUNTBLANK(H97)=1,IF(C97&lt;=Config.!$D$10,"meta","nops"),"")</f>
        <v>nops</v>
      </c>
      <c r="H97" s="58"/>
      <c r="I97" s="59" t="str">
        <f t="shared" si="8"/>
        <v/>
      </c>
      <c r="J97" s="59" t="str">
        <f t="shared" si="6"/>
        <v/>
      </c>
      <c r="K97" s="53" t="str">
        <f t="shared" si="9"/>
        <v/>
      </c>
      <c r="R97" s="27">
        <f>IF(COUNTBLANK(T96)=1,(R96*Config.!$D$12)+R96,(T96*Config.!$D$12)+T96)</f>
        <v>6.4330384270743588</v>
      </c>
      <c r="S97" s="28" t="str">
        <f>IF(COUNTBLANK(T97)=1,IF(R97&lt;=Config.!$D$10,"meta","nops"),"")</f>
        <v>nops</v>
      </c>
      <c r="T97" s="32"/>
    </row>
    <row r="98" spans="1:20" ht="20.100000000000001" customHeight="1">
      <c r="A98" s="22" t="s">
        <v>21</v>
      </c>
      <c r="B98" s="20">
        <v>95</v>
      </c>
      <c r="C98" s="57">
        <f>IF(COUNTBLANK(H97)=1,(C97*Config.!$D$12)+C97,(H97*Config.!$D$12)+H97)</f>
        <v>6.5616991956158461</v>
      </c>
      <c r="D98" s="57">
        <f t="shared" si="7"/>
        <v>0.12866076854148734</v>
      </c>
      <c r="E98" s="67"/>
      <c r="F98" s="68" t="str">
        <f t="shared" si="5"/>
        <v>-</v>
      </c>
      <c r="G98" s="12" t="str">
        <f>IF(COUNTBLANK(H98)=1,IF(C98&lt;=Config.!$D$10,"meta","nops"),"")</f>
        <v>nops</v>
      </c>
      <c r="H98" s="58"/>
      <c r="I98" s="59" t="str">
        <f t="shared" si="8"/>
        <v/>
      </c>
      <c r="J98" s="59" t="str">
        <f t="shared" si="6"/>
        <v/>
      </c>
      <c r="K98" s="53" t="str">
        <f t="shared" si="9"/>
        <v/>
      </c>
      <c r="R98" s="27">
        <f>IF(COUNTBLANK(T97)=1,(R97*Config.!$D$12)+R97,(T97*Config.!$D$12)+T97)</f>
        <v>6.5616991956158461</v>
      </c>
      <c r="S98" s="28" t="str">
        <f>IF(COUNTBLANK(T98)=1,IF(R98&lt;=Config.!$D$10,"meta","nops"),"")</f>
        <v>nops</v>
      </c>
      <c r="T98" s="32"/>
    </row>
    <row r="99" spans="1:20" ht="20.100000000000001" customHeight="1">
      <c r="A99" s="22" t="s">
        <v>21</v>
      </c>
      <c r="B99" s="20">
        <v>96</v>
      </c>
      <c r="C99" s="57">
        <f>IF(COUNTBLANK(H98)=1,(C98*Config.!$D$12)+C98,(H98*Config.!$D$12)+H98)</f>
        <v>6.692933179528163</v>
      </c>
      <c r="D99" s="57">
        <f t="shared" si="7"/>
        <v>0.13123398391231689</v>
      </c>
      <c r="E99" s="67"/>
      <c r="F99" s="68" t="str">
        <f t="shared" si="5"/>
        <v>-</v>
      </c>
      <c r="G99" s="12" t="str">
        <f>IF(COUNTBLANK(H99)=1,IF(C99&lt;=Config.!$D$10,"meta","nops"),"")</f>
        <v>nops</v>
      </c>
      <c r="H99" s="58"/>
      <c r="I99" s="59" t="str">
        <f t="shared" si="8"/>
        <v/>
      </c>
      <c r="J99" s="59" t="str">
        <f t="shared" si="6"/>
        <v/>
      </c>
      <c r="K99" s="53" t="str">
        <f t="shared" si="9"/>
        <v/>
      </c>
      <c r="R99" s="27">
        <f>IF(COUNTBLANK(T98)=1,(R98*Config.!$D$12)+R98,(T98*Config.!$D$12)+T98)</f>
        <v>6.692933179528163</v>
      </c>
      <c r="S99" s="28" t="str">
        <f>IF(COUNTBLANK(T99)=1,IF(R99&lt;=Config.!$D$10,"meta","nops"),"")</f>
        <v>nops</v>
      </c>
      <c r="T99" s="32"/>
    </row>
    <row r="100" spans="1:20" ht="20.100000000000001" customHeight="1">
      <c r="A100" s="22" t="s">
        <v>21</v>
      </c>
      <c r="B100" s="20">
        <v>97</v>
      </c>
      <c r="C100" s="57">
        <f>IF(COUNTBLANK(H99)=1,(C99*Config.!$D$12)+C99,(H99*Config.!$D$12)+H99)</f>
        <v>6.826791843118726</v>
      </c>
      <c r="D100" s="57">
        <f t="shared" si="7"/>
        <v>0.13385866359056298</v>
      </c>
      <c r="E100" s="67"/>
      <c r="F100" s="68" t="str">
        <f t="shared" si="5"/>
        <v>-</v>
      </c>
      <c r="G100" s="12" t="str">
        <f>IF(COUNTBLANK(H100)=1,IF(C100&lt;=Config.!$D$10,"meta","nops"),"")</f>
        <v>nops</v>
      </c>
      <c r="H100" s="58"/>
      <c r="I100" s="59" t="str">
        <f t="shared" si="8"/>
        <v/>
      </c>
      <c r="J100" s="59" t="str">
        <f t="shared" si="6"/>
        <v/>
      </c>
      <c r="K100" s="53" t="str">
        <f t="shared" si="9"/>
        <v/>
      </c>
      <c r="R100" s="27">
        <f>IF(COUNTBLANK(T99)=1,(R99*Config.!$D$12)+R99,(T99*Config.!$D$12)+T99)</f>
        <v>6.826791843118726</v>
      </c>
      <c r="S100" s="28" t="str">
        <f>IF(COUNTBLANK(T100)=1,IF(R100&lt;=Config.!$D$10,"meta","nops"),"")</f>
        <v>nops</v>
      </c>
      <c r="T100" s="32"/>
    </row>
    <row r="101" spans="1:20" ht="20.100000000000001" customHeight="1">
      <c r="A101" s="22" t="s">
        <v>21</v>
      </c>
      <c r="B101" s="20">
        <v>98</v>
      </c>
      <c r="C101" s="57">
        <f>IF(COUNTBLANK(H100)=1,(C100*Config.!$D$12)+C100,(H100*Config.!$D$12)+H100)</f>
        <v>6.9633276799811004</v>
      </c>
      <c r="D101" s="57">
        <f t="shared" si="7"/>
        <v>0.13653583686237436</v>
      </c>
      <c r="E101" s="67"/>
      <c r="F101" s="68" t="str">
        <f t="shared" si="5"/>
        <v>-</v>
      </c>
      <c r="G101" s="12" t="str">
        <f>IF(COUNTBLANK(H101)=1,IF(C101&lt;=Config.!$D$10,"meta","nops"),"")</f>
        <v>nops</v>
      </c>
      <c r="H101" s="58"/>
      <c r="I101" s="59" t="str">
        <f t="shared" si="8"/>
        <v/>
      </c>
      <c r="J101" s="59" t="str">
        <f t="shared" si="6"/>
        <v/>
      </c>
      <c r="K101" s="53" t="str">
        <f t="shared" si="9"/>
        <v/>
      </c>
      <c r="R101" s="27">
        <f>IF(COUNTBLANK(T100)=1,(R100*Config.!$D$12)+R100,(T100*Config.!$D$12)+T100)</f>
        <v>6.9633276799811004</v>
      </c>
      <c r="S101" s="28" t="str">
        <f>IF(COUNTBLANK(T101)=1,IF(R101&lt;=Config.!$D$10,"meta","nops"),"")</f>
        <v>nops</v>
      </c>
      <c r="T101" s="32"/>
    </row>
    <row r="102" spans="1:20" ht="20.100000000000001" customHeight="1">
      <c r="A102" s="22" t="s">
        <v>21</v>
      </c>
      <c r="B102" s="20">
        <v>99</v>
      </c>
      <c r="C102" s="57">
        <f>IF(COUNTBLANK(H101)=1,(C101*Config.!$D$12)+C101,(H101*Config.!$D$12)+H101)</f>
        <v>7.1025942335807226</v>
      </c>
      <c r="D102" s="57">
        <f t="shared" si="7"/>
        <v>0.13926655359962226</v>
      </c>
      <c r="E102" s="67"/>
      <c r="F102" s="68" t="str">
        <f t="shared" si="5"/>
        <v>-</v>
      </c>
      <c r="G102" s="12" t="str">
        <f>IF(COUNTBLANK(H102)=1,IF(C102&lt;=Config.!$D$10,"meta","nops"),"")</f>
        <v>nops</v>
      </c>
      <c r="H102" s="58"/>
      <c r="I102" s="59" t="str">
        <f t="shared" si="8"/>
        <v/>
      </c>
      <c r="J102" s="59" t="str">
        <f t="shared" si="6"/>
        <v/>
      </c>
      <c r="K102" s="53" t="str">
        <f t="shared" si="9"/>
        <v/>
      </c>
      <c r="R102" s="27">
        <f>IF(COUNTBLANK(T101)=1,(R101*Config.!$D$12)+R101,(T101*Config.!$D$12)+T101)</f>
        <v>7.1025942335807226</v>
      </c>
      <c r="S102" s="28" t="str">
        <f>IF(COUNTBLANK(T102)=1,IF(R102&lt;=Config.!$D$10,"meta","nops"),"")</f>
        <v>nops</v>
      </c>
      <c r="T102" s="32"/>
    </row>
    <row r="103" spans="1:20" ht="20.100000000000001" customHeight="1">
      <c r="A103" s="22" t="s">
        <v>21</v>
      </c>
      <c r="B103" s="20">
        <v>100</v>
      </c>
      <c r="C103" s="57">
        <f>IF(COUNTBLANK(H102)=1,(C102*Config.!$D$12)+C102,(H102*Config.!$D$12)+H102)</f>
        <v>7.2446461182523372</v>
      </c>
      <c r="D103" s="57">
        <f t="shared" si="7"/>
        <v>0.14205188467161456</v>
      </c>
      <c r="E103" s="67"/>
      <c r="F103" s="68" t="str">
        <f t="shared" si="5"/>
        <v>-</v>
      </c>
      <c r="G103" s="12" t="str">
        <f>IF(COUNTBLANK(H103)=1,IF(C103&lt;=Config.!$D$10,"meta","nops"),"")</f>
        <v>nops</v>
      </c>
      <c r="H103" s="58"/>
      <c r="I103" s="59" t="str">
        <f t="shared" si="8"/>
        <v/>
      </c>
      <c r="J103" s="59" t="str">
        <f t="shared" si="6"/>
        <v/>
      </c>
      <c r="K103" s="53" t="str">
        <f t="shared" si="9"/>
        <v/>
      </c>
      <c r="R103" s="27">
        <f>IF(COUNTBLANK(T102)=1,(R102*Config.!$D$12)+R102,(T102*Config.!$D$12)+T102)</f>
        <v>7.2446461182523372</v>
      </c>
      <c r="S103" s="28" t="str">
        <f>IF(COUNTBLANK(T103)=1,IF(R103&lt;=Config.!$D$10,"meta","nops"),"")</f>
        <v>nops</v>
      </c>
      <c r="T103" s="32"/>
    </row>
    <row r="104" spans="1:20" ht="20.100000000000001" customHeight="1">
      <c r="A104" s="22" t="s">
        <v>21</v>
      </c>
      <c r="B104" s="20">
        <v>101</v>
      </c>
      <c r="C104" s="57">
        <f>IF(COUNTBLANK(H103)=1,(C103*Config.!$D$12)+C103,(H103*Config.!$D$12)+H103)</f>
        <v>7.3895390406173842</v>
      </c>
      <c r="D104" s="57">
        <f t="shared" si="7"/>
        <v>0.14489292236504703</v>
      </c>
      <c r="E104" s="67"/>
      <c r="F104" s="68" t="str">
        <f t="shared" si="5"/>
        <v>-</v>
      </c>
      <c r="G104" s="12" t="str">
        <f>IF(COUNTBLANK(H104)=1,IF(C104&lt;=Config.!$D$10,"meta","nops"),"")</f>
        <v>nops</v>
      </c>
      <c r="H104" s="58"/>
      <c r="I104" s="59" t="str">
        <f t="shared" si="8"/>
        <v/>
      </c>
      <c r="J104" s="59" t="str">
        <f t="shared" si="6"/>
        <v/>
      </c>
      <c r="K104" s="53" t="str">
        <f t="shared" si="9"/>
        <v/>
      </c>
      <c r="R104" s="27">
        <f>IF(COUNTBLANK(T103)=1,(R103*Config.!$D$12)+R103,(T103*Config.!$D$12)+T103)</f>
        <v>7.3895390406173842</v>
      </c>
      <c r="S104" s="28" t="str">
        <f>IF(COUNTBLANK(T104)=1,IF(R104&lt;=Config.!$D$10,"meta","nops"),"")</f>
        <v>nops</v>
      </c>
      <c r="T104" s="32"/>
    </row>
    <row r="105" spans="1:20" ht="20.100000000000001" customHeight="1">
      <c r="A105" s="22" t="s">
        <v>21</v>
      </c>
      <c r="B105" s="20">
        <v>102</v>
      </c>
      <c r="C105" s="57">
        <f>IF(COUNTBLANK(H104)=1,(C104*Config.!$D$12)+C104,(H104*Config.!$D$12)+H104)</f>
        <v>7.537329821429732</v>
      </c>
      <c r="D105" s="57">
        <f t="shared" si="7"/>
        <v>0.14779078081234776</v>
      </c>
      <c r="E105" s="67"/>
      <c r="F105" s="68" t="str">
        <f t="shared" si="5"/>
        <v>-</v>
      </c>
      <c r="G105" s="12" t="str">
        <f>IF(COUNTBLANK(H105)=1,IF(C105&lt;=Config.!$D$10,"meta","nops"),"")</f>
        <v>nops</v>
      </c>
      <c r="H105" s="58"/>
      <c r="I105" s="59" t="str">
        <f t="shared" si="8"/>
        <v/>
      </c>
      <c r="J105" s="59" t="str">
        <f t="shared" si="6"/>
        <v/>
      </c>
      <c r="K105" s="53" t="str">
        <f t="shared" si="9"/>
        <v/>
      </c>
      <c r="R105" s="27">
        <f>IF(COUNTBLANK(T104)=1,(R104*Config.!$D$12)+R104,(T104*Config.!$D$12)+T104)</f>
        <v>7.537329821429732</v>
      </c>
      <c r="S105" s="28" t="str">
        <f>IF(COUNTBLANK(T105)=1,IF(R105&lt;=Config.!$D$10,"meta","nops"),"")</f>
        <v>nops</v>
      </c>
      <c r="T105" s="32"/>
    </row>
    <row r="106" spans="1:20" ht="20.100000000000001" customHeight="1">
      <c r="A106" s="22" t="s">
        <v>21</v>
      </c>
      <c r="B106" s="20">
        <v>103</v>
      </c>
      <c r="C106" s="57">
        <f>IF(COUNTBLANK(H105)=1,(C105*Config.!$D$12)+C105,(H105*Config.!$D$12)+H105)</f>
        <v>7.6880764178583263</v>
      </c>
      <c r="D106" s="57">
        <f t="shared" si="7"/>
        <v>0.15074659642859434</v>
      </c>
      <c r="E106" s="67"/>
      <c r="F106" s="68" t="str">
        <f t="shared" si="5"/>
        <v>-</v>
      </c>
      <c r="G106" s="12" t="str">
        <f>IF(COUNTBLANK(H106)=1,IF(C106&lt;=Config.!$D$10,"meta","nops"),"")</f>
        <v>nops</v>
      </c>
      <c r="H106" s="58"/>
      <c r="I106" s="59" t="str">
        <f t="shared" si="8"/>
        <v/>
      </c>
      <c r="J106" s="59" t="str">
        <f t="shared" si="6"/>
        <v/>
      </c>
      <c r="K106" s="53" t="str">
        <f t="shared" si="9"/>
        <v/>
      </c>
      <c r="R106" s="27">
        <f>IF(COUNTBLANK(T105)=1,(R105*Config.!$D$12)+R105,(T105*Config.!$D$12)+T105)</f>
        <v>7.6880764178583263</v>
      </c>
      <c r="S106" s="28" t="str">
        <f>IF(COUNTBLANK(T106)=1,IF(R106&lt;=Config.!$D$10,"meta","nops"),"")</f>
        <v>nops</v>
      </c>
      <c r="T106" s="32"/>
    </row>
    <row r="107" spans="1:20" ht="20.100000000000001" customHeight="1">
      <c r="A107" s="22" t="s">
        <v>21</v>
      </c>
      <c r="B107" s="20">
        <v>104</v>
      </c>
      <c r="C107" s="57">
        <f>IF(COUNTBLANK(H106)=1,(C106*Config.!$D$12)+C106,(H106*Config.!$D$12)+H106)</f>
        <v>7.8418379462154926</v>
      </c>
      <c r="D107" s="57">
        <f t="shared" si="7"/>
        <v>0.15376152835716628</v>
      </c>
      <c r="E107" s="67"/>
      <c r="F107" s="68" t="str">
        <f t="shared" si="5"/>
        <v>-</v>
      </c>
      <c r="G107" s="12" t="str">
        <f>IF(COUNTBLANK(H107)=1,IF(C107&lt;=Config.!$D$10,"meta","nops"),"")</f>
        <v>nops</v>
      </c>
      <c r="H107" s="58"/>
      <c r="I107" s="59" t="str">
        <f t="shared" si="8"/>
        <v/>
      </c>
      <c r="J107" s="59" t="str">
        <f t="shared" si="6"/>
        <v/>
      </c>
      <c r="K107" s="53" t="str">
        <f t="shared" si="9"/>
        <v/>
      </c>
      <c r="R107" s="27">
        <f>IF(COUNTBLANK(T106)=1,(R106*Config.!$D$12)+R106,(T106*Config.!$D$12)+T106)</f>
        <v>7.8418379462154926</v>
      </c>
      <c r="S107" s="28" t="str">
        <f>IF(COUNTBLANK(T107)=1,IF(R107&lt;=Config.!$D$10,"meta","nops"),"")</f>
        <v>nops</v>
      </c>
      <c r="T107" s="32"/>
    </row>
    <row r="108" spans="1:20" ht="20.100000000000001" customHeight="1">
      <c r="A108" s="22" t="s">
        <v>21</v>
      </c>
      <c r="B108" s="20">
        <v>105</v>
      </c>
      <c r="C108" s="57">
        <f>IF(COUNTBLANK(H107)=1,(C107*Config.!$D$12)+C107,(H107*Config.!$D$12)+H107)</f>
        <v>7.9986747051398028</v>
      </c>
      <c r="D108" s="57">
        <f t="shared" si="7"/>
        <v>0.15683675892431026</v>
      </c>
      <c r="E108" s="67"/>
      <c r="F108" s="68" t="str">
        <f t="shared" si="5"/>
        <v>-</v>
      </c>
      <c r="G108" s="12" t="str">
        <f>IF(COUNTBLANK(H108)=1,IF(C108&lt;=Config.!$D$10,"meta","nops"),"")</f>
        <v>nops</v>
      </c>
      <c r="H108" s="58"/>
      <c r="I108" s="59" t="str">
        <f t="shared" si="8"/>
        <v/>
      </c>
      <c r="J108" s="59" t="str">
        <f t="shared" si="6"/>
        <v/>
      </c>
      <c r="K108" s="53" t="str">
        <f t="shared" si="9"/>
        <v/>
      </c>
      <c r="R108" s="27">
        <f>IF(COUNTBLANK(T107)=1,(R107*Config.!$D$12)+R107,(T107*Config.!$D$12)+T107)</f>
        <v>7.9986747051398028</v>
      </c>
      <c r="S108" s="28" t="str">
        <f>IF(COUNTBLANK(T108)=1,IF(R108&lt;=Config.!$D$10,"meta","nops"),"")</f>
        <v>nops</v>
      </c>
      <c r="T108" s="32"/>
    </row>
    <row r="109" spans="1:20" ht="20.100000000000001" customHeight="1">
      <c r="A109" s="22" t="s">
        <v>21</v>
      </c>
      <c r="B109" s="20">
        <v>106</v>
      </c>
      <c r="C109" s="57">
        <f>IF(COUNTBLANK(H108)=1,(C108*Config.!$D$12)+C108,(H108*Config.!$D$12)+H108)</f>
        <v>8.1586481992425988</v>
      </c>
      <c r="D109" s="57">
        <f t="shared" si="7"/>
        <v>0.15997349410279593</v>
      </c>
      <c r="E109" s="67"/>
      <c r="F109" s="68" t="str">
        <f t="shared" si="5"/>
        <v>-</v>
      </c>
      <c r="G109" s="12" t="str">
        <f>IF(COUNTBLANK(H109)=1,IF(C109&lt;=Config.!$D$10,"meta","nops"),"")</f>
        <v>nops</v>
      </c>
      <c r="H109" s="58"/>
      <c r="I109" s="59" t="str">
        <f t="shared" si="8"/>
        <v/>
      </c>
      <c r="J109" s="59" t="str">
        <f t="shared" si="6"/>
        <v/>
      </c>
      <c r="K109" s="53" t="str">
        <f t="shared" si="9"/>
        <v/>
      </c>
      <c r="R109" s="27">
        <f>IF(COUNTBLANK(T108)=1,(R108*Config.!$D$12)+R108,(T108*Config.!$D$12)+T108)</f>
        <v>8.1586481992425988</v>
      </c>
      <c r="S109" s="28" t="str">
        <f>IF(COUNTBLANK(T109)=1,IF(R109&lt;=Config.!$D$10,"meta","nops"),"")</f>
        <v>nops</v>
      </c>
      <c r="T109" s="32"/>
    </row>
    <row r="110" spans="1:20" ht="20.100000000000001" customHeight="1">
      <c r="A110" s="22" t="s">
        <v>21</v>
      </c>
      <c r="B110" s="20">
        <v>107</v>
      </c>
      <c r="C110" s="57">
        <f>IF(COUNTBLANK(H109)=1,(C109*Config.!$D$12)+C109,(H109*Config.!$D$12)+H109)</f>
        <v>8.321821163227451</v>
      </c>
      <c r="D110" s="57">
        <f t="shared" si="7"/>
        <v>0.16317296398485226</v>
      </c>
      <c r="E110" s="67"/>
      <c r="F110" s="68" t="str">
        <f t="shared" si="5"/>
        <v>-</v>
      </c>
      <c r="G110" s="12" t="str">
        <f>IF(COUNTBLANK(H110)=1,IF(C110&lt;=Config.!$D$10,"meta","nops"),"")</f>
        <v>nops</v>
      </c>
      <c r="H110" s="58"/>
      <c r="I110" s="59" t="str">
        <f t="shared" si="8"/>
        <v/>
      </c>
      <c r="J110" s="59" t="str">
        <f t="shared" si="6"/>
        <v/>
      </c>
      <c r="K110" s="53" t="str">
        <f t="shared" si="9"/>
        <v/>
      </c>
      <c r="R110" s="27">
        <f>IF(COUNTBLANK(T109)=1,(R109*Config.!$D$12)+R109,(T109*Config.!$D$12)+T109)</f>
        <v>8.321821163227451</v>
      </c>
      <c r="S110" s="28" t="str">
        <f>IF(COUNTBLANK(T110)=1,IF(R110&lt;=Config.!$D$10,"meta","nops"),"")</f>
        <v>nops</v>
      </c>
      <c r="T110" s="32"/>
    </row>
    <row r="111" spans="1:20" ht="20.100000000000001" customHeight="1">
      <c r="A111" s="22" t="s">
        <v>21</v>
      </c>
      <c r="B111" s="20">
        <v>108</v>
      </c>
      <c r="C111" s="57">
        <f>IF(COUNTBLANK(H110)=1,(C110*Config.!$D$12)+C110,(H110*Config.!$D$12)+H110)</f>
        <v>8.4882575864920007</v>
      </c>
      <c r="D111" s="57">
        <f t="shared" si="7"/>
        <v>0.16643642326454966</v>
      </c>
      <c r="E111" s="67"/>
      <c r="F111" s="68" t="str">
        <f t="shared" si="5"/>
        <v>-</v>
      </c>
      <c r="G111" s="12" t="str">
        <f>IF(COUNTBLANK(H111)=1,IF(C111&lt;=Config.!$D$10,"meta","nops"),"")</f>
        <v>nops</v>
      </c>
      <c r="H111" s="58"/>
      <c r="I111" s="59" t="str">
        <f t="shared" si="8"/>
        <v/>
      </c>
      <c r="J111" s="59" t="str">
        <f t="shared" si="6"/>
        <v/>
      </c>
      <c r="K111" s="53" t="str">
        <f t="shared" si="9"/>
        <v/>
      </c>
      <c r="R111" s="27">
        <f>IF(COUNTBLANK(T110)=1,(R110*Config.!$D$12)+R110,(T110*Config.!$D$12)+T110)</f>
        <v>8.4882575864920007</v>
      </c>
      <c r="S111" s="28" t="str">
        <f>IF(COUNTBLANK(T111)=1,IF(R111&lt;=Config.!$D$10,"meta","nops"),"")</f>
        <v>nops</v>
      </c>
      <c r="T111" s="32"/>
    </row>
    <row r="112" spans="1:20" ht="20.100000000000001" customHeight="1">
      <c r="A112" s="22" t="s">
        <v>21</v>
      </c>
      <c r="B112" s="20">
        <v>109</v>
      </c>
      <c r="C112" s="57">
        <f>IF(COUNTBLANK(H111)=1,(C111*Config.!$D$12)+C111,(H111*Config.!$D$12)+H111)</f>
        <v>8.65802273822184</v>
      </c>
      <c r="D112" s="57">
        <f t="shared" si="7"/>
        <v>0.1697651517298393</v>
      </c>
      <c r="E112" s="67"/>
      <c r="F112" s="68" t="str">
        <f t="shared" si="5"/>
        <v>-</v>
      </c>
      <c r="G112" s="12" t="str">
        <f>IF(COUNTBLANK(H112)=1,IF(C112&lt;=Config.!$D$10,"meta","nops"),"")</f>
        <v>nops</v>
      </c>
      <c r="H112" s="58"/>
      <c r="I112" s="59" t="str">
        <f t="shared" si="8"/>
        <v/>
      </c>
      <c r="J112" s="59" t="str">
        <f t="shared" si="6"/>
        <v/>
      </c>
      <c r="K112" s="53" t="str">
        <f t="shared" si="9"/>
        <v/>
      </c>
      <c r="R112" s="27">
        <f>IF(COUNTBLANK(T111)=1,(R111*Config.!$D$12)+R111,(T111*Config.!$D$12)+T111)</f>
        <v>8.65802273822184</v>
      </c>
      <c r="S112" s="28" t="str">
        <f>IF(COUNTBLANK(T112)=1,IF(R112&lt;=Config.!$D$10,"meta","nops"),"")</f>
        <v>nops</v>
      </c>
      <c r="T112" s="32"/>
    </row>
    <row r="113" spans="1:20" ht="20.100000000000001" customHeight="1">
      <c r="A113" s="22" t="s">
        <v>21</v>
      </c>
      <c r="B113" s="20">
        <v>110</v>
      </c>
      <c r="C113" s="57">
        <f>IF(COUNTBLANK(H112)=1,(C112*Config.!$D$12)+C112,(H112*Config.!$D$12)+H112)</f>
        <v>8.831183192986277</v>
      </c>
      <c r="D113" s="57">
        <f t="shared" si="7"/>
        <v>0.17316045476443698</v>
      </c>
      <c r="E113" s="67"/>
      <c r="F113" s="68" t="str">
        <f t="shared" si="5"/>
        <v>-</v>
      </c>
      <c r="G113" s="12" t="str">
        <f>IF(COUNTBLANK(H113)=1,IF(C113&lt;=Config.!$D$10,"meta","nops"),"")</f>
        <v>nops</v>
      </c>
      <c r="H113" s="58"/>
      <c r="I113" s="59" t="str">
        <f t="shared" si="8"/>
        <v/>
      </c>
      <c r="J113" s="59" t="str">
        <f t="shared" si="6"/>
        <v/>
      </c>
      <c r="K113" s="53" t="str">
        <f t="shared" si="9"/>
        <v/>
      </c>
      <c r="R113" s="27">
        <f>IF(COUNTBLANK(T112)=1,(R112*Config.!$D$12)+R112,(T112*Config.!$D$12)+T112)</f>
        <v>8.831183192986277</v>
      </c>
      <c r="S113" s="28" t="str">
        <f>IF(COUNTBLANK(T113)=1,IF(R113&lt;=Config.!$D$10,"meta","nops"),"")</f>
        <v>nops</v>
      </c>
      <c r="T113" s="32"/>
    </row>
    <row r="114" spans="1:20" ht="20.100000000000001" customHeight="1">
      <c r="A114" s="22" t="s">
        <v>21</v>
      </c>
      <c r="B114" s="20">
        <v>111</v>
      </c>
      <c r="C114" s="57">
        <f>IF(COUNTBLANK(H113)=1,(C113*Config.!$D$12)+C113,(H113*Config.!$D$12)+H113)</f>
        <v>9.0078068568460026</v>
      </c>
      <c r="D114" s="57">
        <f t="shared" si="7"/>
        <v>0.17662366385972561</v>
      </c>
      <c r="E114" s="67"/>
      <c r="F114" s="68" t="str">
        <f t="shared" si="5"/>
        <v>-</v>
      </c>
      <c r="G114" s="12" t="str">
        <f>IF(COUNTBLANK(H114)=1,IF(C114&lt;=Config.!$D$10,"meta","nops"),"")</f>
        <v>nops</v>
      </c>
      <c r="H114" s="58"/>
      <c r="I114" s="59" t="str">
        <f t="shared" si="8"/>
        <v/>
      </c>
      <c r="J114" s="59" t="str">
        <f t="shared" si="6"/>
        <v/>
      </c>
      <c r="K114" s="53" t="str">
        <f t="shared" si="9"/>
        <v/>
      </c>
      <c r="R114" s="27">
        <f>IF(COUNTBLANK(T113)=1,(R113*Config.!$D$12)+R113,(T113*Config.!$D$12)+T113)</f>
        <v>9.0078068568460026</v>
      </c>
      <c r="S114" s="28" t="str">
        <f>IF(COUNTBLANK(T114)=1,IF(R114&lt;=Config.!$D$10,"meta","nops"),"")</f>
        <v>nops</v>
      </c>
      <c r="T114" s="32"/>
    </row>
    <row r="115" spans="1:20" ht="20.100000000000001" customHeight="1">
      <c r="A115" s="22" t="s">
        <v>21</v>
      </c>
      <c r="B115" s="20">
        <v>112</v>
      </c>
      <c r="C115" s="57">
        <f>IF(COUNTBLANK(H114)=1,(C114*Config.!$D$12)+C114,(H114*Config.!$D$12)+H114)</f>
        <v>9.1879629939829233</v>
      </c>
      <c r="D115" s="57">
        <f t="shared" si="7"/>
        <v>0.18015613713692069</v>
      </c>
      <c r="E115" s="67"/>
      <c r="F115" s="68" t="str">
        <f t="shared" si="5"/>
        <v>-</v>
      </c>
      <c r="G115" s="12" t="str">
        <f>IF(COUNTBLANK(H115)=1,IF(C115&lt;=Config.!$D$10,"meta","nops"),"")</f>
        <v>nops</v>
      </c>
      <c r="H115" s="58"/>
      <c r="I115" s="59" t="str">
        <f t="shared" si="8"/>
        <v/>
      </c>
      <c r="J115" s="59" t="str">
        <f t="shared" si="6"/>
        <v/>
      </c>
      <c r="K115" s="53" t="str">
        <f t="shared" si="9"/>
        <v/>
      </c>
      <c r="R115" s="27">
        <f>IF(COUNTBLANK(T114)=1,(R114*Config.!$D$12)+R114,(T114*Config.!$D$12)+T114)</f>
        <v>9.1879629939829233</v>
      </c>
      <c r="S115" s="28" t="str">
        <f>IF(COUNTBLANK(T115)=1,IF(R115&lt;=Config.!$D$10,"meta","nops"),"")</f>
        <v>nops</v>
      </c>
      <c r="T115" s="32"/>
    </row>
    <row r="116" spans="1:20" ht="20.100000000000001" customHeight="1">
      <c r="A116" s="22" t="s">
        <v>21</v>
      </c>
      <c r="B116" s="20">
        <v>113</v>
      </c>
      <c r="C116" s="57">
        <f>IF(COUNTBLANK(H115)=1,(C115*Config.!$D$12)+C115,(H115*Config.!$D$12)+H115)</f>
        <v>9.3717222538625826</v>
      </c>
      <c r="D116" s="57">
        <f t="shared" si="7"/>
        <v>0.18375925987965935</v>
      </c>
      <c r="E116" s="67"/>
      <c r="F116" s="68" t="str">
        <f t="shared" si="5"/>
        <v>-</v>
      </c>
      <c r="G116" s="12" t="str">
        <f>IF(COUNTBLANK(H116)=1,IF(C116&lt;=Config.!$D$10,"meta","nops"),"")</f>
        <v>nops</v>
      </c>
      <c r="H116" s="58"/>
      <c r="I116" s="59" t="str">
        <f t="shared" si="8"/>
        <v/>
      </c>
      <c r="J116" s="59" t="str">
        <f t="shared" si="6"/>
        <v/>
      </c>
      <c r="K116" s="53" t="str">
        <f t="shared" si="9"/>
        <v/>
      </c>
      <c r="R116" s="27">
        <f>IF(COUNTBLANK(T115)=1,(R115*Config.!$D$12)+R115,(T115*Config.!$D$12)+T115)</f>
        <v>9.3717222538625826</v>
      </c>
      <c r="S116" s="28" t="str">
        <f>IF(COUNTBLANK(T116)=1,IF(R116&lt;=Config.!$D$10,"meta","nops"),"")</f>
        <v>nops</v>
      </c>
      <c r="T116" s="32"/>
    </row>
    <row r="117" spans="1:20" ht="20.100000000000001" customHeight="1">
      <c r="A117" s="22" t="s">
        <v>21</v>
      </c>
      <c r="B117" s="20">
        <v>114</v>
      </c>
      <c r="C117" s="57">
        <f>IF(COUNTBLANK(H116)=1,(C116*Config.!$D$12)+C116,(H116*Config.!$D$12)+H116)</f>
        <v>9.5591566989398338</v>
      </c>
      <c r="D117" s="57">
        <f t="shared" si="7"/>
        <v>0.18743444507725115</v>
      </c>
      <c r="E117" s="67"/>
      <c r="F117" s="68" t="str">
        <f t="shared" si="5"/>
        <v>-</v>
      </c>
      <c r="G117" s="12" t="str">
        <f>IF(COUNTBLANK(H117)=1,IF(C117&lt;=Config.!$D$10,"meta","nops"),"")</f>
        <v>nops</v>
      </c>
      <c r="H117" s="58"/>
      <c r="I117" s="59" t="str">
        <f t="shared" si="8"/>
        <v/>
      </c>
      <c r="J117" s="59" t="str">
        <f t="shared" si="6"/>
        <v/>
      </c>
      <c r="K117" s="53" t="str">
        <f t="shared" si="9"/>
        <v/>
      </c>
      <c r="R117" s="27">
        <f>IF(COUNTBLANK(T116)=1,(R116*Config.!$D$12)+R116,(T116*Config.!$D$12)+T116)</f>
        <v>9.5591566989398338</v>
      </c>
      <c r="S117" s="28" t="str">
        <f>IF(COUNTBLANK(T117)=1,IF(R117&lt;=Config.!$D$10,"meta","nops"),"")</f>
        <v>nops</v>
      </c>
      <c r="T117" s="32"/>
    </row>
    <row r="118" spans="1:20" ht="20.100000000000001" customHeight="1">
      <c r="A118" s="22" t="s">
        <v>21</v>
      </c>
      <c r="B118" s="20">
        <v>115</v>
      </c>
      <c r="C118" s="57">
        <f>IF(COUNTBLANK(H117)=1,(C117*Config.!$D$12)+C117,(H117*Config.!$D$12)+H117)</f>
        <v>9.7503398329186304</v>
      </c>
      <c r="D118" s="57">
        <f t="shared" si="7"/>
        <v>0.1911831339787966</v>
      </c>
      <c r="E118" s="67"/>
      <c r="F118" s="68" t="str">
        <f t="shared" si="5"/>
        <v>-</v>
      </c>
      <c r="G118" s="12" t="str">
        <f>IF(COUNTBLANK(H118)=1,IF(C118&lt;=Config.!$D$10,"meta","nops"),"")</f>
        <v>nops</v>
      </c>
      <c r="H118" s="58"/>
      <c r="I118" s="59" t="str">
        <f t="shared" si="8"/>
        <v/>
      </c>
      <c r="J118" s="59" t="str">
        <f t="shared" si="6"/>
        <v/>
      </c>
      <c r="K118" s="53" t="str">
        <f t="shared" si="9"/>
        <v/>
      </c>
      <c r="R118" s="27">
        <f>IF(COUNTBLANK(T117)=1,(R117*Config.!$D$12)+R117,(T117*Config.!$D$12)+T117)</f>
        <v>9.7503398329186304</v>
      </c>
      <c r="S118" s="28" t="str">
        <f>IF(COUNTBLANK(T118)=1,IF(R118&lt;=Config.!$D$10,"meta","nops"),"")</f>
        <v>nops</v>
      </c>
      <c r="T118" s="32"/>
    </row>
    <row r="119" spans="1:20" ht="20.100000000000001" customHeight="1">
      <c r="A119" s="22" t="s">
        <v>21</v>
      </c>
      <c r="B119" s="20">
        <v>116</v>
      </c>
      <c r="C119" s="57">
        <f>IF(COUNTBLANK(H118)=1,(C118*Config.!$D$12)+C118,(H118*Config.!$D$12)+H118)</f>
        <v>9.9453466295770028</v>
      </c>
      <c r="D119" s="57">
        <f t="shared" si="7"/>
        <v>0.19500679665837239</v>
      </c>
      <c r="E119" s="67"/>
      <c r="F119" s="68" t="str">
        <f t="shared" si="5"/>
        <v>-</v>
      </c>
      <c r="G119" s="12" t="str">
        <f>IF(COUNTBLANK(H119)=1,IF(C119&lt;=Config.!$D$10,"meta","nops"),"")</f>
        <v>nops</v>
      </c>
      <c r="H119" s="58"/>
      <c r="I119" s="59" t="str">
        <f t="shared" si="8"/>
        <v/>
      </c>
      <c r="J119" s="59" t="str">
        <f t="shared" si="6"/>
        <v/>
      </c>
      <c r="K119" s="53" t="str">
        <f t="shared" si="9"/>
        <v/>
      </c>
      <c r="R119" s="27">
        <f>IF(COUNTBLANK(T118)=1,(R118*Config.!$D$12)+R118,(T118*Config.!$D$12)+T118)</f>
        <v>9.9453466295770028</v>
      </c>
      <c r="S119" s="28" t="str">
        <f>IF(COUNTBLANK(T119)=1,IF(R119&lt;=Config.!$D$10,"meta","nops"),"")</f>
        <v>nops</v>
      </c>
      <c r="T119" s="32"/>
    </row>
    <row r="120" spans="1:20" ht="20.100000000000001" customHeight="1">
      <c r="A120" s="22" t="s">
        <v>21</v>
      </c>
      <c r="B120" s="20">
        <v>117</v>
      </c>
      <c r="C120" s="57">
        <f>IF(COUNTBLANK(H119)=1,(C119*Config.!$D$12)+C119,(H119*Config.!$D$12)+H119)</f>
        <v>10.144253562168544</v>
      </c>
      <c r="D120" s="57">
        <f t="shared" si="7"/>
        <v>0.19890693259154091</v>
      </c>
      <c r="E120" s="67"/>
      <c r="F120" s="68" t="str">
        <f t="shared" si="5"/>
        <v>-</v>
      </c>
      <c r="G120" s="12" t="str">
        <f>IF(COUNTBLANK(H120)=1,IF(C120&lt;=Config.!$D$10,"meta","nops"),"")</f>
        <v>nops</v>
      </c>
      <c r="H120" s="58"/>
      <c r="I120" s="59" t="str">
        <f t="shared" si="8"/>
        <v/>
      </c>
      <c r="J120" s="59" t="str">
        <f t="shared" si="6"/>
        <v/>
      </c>
      <c r="K120" s="53" t="str">
        <f t="shared" si="9"/>
        <v/>
      </c>
      <c r="R120" s="27">
        <f>IF(COUNTBLANK(T119)=1,(R119*Config.!$D$12)+R119,(T119*Config.!$D$12)+T119)</f>
        <v>10.144253562168544</v>
      </c>
      <c r="S120" s="28" t="str">
        <f>IF(COUNTBLANK(T120)=1,IF(R120&lt;=Config.!$D$10,"meta","nops"),"")</f>
        <v>nops</v>
      </c>
      <c r="T120" s="32"/>
    </row>
    <row r="121" spans="1:20" ht="20.100000000000001" customHeight="1">
      <c r="A121" s="22" t="s">
        <v>21</v>
      </c>
      <c r="B121" s="20">
        <v>118</v>
      </c>
      <c r="C121" s="57">
        <f>IF(COUNTBLANK(H120)=1,(C120*Config.!$D$12)+C120,(H120*Config.!$D$12)+H120)</f>
        <v>10.347138633411914</v>
      </c>
      <c r="D121" s="57">
        <f t="shared" si="7"/>
        <v>0.20288507124337052</v>
      </c>
      <c r="E121" s="67"/>
      <c r="F121" s="68" t="str">
        <f t="shared" si="5"/>
        <v>-</v>
      </c>
      <c r="G121" s="12" t="str">
        <f>IF(COUNTBLANK(H121)=1,IF(C121&lt;=Config.!$D$10,"meta","nops"),"")</f>
        <v>nops</v>
      </c>
      <c r="H121" s="58"/>
      <c r="I121" s="59" t="str">
        <f t="shared" si="8"/>
        <v/>
      </c>
      <c r="J121" s="59" t="str">
        <f t="shared" si="6"/>
        <v/>
      </c>
      <c r="K121" s="53" t="str">
        <f t="shared" si="9"/>
        <v/>
      </c>
      <c r="R121" s="27">
        <f>IF(COUNTBLANK(T120)=1,(R120*Config.!$D$12)+R120,(T120*Config.!$D$12)+T120)</f>
        <v>10.347138633411914</v>
      </c>
      <c r="S121" s="28" t="str">
        <f>IF(COUNTBLANK(T121)=1,IF(R121&lt;=Config.!$D$10,"meta","nops"),"")</f>
        <v>nops</v>
      </c>
      <c r="T121" s="32"/>
    </row>
    <row r="122" spans="1:20" ht="20.100000000000001" customHeight="1">
      <c r="A122" s="22" t="s">
        <v>21</v>
      </c>
      <c r="B122" s="20">
        <v>119</v>
      </c>
      <c r="C122" s="57">
        <f>IF(COUNTBLANK(H121)=1,(C121*Config.!$D$12)+C121,(H121*Config.!$D$12)+H121)</f>
        <v>10.554081406080153</v>
      </c>
      <c r="D122" s="57">
        <f t="shared" si="7"/>
        <v>0.20694277266823846</v>
      </c>
      <c r="E122" s="67"/>
      <c r="F122" s="68" t="str">
        <f t="shared" si="5"/>
        <v>-</v>
      </c>
      <c r="G122" s="12" t="str">
        <f>IF(COUNTBLANK(H122)=1,IF(C122&lt;=Config.!$D$10,"meta","nops"),"")</f>
        <v>nops</v>
      </c>
      <c r="H122" s="58"/>
      <c r="I122" s="59" t="str">
        <f t="shared" si="8"/>
        <v/>
      </c>
      <c r="J122" s="59" t="str">
        <f t="shared" si="6"/>
        <v/>
      </c>
      <c r="K122" s="53" t="str">
        <f t="shared" si="9"/>
        <v/>
      </c>
      <c r="R122" s="27">
        <f>IF(COUNTBLANK(T121)=1,(R121*Config.!$D$12)+R121,(T121*Config.!$D$12)+T121)</f>
        <v>10.554081406080153</v>
      </c>
      <c r="S122" s="28" t="str">
        <f>IF(COUNTBLANK(T122)=1,IF(R122&lt;=Config.!$D$10,"meta","nops"),"")</f>
        <v>nops</v>
      </c>
      <c r="T122" s="32"/>
    </row>
    <row r="123" spans="1:20" ht="20.100000000000001" customHeight="1">
      <c r="A123" s="22" t="s">
        <v>21</v>
      </c>
      <c r="B123" s="20">
        <v>120</v>
      </c>
      <c r="C123" s="57">
        <f>IF(COUNTBLANK(H122)=1,(C122*Config.!$D$12)+C122,(H122*Config.!$D$12)+H122)</f>
        <v>10.765163034201755</v>
      </c>
      <c r="D123" s="57">
        <f t="shared" si="7"/>
        <v>0.2110816281216028</v>
      </c>
      <c r="E123" s="67"/>
      <c r="F123" s="68" t="str">
        <f t="shared" si="5"/>
        <v>-</v>
      </c>
      <c r="G123" s="12" t="str">
        <f>IF(COUNTBLANK(H123)=1,IF(C123&lt;=Config.!$D$10,"meta","nops"),"")</f>
        <v>nops</v>
      </c>
      <c r="H123" s="58"/>
      <c r="I123" s="59" t="str">
        <f t="shared" si="8"/>
        <v/>
      </c>
      <c r="J123" s="59" t="str">
        <f t="shared" si="6"/>
        <v/>
      </c>
      <c r="K123" s="53" t="str">
        <f t="shared" si="9"/>
        <v/>
      </c>
      <c r="R123" s="27">
        <f>IF(COUNTBLANK(T122)=1,(R122*Config.!$D$12)+R122,(T122*Config.!$D$12)+T122)</f>
        <v>10.765163034201755</v>
      </c>
      <c r="S123" s="28" t="str">
        <f>IF(COUNTBLANK(T123)=1,IF(R123&lt;=Config.!$D$10,"meta","nops"),"")</f>
        <v>nops</v>
      </c>
      <c r="T123" s="32"/>
    </row>
    <row r="124" spans="1:20" ht="20.100000000000001" customHeight="1">
      <c r="A124" s="22" t="s">
        <v>21</v>
      </c>
      <c r="B124" s="20">
        <v>121</v>
      </c>
      <c r="C124" s="57">
        <f>IF(COUNTBLANK(H123)=1,(C123*Config.!$D$12)+C123,(H123*Config.!$D$12)+H123)</f>
        <v>10.98046629488579</v>
      </c>
      <c r="D124" s="57">
        <f t="shared" si="7"/>
        <v>0.21530326068403483</v>
      </c>
      <c r="E124" s="67"/>
      <c r="F124" s="68" t="str">
        <f t="shared" si="5"/>
        <v>-</v>
      </c>
      <c r="G124" s="12" t="str">
        <f>IF(COUNTBLANK(H124)=1,IF(C124&lt;=Config.!$D$10,"meta","nops"),"")</f>
        <v>nops</v>
      </c>
      <c r="H124" s="58"/>
      <c r="I124" s="59" t="str">
        <f t="shared" si="8"/>
        <v/>
      </c>
      <c r="J124" s="59" t="str">
        <f t="shared" si="6"/>
        <v/>
      </c>
      <c r="K124" s="53" t="str">
        <f t="shared" si="9"/>
        <v/>
      </c>
      <c r="R124" s="27">
        <f>IF(COUNTBLANK(T123)=1,(R123*Config.!$D$12)+R123,(T123*Config.!$D$12)+T123)</f>
        <v>10.98046629488579</v>
      </c>
      <c r="S124" s="28" t="str">
        <f>IF(COUNTBLANK(T124)=1,IF(R124&lt;=Config.!$D$10,"meta","nops"),"")</f>
        <v>nops</v>
      </c>
      <c r="T124" s="32"/>
    </row>
    <row r="125" spans="1:20" ht="20.100000000000001" customHeight="1">
      <c r="A125" s="22" t="s">
        <v>21</v>
      </c>
      <c r="B125" s="20">
        <v>122</v>
      </c>
      <c r="C125" s="57">
        <f>IF(COUNTBLANK(H124)=1,(C124*Config.!$D$12)+C124,(H124*Config.!$D$12)+H124)</f>
        <v>11.200075620783506</v>
      </c>
      <c r="D125" s="57">
        <f t="shared" si="7"/>
        <v>0.21960932589771609</v>
      </c>
      <c r="E125" s="67"/>
      <c r="F125" s="68" t="str">
        <f t="shared" si="5"/>
        <v>-</v>
      </c>
      <c r="G125" s="12" t="str">
        <f>IF(COUNTBLANK(H125)=1,IF(C125&lt;=Config.!$D$10,"meta","nops"),"")</f>
        <v>nops</v>
      </c>
      <c r="H125" s="58"/>
      <c r="I125" s="59" t="str">
        <f t="shared" si="8"/>
        <v/>
      </c>
      <c r="J125" s="59" t="str">
        <f t="shared" si="6"/>
        <v/>
      </c>
      <c r="K125" s="53" t="str">
        <f t="shared" si="9"/>
        <v/>
      </c>
      <c r="R125" s="27">
        <f>IF(COUNTBLANK(T124)=1,(R124*Config.!$D$12)+R124,(T124*Config.!$D$12)+T124)</f>
        <v>11.200075620783506</v>
      </c>
      <c r="S125" s="28" t="str">
        <f>IF(COUNTBLANK(T125)=1,IF(R125&lt;=Config.!$D$10,"meta","nops"),"")</f>
        <v>nops</v>
      </c>
      <c r="T125" s="32"/>
    </row>
    <row r="126" spans="1:20" ht="20.100000000000001" customHeight="1">
      <c r="A126" s="22" t="s">
        <v>21</v>
      </c>
      <c r="B126" s="20">
        <v>123</v>
      </c>
      <c r="C126" s="57">
        <f>IF(COUNTBLANK(H125)=1,(C125*Config.!$D$12)+C125,(H125*Config.!$D$12)+H125)</f>
        <v>11.424077133199177</v>
      </c>
      <c r="D126" s="57">
        <f t="shared" si="7"/>
        <v>0.22400151241567023</v>
      </c>
      <c r="E126" s="67"/>
      <c r="F126" s="68" t="str">
        <f t="shared" si="5"/>
        <v>-</v>
      </c>
      <c r="G126" s="12" t="str">
        <f>IF(COUNTBLANK(H126)=1,IF(C126&lt;=Config.!$D$10,"meta","nops"),"")</f>
        <v>nops</v>
      </c>
      <c r="H126" s="58"/>
      <c r="I126" s="59" t="str">
        <f t="shared" si="8"/>
        <v/>
      </c>
      <c r="J126" s="59" t="str">
        <f t="shared" si="6"/>
        <v/>
      </c>
      <c r="K126" s="53" t="str">
        <f t="shared" si="9"/>
        <v/>
      </c>
      <c r="R126" s="27">
        <f>IF(COUNTBLANK(T125)=1,(R125*Config.!$D$12)+R125,(T125*Config.!$D$12)+T125)</f>
        <v>11.424077133199177</v>
      </c>
      <c r="S126" s="28" t="str">
        <f>IF(COUNTBLANK(T126)=1,IF(R126&lt;=Config.!$D$10,"meta","nops"),"")</f>
        <v>nops</v>
      </c>
      <c r="T126" s="32"/>
    </row>
    <row r="127" spans="1:20" ht="20.100000000000001" customHeight="1">
      <c r="A127" s="22" t="s">
        <v>21</v>
      </c>
      <c r="B127" s="20">
        <v>124</v>
      </c>
      <c r="C127" s="57">
        <f>IF(COUNTBLANK(H126)=1,(C126*Config.!$D$12)+C126,(H126*Config.!$D$12)+H126)</f>
        <v>11.65255867586316</v>
      </c>
      <c r="D127" s="57">
        <f t="shared" si="7"/>
        <v>0.22848154266398346</v>
      </c>
      <c r="E127" s="67"/>
      <c r="F127" s="68" t="str">
        <f t="shared" si="5"/>
        <v>-</v>
      </c>
      <c r="G127" s="12" t="str">
        <f>IF(COUNTBLANK(H127)=1,IF(C127&lt;=Config.!$D$10,"meta","nops"),"")</f>
        <v>nops</v>
      </c>
      <c r="H127" s="58"/>
      <c r="I127" s="59" t="str">
        <f t="shared" si="8"/>
        <v/>
      </c>
      <c r="J127" s="59" t="str">
        <f t="shared" si="6"/>
        <v/>
      </c>
      <c r="K127" s="53" t="str">
        <f t="shared" si="9"/>
        <v/>
      </c>
      <c r="R127" s="27">
        <f>IF(COUNTBLANK(T126)=1,(R126*Config.!$D$12)+R126,(T126*Config.!$D$12)+T126)</f>
        <v>11.65255867586316</v>
      </c>
      <c r="S127" s="28" t="str">
        <f>IF(COUNTBLANK(T127)=1,IF(R127&lt;=Config.!$D$10,"meta","nops"),"")</f>
        <v>nops</v>
      </c>
      <c r="T127" s="32"/>
    </row>
    <row r="128" spans="1:20" ht="20.100000000000001" customHeight="1">
      <c r="A128" s="22" t="s">
        <v>21</v>
      </c>
      <c r="B128" s="20">
        <v>125</v>
      </c>
      <c r="C128" s="57">
        <f>IF(COUNTBLANK(H127)=1,(C127*Config.!$D$12)+C127,(H127*Config.!$D$12)+H127)</f>
        <v>11.885609849380423</v>
      </c>
      <c r="D128" s="57">
        <f t="shared" si="7"/>
        <v>0.23305117351726246</v>
      </c>
      <c r="E128" s="67"/>
      <c r="F128" s="68" t="str">
        <f t="shared" si="5"/>
        <v>-</v>
      </c>
      <c r="G128" s="12" t="str">
        <f>IF(COUNTBLANK(H128)=1,IF(C128&lt;=Config.!$D$10,"meta","nops"),"")</f>
        <v>nops</v>
      </c>
      <c r="H128" s="58"/>
      <c r="I128" s="59" t="str">
        <f t="shared" si="8"/>
        <v/>
      </c>
      <c r="J128" s="59" t="str">
        <f t="shared" si="6"/>
        <v/>
      </c>
      <c r="K128" s="53" t="str">
        <f t="shared" si="9"/>
        <v/>
      </c>
      <c r="R128" s="27">
        <f>IF(COUNTBLANK(T127)=1,(R127*Config.!$D$12)+R127,(T127*Config.!$D$12)+T127)</f>
        <v>11.885609849380423</v>
      </c>
      <c r="S128" s="28" t="str">
        <f>IF(COUNTBLANK(T128)=1,IF(R128&lt;=Config.!$D$10,"meta","nops"),"")</f>
        <v>nops</v>
      </c>
      <c r="T128" s="32"/>
    </row>
    <row r="129" spans="1:20" ht="20.100000000000001" customHeight="1">
      <c r="A129" s="22" t="s">
        <v>21</v>
      </c>
      <c r="B129" s="20">
        <v>126</v>
      </c>
      <c r="C129" s="57">
        <f>IF(COUNTBLANK(H128)=1,(C128*Config.!$D$12)+C128,(H128*Config.!$D$12)+H128)</f>
        <v>12.123322046368031</v>
      </c>
      <c r="D129" s="57">
        <f t="shared" si="7"/>
        <v>0.23771219698760859</v>
      </c>
      <c r="E129" s="67"/>
      <c r="F129" s="68" t="str">
        <f t="shared" si="5"/>
        <v>-</v>
      </c>
      <c r="G129" s="12" t="str">
        <f>IF(COUNTBLANK(H129)=1,IF(C129&lt;=Config.!$D$10,"meta","nops"),"")</f>
        <v>nops</v>
      </c>
      <c r="H129" s="58"/>
      <c r="I129" s="59" t="str">
        <f t="shared" si="8"/>
        <v/>
      </c>
      <c r="J129" s="59" t="str">
        <f t="shared" si="6"/>
        <v/>
      </c>
      <c r="K129" s="53" t="str">
        <f t="shared" si="9"/>
        <v/>
      </c>
      <c r="R129" s="27">
        <f>IF(COUNTBLANK(T128)=1,(R128*Config.!$D$12)+R128,(T128*Config.!$D$12)+T128)</f>
        <v>12.123322046368031</v>
      </c>
      <c r="S129" s="28" t="str">
        <f>IF(COUNTBLANK(T129)=1,IF(R129&lt;=Config.!$D$10,"meta","nops"),"")</f>
        <v>nops</v>
      </c>
      <c r="T129" s="32"/>
    </row>
    <row r="130" spans="1:20" ht="20.100000000000001" customHeight="1">
      <c r="A130" s="22" t="s">
        <v>21</v>
      </c>
      <c r="B130" s="20">
        <v>127</v>
      </c>
      <c r="C130" s="57">
        <f>IF(COUNTBLANK(H129)=1,(C129*Config.!$D$12)+C129,(H129*Config.!$D$12)+H129)</f>
        <v>12.365788487295392</v>
      </c>
      <c r="D130" s="57">
        <f t="shared" si="7"/>
        <v>0.24246644092736069</v>
      </c>
      <c r="E130" s="67"/>
      <c r="F130" s="68" t="str">
        <f t="shared" si="5"/>
        <v>-</v>
      </c>
      <c r="G130" s="12" t="str">
        <f>IF(COUNTBLANK(H130)=1,IF(C130&lt;=Config.!$D$10,"meta","nops"),"")</f>
        <v>nops</v>
      </c>
      <c r="H130" s="58"/>
      <c r="I130" s="59" t="str">
        <f t="shared" si="8"/>
        <v/>
      </c>
      <c r="J130" s="59" t="str">
        <f t="shared" si="6"/>
        <v/>
      </c>
      <c r="K130" s="53" t="str">
        <f t="shared" si="9"/>
        <v/>
      </c>
      <c r="R130" s="27">
        <f>IF(COUNTBLANK(T129)=1,(R129*Config.!$D$12)+R129,(T129*Config.!$D$12)+T129)</f>
        <v>12.365788487295392</v>
      </c>
      <c r="S130" s="28" t="str">
        <f>IF(COUNTBLANK(T130)=1,IF(R130&lt;=Config.!$D$10,"meta","nops"),"")</f>
        <v>nops</v>
      </c>
      <c r="T130" s="32"/>
    </row>
    <row r="131" spans="1:20" ht="20.100000000000001" customHeight="1">
      <c r="A131" s="22" t="s">
        <v>21</v>
      </c>
      <c r="B131" s="20">
        <v>128</v>
      </c>
      <c r="C131" s="57">
        <f>IF(COUNTBLANK(H130)=1,(C130*Config.!$D$12)+C130,(H130*Config.!$D$12)+H130)</f>
        <v>12.6131042570413</v>
      </c>
      <c r="D131" s="57">
        <f t="shared" si="7"/>
        <v>0.2473157697459083</v>
      </c>
      <c r="E131" s="67"/>
      <c r="F131" s="68" t="str">
        <f t="shared" si="5"/>
        <v>-</v>
      </c>
      <c r="G131" s="12" t="str">
        <f>IF(COUNTBLANK(H131)=1,IF(C131&lt;=Config.!$D$10,"meta","nops"),"")</f>
        <v>nops</v>
      </c>
      <c r="H131" s="58"/>
      <c r="I131" s="59" t="str">
        <f t="shared" si="8"/>
        <v/>
      </c>
      <c r="J131" s="59" t="str">
        <f t="shared" si="6"/>
        <v/>
      </c>
      <c r="K131" s="53" t="str">
        <f t="shared" si="9"/>
        <v/>
      </c>
      <c r="R131" s="27">
        <f>IF(COUNTBLANK(T130)=1,(R130*Config.!$D$12)+R130,(T130*Config.!$D$12)+T130)</f>
        <v>12.6131042570413</v>
      </c>
      <c r="S131" s="28" t="str">
        <f>IF(COUNTBLANK(T131)=1,IF(R131&lt;=Config.!$D$10,"meta","nops"),"")</f>
        <v>nops</v>
      </c>
      <c r="T131" s="32"/>
    </row>
    <row r="132" spans="1:20" ht="20.100000000000001" customHeight="1">
      <c r="A132" s="22" t="s">
        <v>21</v>
      </c>
      <c r="B132" s="20">
        <v>129</v>
      </c>
      <c r="C132" s="57">
        <f>IF(COUNTBLANK(H131)=1,(C131*Config.!$D$12)+C131,(H131*Config.!$D$12)+H131)</f>
        <v>12.865366342182126</v>
      </c>
      <c r="D132" s="57">
        <f t="shared" si="7"/>
        <v>0.25226208514082593</v>
      </c>
      <c r="E132" s="67"/>
      <c r="F132" s="68" t="str">
        <f t="shared" si="5"/>
        <v>-</v>
      </c>
      <c r="G132" s="12" t="str">
        <f>IF(COUNTBLANK(H132)=1,IF(C132&lt;=Config.!$D$10,"meta","nops"),"")</f>
        <v>nops</v>
      </c>
      <c r="H132" s="58"/>
      <c r="I132" s="59" t="str">
        <f t="shared" si="8"/>
        <v/>
      </c>
      <c r="J132" s="59" t="str">
        <f t="shared" si="6"/>
        <v/>
      </c>
      <c r="K132" s="53" t="str">
        <f t="shared" si="9"/>
        <v/>
      </c>
      <c r="R132" s="27">
        <f>IF(COUNTBLANK(T131)=1,(R131*Config.!$D$12)+R131,(T131*Config.!$D$12)+T131)</f>
        <v>12.865366342182126</v>
      </c>
      <c r="S132" s="28" t="str">
        <f>IF(COUNTBLANK(T132)=1,IF(R132&lt;=Config.!$D$10,"meta","nops"),"")</f>
        <v>nops</v>
      </c>
      <c r="T132" s="32"/>
    </row>
    <row r="133" spans="1:20" ht="20.100000000000001" customHeight="1">
      <c r="A133" s="22" t="s">
        <v>21</v>
      </c>
      <c r="B133" s="20">
        <v>130</v>
      </c>
      <c r="C133" s="57">
        <f>IF(COUNTBLANK(H132)=1,(C132*Config.!$D$12)+C132,(H132*Config.!$D$12)+H132)</f>
        <v>13.122673669025769</v>
      </c>
      <c r="D133" s="57">
        <f t="shared" si="7"/>
        <v>0.25730732684364277</v>
      </c>
      <c r="E133" s="67"/>
      <c r="F133" s="68" t="str">
        <f t="shared" ref="F133:F196" si="10">IF(COUNTBLANK(E133)=0,(D133/E133)/$E$3,"-")</f>
        <v>-</v>
      </c>
      <c r="G133" s="12" t="str">
        <f>IF(COUNTBLANK(H133)=1,IF(C133&lt;=Config.!$D$10,"meta","nops"),"")</f>
        <v>nops</v>
      </c>
      <c r="H133" s="58"/>
      <c r="I133" s="59" t="str">
        <f t="shared" si="8"/>
        <v/>
      </c>
      <c r="J133" s="59" t="str">
        <f t="shared" ref="J133:J196" si="11">IF(I133="","",I133-D133)</f>
        <v/>
      </c>
      <c r="K133" s="53" t="str">
        <f t="shared" si="9"/>
        <v/>
      </c>
      <c r="R133" s="27">
        <f>IF(COUNTBLANK(T132)=1,(R132*Config.!$D$12)+R132,(T132*Config.!$D$12)+T132)</f>
        <v>13.122673669025769</v>
      </c>
      <c r="S133" s="28" t="str">
        <f>IF(COUNTBLANK(T133)=1,IF(R133&lt;=Config.!$D$10,"meta","nops"),"")</f>
        <v>nops</v>
      </c>
      <c r="T133" s="32"/>
    </row>
    <row r="134" spans="1:20" ht="20.100000000000001" customHeight="1">
      <c r="A134" s="22" t="s">
        <v>21</v>
      </c>
      <c r="B134" s="20">
        <v>131</v>
      </c>
      <c r="C134" s="57">
        <f>IF(COUNTBLANK(H133)=1,(C133*Config.!$D$12)+C133,(H133*Config.!$D$12)+H133)</f>
        <v>13.385127142406285</v>
      </c>
      <c r="D134" s="57">
        <f t="shared" ref="D134:D197" si="12">IF(COUNTBLANK(H133)=1,C134-C133,C134-H133)</f>
        <v>0.26245347338051594</v>
      </c>
      <c r="E134" s="67"/>
      <c r="F134" s="68" t="str">
        <f t="shared" si="10"/>
        <v>-</v>
      </c>
      <c r="G134" s="12" t="str">
        <f>IF(COUNTBLANK(H134)=1,IF(C134&lt;=Config.!$D$10,"meta","nops"),"")</f>
        <v>nops</v>
      </c>
      <c r="H134" s="58"/>
      <c r="I134" s="59" t="str">
        <f t="shared" ref="I134:I197" si="13">IF(COUNTBLANK(H134)=1,"",H134-H133)</f>
        <v/>
      </c>
      <c r="J134" s="59" t="str">
        <f t="shared" si="11"/>
        <v/>
      </c>
      <c r="K134" s="53" t="str">
        <f t="shared" ref="K134:K197" si="14">IF(COUNTBLANK(H134)=1,"",(H134-H133)/H133)</f>
        <v/>
      </c>
      <c r="R134" s="27">
        <f>IF(COUNTBLANK(T133)=1,(R133*Config.!$D$12)+R133,(T133*Config.!$D$12)+T133)</f>
        <v>13.385127142406285</v>
      </c>
      <c r="S134" s="28" t="str">
        <f>IF(COUNTBLANK(T134)=1,IF(R134&lt;=Config.!$D$10,"meta","nops"),"")</f>
        <v>nops</v>
      </c>
      <c r="T134" s="32"/>
    </row>
    <row r="135" spans="1:20" ht="20.100000000000001" customHeight="1">
      <c r="A135" s="22" t="s">
        <v>21</v>
      </c>
      <c r="B135" s="20">
        <v>132</v>
      </c>
      <c r="C135" s="57">
        <f>IF(COUNTBLANK(H134)=1,(C134*Config.!$D$12)+C134,(H134*Config.!$D$12)+H134)</f>
        <v>13.65282968525441</v>
      </c>
      <c r="D135" s="57">
        <f t="shared" si="12"/>
        <v>0.26770254284812545</v>
      </c>
      <c r="E135" s="67"/>
      <c r="F135" s="68" t="str">
        <f t="shared" si="10"/>
        <v>-</v>
      </c>
      <c r="G135" s="12" t="str">
        <f>IF(COUNTBLANK(H135)=1,IF(C135&lt;=Config.!$D$10,"meta","nops"),"")</f>
        <v>nops</v>
      </c>
      <c r="H135" s="58"/>
      <c r="I135" s="59" t="str">
        <f t="shared" si="13"/>
        <v/>
      </c>
      <c r="J135" s="59" t="str">
        <f t="shared" si="11"/>
        <v/>
      </c>
      <c r="K135" s="53" t="str">
        <f t="shared" si="14"/>
        <v/>
      </c>
      <c r="R135" s="27">
        <f>IF(COUNTBLANK(T134)=1,(R134*Config.!$D$12)+R134,(T134*Config.!$D$12)+T134)</f>
        <v>13.65282968525441</v>
      </c>
      <c r="S135" s="28" t="str">
        <f>IF(COUNTBLANK(T135)=1,IF(R135&lt;=Config.!$D$10,"meta","nops"),"")</f>
        <v>nops</v>
      </c>
      <c r="T135" s="32"/>
    </row>
    <row r="136" spans="1:20" ht="20.100000000000001" customHeight="1">
      <c r="A136" s="22" t="s">
        <v>21</v>
      </c>
      <c r="B136" s="20">
        <v>133</v>
      </c>
      <c r="C136" s="57">
        <f>IF(COUNTBLANK(H135)=1,(C135*Config.!$D$12)+C135,(H135*Config.!$D$12)+H135)</f>
        <v>13.925886278959499</v>
      </c>
      <c r="D136" s="57">
        <f t="shared" si="12"/>
        <v>0.27305659370508906</v>
      </c>
      <c r="E136" s="67"/>
      <c r="F136" s="68" t="str">
        <f t="shared" si="10"/>
        <v>-</v>
      </c>
      <c r="G136" s="12" t="str">
        <f>IF(COUNTBLANK(H136)=1,IF(C136&lt;=Config.!$D$10,"meta","nops"),"")</f>
        <v>nops</v>
      </c>
      <c r="H136" s="58"/>
      <c r="I136" s="59" t="str">
        <f t="shared" si="13"/>
        <v/>
      </c>
      <c r="J136" s="59" t="str">
        <f t="shared" si="11"/>
        <v/>
      </c>
      <c r="K136" s="53" t="str">
        <f t="shared" si="14"/>
        <v/>
      </c>
      <c r="R136" s="27">
        <f>IF(COUNTBLANK(T135)=1,(R135*Config.!$D$12)+R135,(T135*Config.!$D$12)+T135)</f>
        <v>13.925886278959499</v>
      </c>
      <c r="S136" s="28" t="str">
        <f>IF(COUNTBLANK(T136)=1,IF(R136&lt;=Config.!$D$10,"meta","nops"),"")</f>
        <v>nops</v>
      </c>
      <c r="T136" s="32"/>
    </row>
    <row r="137" spans="1:20" ht="20.100000000000001" customHeight="1">
      <c r="A137" s="22" t="s">
        <v>21</v>
      </c>
      <c r="B137" s="20">
        <v>134</v>
      </c>
      <c r="C137" s="57">
        <f>IF(COUNTBLANK(H136)=1,(C136*Config.!$D$12)+C136,(H136*Config.!$D$12)+H136)</f>
        <v>14.20440400453869</v>
      </c>
      <c r="D137" s="57">
        <f t="shared" si="12"/>
        <v>0.27851772557919041</v>
      </c>
      <c r="E137" s="67"/>
      <c r="F137" s="68" t="str">
        <f t="shared" si="10"/>
        <v>-</v>
      </c>
      <c r="G137" s="12" t="str">
        <f>IF(COUNTBLANK(H137)=1,IF(C137&lt;=Config.!$D$10,"meta","nops"),"")</f>
        <v>nops</v>
      </c>
      <c r="H137" s="58"/>
      <c r="I137" s="59" t="str">
        <f t="shared" si="13"/>
        <v/>
      </c>
      <c r="J137" s="59" t="str">
        <f t="shared" si="11"/>
        <v/>
      </c>
      <c r="K137" s="53" t="str">
        <f t="shared" si="14"/>
        <v/>
      </c>
      <c r="R137" s="27">
        <f>IF(COUNTBLANK(T136)=1,(R136*Config.!$D$12)+R136,(T136*Config.!$D$12)+T136)</f>
        <v>14.20440400453869</v>
      </c>
      <c r="S137" s="28" t="str">
        <f>IF(COUNTBLANK(T137)=1,IF(R137&lt;=Config.!$D$10,"meta","nops"),"")</f>
        <v>nops</v>
      </c>
      <c r="T137" s="32"/>
    </row>
    <row r="138" spans="1:20" ht="20.100000000000001" customHeight="1">
      <c r="A138" s="22" t="s">
        <v>21</v>
      </c>
      <c r="B138" s="20">
        <v>135</v>
      </c>
      <c r="C138" s="57">
        <f>IF(COUNTBLANK(H137)=1,(C137*Config.!$D$12)+C137,(H137*Config.!$D$12)+H137)</f>
        <v>14.488492084629463</v>
      </c>
      <c r="D138" s="57">
        <f t="shared" si="12"/>
        <v>0.28408808009077369</v>
      </c>
      <c r="E138" s="67"/>
      <c r="F138" s="68" t="str">
        <f t="shared" si="10"/>
        <v>-</v>
      </c>
      <c r="G138" s="12" t="str">
        <f>IF(COUNTBLANK(H138)=1,IF(C138&lt;=Config.!$D$10,"meta","nops"),"")</f>
        <v>nops</v>
      </c>
      <c r="H138" s="58"/>
      <c r="I138" s="59" t="str">
        <f t="shared" si="13"/>
        <v/>
      </c>
      <c r="J138" s="59" t="str">
        <f t="shared" si="11"/>
        <v/>
      </c>
      <c r="K138" s="53" t="str">
        <f t="shared" si="14"/>
        <v/>
      </c>
      <c r="R138" s="27">
        <f>IF(COUNTBLANK(T137)=1,(R137*Config.!$D$12)+R137,(T137*Config.!$D$12)+T137)</f>
        <v>14.488492084629463</v>
      </c>
      <c r="S138" s="28" t="str">
        <f>IF(COUNTBLANK(T138)=1,IF(R138&lt;=Config.!$D$10,"meta","nops"),"")</f>
        <v>nops</v>
      </c>
      <c r="T138" s="32"/>
    </row>
    <row r="139" spans="1:20" ht="20.100000000000001" customHeight="1">
      <c r="A139" s="22" t="s">
        <v>21</v>
      </c>
      <c r="B139" s="20">
        <v>136</v>
      </c>
      <c r="C139" s="57">
        <f>IF(COUNTBLANK(H138)=1,(C138*Config.!$D$12)+C138,(H138*Config.!$D$12)+H138)</f>
        <v>14.778261926322052</v>
      </c>
      <c r="D139" s="57">
        <f t="shared" si="12"/>
        <v>0.28976984169258913</v>
      </c>
      <c r="E139" s="67"/>
      <c r="F139" s="68" t="str">
        <f t="shared" si="10"/>
        <v>-</v>
      </c>
      <c r="G139" s="12" t="str">
        <f>IF(COUNTBLANK(H139)=1,IF(C139&lt;=Config.!$D$10,"meta","nops"),"")</f>
        <v>nops</v>
      </c>
      <c r="H139" s="58"/>
      <c r="I139" s="59" t="str">
        <f t="shared" si="13"/>
        <v/>
      </c>
      <c r="J139" s="59" t="str">
        <f t="shared" si="11"/>
        <v/>
      </c>
      <c r="K139" s="53" t="str">
        <f t="shared" si="14"/>
        <v/>
      </c>
      <c r="R139" s="27">
        <f>IF(COUNTBLANK(T138)=1,(R138*Config.!$D$12)+R138,(T138*Config.!$D$12)+T138)</f>
        <v>14.778261926322052</v>
      </c>
      <c r="S139" s="28" t="str">
        <f>IF(COUNTBLANK(T139)=1,IF(R139&lt;=Config.!$D$10,"meta","nops"),"")</f>
        <v>nops</v>
      </c>
      <c r="T139" s="32"/>
    </row>
    <row r="140" spans="1:20" ht="20.100000000000001" customHeight="1">
      <c r="A140" s="22" t="s">
        <v>21</v>
      </c>
      <c r="B140" s="20">
        <v>137</v>
      </c>
      <c r="C140" s="57">
        <f>IF(COUNTBLANK(H139)=1,(C139*Config.!$D$12)+C139,(H139*Config.!$D$12)+H139)</f>
        <v>15.073827164848494</v>
      </c>
      <c r="D140" s="57">
        <f t="shared" si="12"/>
        <v>0.29556523852644112</v>
      </c>
      <c r="E140" s="67"/>
      <c r="F140" s="68" t="str">
        <f t="shared" si="10"/>
        <v>-</v>
      </c>
      <c r="G140" s="12" t="str">
        <f>IF(COUNTBLANK(H140)=1,IF(C140&lt;=Config.!$D$10,"meta","nops"),"")</f>
        <v>nops</v>
      </c>
      <c r="H140" s="58"/>
      <c r="I140" s="59" t="str">
        <f t="shared" si="13"/>
        <v/>
      </c>
      <c r="J140" s="59" t="str">
        <f t="shared" si="11"/>
        <v/>
      </c>
      <c r="K140" s="53" t="str">
        <f t="shared" si="14"/>
        <v/>
      </c>
      <c r="R140" s="27">
        <f>IF(COUNTBLANK(T139)=1,(R139*Config.!$D$12)+R139,(T139*Config.!$D$12)+T139)</f>
        <v>15.073827164848494</v>
      </c>
      <c r="S140" s="28" t="str">
        <f>IF(COUNTBLANK(T140)=1,IF(R140&lt;=Config.!$D$10,"meta","nops"),"")</f>
        <v>nops</v>
      </c>
      <c r="T140" s="32"/>
    </row>
    <row r="141" spans="1:20" ht="20.100000000000001" customHeight="1">
      <c r="A141" s="22" t="s">
        <v>21</v>
      </c>
      <c r="B141" s="20">
        <v>138</v>
      </c>
      <c r="C141" s="57">
        <f>IF(COUNTBLANK(H140)=1,(C140*Config.!$D$12)+C140,(H140*Config.!$D$12)+H140)</f>
        <v>15.375303708145463</v>
      </c>
      <c r="D141" s="57">
        <f t="shared" si="12"/>
        <v>0.30147654329696927</v>
      </c>
      <c r="E141" s="67"/>
      <c r="F141" s="68" t="str">
        <f t="shared" si="10"/>
        <v>-</v>
      </c>
      <c r="G141" s="12" t="str">
        <f>IF(COUNTBLANK(H141)=1,IF(C141&lt;=Config.!$D$10,"meta","nops"),"")</f>
        <v>nops</v>
      </c>
      <c r="H141" s="58"/>
      <c r="I141" s="59" t="str">
        <f t="shared" si="13"/>
        <v/>
      </c>
      <c r="J141" s="59" t="str">
        <f t="shared" si="11"/>
        <v/>
      </c>
      <c r="K141" s="53" t="str">
        <f t="shared" si="14"/>
        <v/>
      </c>
      <c r="R141" s="27">
        <f>IF(COUNTBLANK(T140)=1,(R140*Config.!$D$12)+R140,(T140*Config.!$D$12)+T140)</f>
        <v>15.375303708145463</v>
      </c>
      <c r="S141" s="28" t="str">
        <f>IF(COUNTBLANK(T141)=1,IF(R141&lt;=Config.!$D$10,"meta","nops"),"")</f>
        <v>nops</v>
      </c>
      <c r="T141" s="32"/>
    </row>
    <row r="142" spans="1:20" ht="20.100000000000001" customHeight="1">
      <c r="A142" s="22" t="s">
        <v>21</v>
      </c>
      <c r="B142" s="20">
        <v>139</v>
      </c>
      <c r="C142" s="57">
        <f>IF(COUNTBLANK(H141)=1,(C141*Config.!$D$12)+C141,(H141*Config.!$D$12)+H141)</f>
        <v>15.682809782308372</v>
      </c>
      <c r="D142" s="57">
        <f t="shared" si="12"/>
        <v>0.30750607416290876</v>
      </c>
      <c r="E142" s="67"/>
      <c r="F142" s="68" t="str">
        <f t="shared" si="10"/>
        <v>-</v>
      </c>
      <c r="G142" s="12" t="str">
        <f>IF(COUNTBLANK(H142)=1,IF(C142&lt;=Config.!$D$10,"meta","nops"),"")</f>
        <v>nops</v>
      </c>
      <c r="H142" s="58"/>
      <c r="I142" s="59" t="str">
        <f t="shared" si="13"/>
        <v/>
      </c>
      <c r="J142" s="59" t="str">
        <f t="shared" si="11"/>
        <v/>
      </c>
      <c r="K142" s="53" t="str">
        <f t="shared" si="14"/>
        <v/>
      </c>
      <c r="R142" s="27">
        <f>IF(COUNTBLANK(T141)=1,(R141*Config.!$D$12)+R141,(T141*Config.!$D$12)+T141)</f>
        <v>15.682809782308372</v>
      </c>
      <c r="S142" s="28" t="str">
        <f>IF(COUNTBLANK(T142)=1,IF(R142&lt;=Config.!$D$10,"meta","nops"),"")</f>
        <v>nops</v>
      </c>
      <c r="T142" s="32"/>
    </row>
    <row r="143" spans="1:20" ht="20.100000000000001" customHeight="1">
      <c r="A143" s="22" t="s">
        <v>21</v>
      </c>
      <c r="B143" s="20">
        <v>140</v>
      </c>
      <c r="C143" s="57">
        <f>IF(COUNTBLANK(H142)=1,(C142*Config.!$D$12)+C142,(H142*Config.!$D$12)+H142)</f>
        <v>15.996465977954539</v>
      </c>
      <c r="D143" s="57">
        <f t="shared" si="12"/>
        <v>0.31365619564616765</v>
      </c>
      <c r="E143" s="67"/>
      <c r="F143" s="68" t="str">
        <f t="shared" si="10"/>
        <v>-</v>
      </c>
      <c r="G143" s="12" t="str">
        <f>IF(COUNTBLANK(H143)=1,IF(C143&lt;=Config.!$D$10,"meta","nops"),"")</f>
        <v>nops</v>
      </c>
      <c r="H143" s="58"/>
      <c r="I143" s="59" t="str">
        <f t="shared" si="13"/>
        <v/>
      </c>
      <c r="J143" s="59" t="str">
        <f t="shared" si="11"/>
        <v/>
      </c>
      <c r="K143" s="53" t="str">
        <f t="shared" si="14"/>
        <v/>
      </c>
      <c r="R143" s="27">
        <f>IF(COUNTBLANK(T142)=1,(R142*Config.!$D$12)+R142,(T142*Config.!$D$12)+T142)</f>
        <v>15.996465977954539</v>
      </c>
      <c r="S143" s="28" t="str">
        <f>IF(COUNTBLANK(T143)=1,IF(R143&lt;=Config.!$D$10,"meta","nops"),"")</f>
        <v>nops</v>
      </c>
      <c r="T143" s="32"/>
    </row>
    <row r="144" spans="1:20" ht="20.100000000000001" customHeight="1">
      <c r="A144" s="22" t="s">
        <v>21</v>
      </c>
      <c r="B144" s="20">
        <v>141</v>
      </c>
      <c r="C144" s="57">
        <f>IF(COUNTBLANK(H143)=1,(C143*Config.!$D$12)+C143,(H143*Config.!$D$12)+H143)</f>
        <v>16.31639529751363</v>
      </c>
      <c r="D144" s="57">
        <f t="shared" si="12"/>
        <v>0.31992931955909043</v>
      </c>
      <c r="E144" s="67"/>
      <c r="F144" s="68" t="str">
        <f t="shared" si="10"/>
        <v>-</v>
      </c>
      <c r="G144" s="12" t="str">
        <f>IF(COUNTBLANK(H144)=1,IF(C144&lt;=Config.!$D$10,"meta","nops"),"")</f>
        <v>nops</v>
      </c>
      <c r="H144" s="58"/>
      <c r="I144" s="59" t="str">
        <f t="shared" si="13"/>
        <v/>
      </c>
      <c r="J144" s="59" t="str">
        <f t="shared" si="11"/>
        <v/>
      </c>
      <c r="K144" s="53" t="str">
        <f t="shared" si="14"/>
        <v/>
      </c>
      <c r="R144" s="27">
        <f>IF(COUNTBLANK(T143)=1,(R143*Config.!$D$12)+R143,(T143*Config.!$D$12)+T143)</f>
        <v>16.31639529751363</v>
      </c>
      <c r="S144" s="28" t="str">
        <f>IF(COUNTBLANK(T144)=1,IF(R144&lt;=Config.!$D$10,"meta","nops"),"")</f>
        <v>nops</v>
      </c>
      <c r="T144" s="32"/>
    </row>
    <row r="145" spans="1:20" ht="20.100000000000001" customHeight="1">
      <c r="A145" s="22" t="s">
        <v>21</v>
      </c>
      <c r="B145" s="20">
        <v>142</v>
      </c>
      <c r="C145" s="57">
        <f>IF(COUNTBLANK(H144)=1,(C144*Config.!$D$12)+C144,(H144*Config.!$D$12)+H144)</f>
        <v>16.642723203463902</v>
      </c>
      <c r="D145" s="57">
        <f t="shared" si="12"/>
        <v>0.32632790595027217</v>
      </c>
      <c r="E145" s="67"/>
      <c r="F145" s="68" t="str">
        <f t="shared" si="10"/>
        <v>-</v>
      </c>
      <c r="G145" s="12" t="str">
        <f>IF(COUNTBLANK(H145)=1,IF(C145&lt;=Config.!$D$10,"meta","nops"),"")</f>
        <v>nops</v>
      </c>
      <c r="H145" s="58"/>
      <c r="I145" s="59" t="str">
        <f t="shared" si="13"/>
        <v/>
      </c>
      <c r="J145" s="59" t="str">
        <f t="shared" si="11"/>
        <v/>
      </c>
      <c r="K145" s="53" t="str">
        <f t="shared" si="14"/>
        <v/>
      </c>
      <c r="R145" s="27">
        <f>IF(COUNTBLANK(T144)=1,(R144*Config.!$D$12)+R144,(T144*Config.!$D$12)+T144)</f>
        <v>16.642723203463902</v>
      </c>
      <c r="S145" s="28" t="str">
        <f>IF(COUNTBLANK(T145)=1,IF(R145&lt;=Config.!$D$10,"meta","nops"),"")</f>
        <v>nops</v>
      </c>
      <c r="T145" s="32"/>
    </row>
    <row r="146" spans="1:20" ht="20.100000000000001" customHeight="1">
      <c r="A146" s="22" t="s">
        <v>21</v>
      </c>
      <c r="B146" s="20">
        <v>143</v>
      </c>
      <c r="C146" s="57">
        <f>IF(COUNTBLANK(H145)=1,(C145*Config.!$D$12)+C145,(H145*Config.!$D$12)+H145)</f>
        <v>16.97557766753318</v>
      </c>
      <c r="D146" s="57">
        <f t="shared" si="12"/>
        <v>0.33285446406927832</v>
      </c>
      <c r="E146" s="67"/>
      <c r="F146" s="68" t="str">
        <f t="shared" si="10"/>
        <v>-</v>
      </c>
      <c r="G146" s="12" t="str">
        <f>IF(COUNTBLANK(H146)=1,IF(C146&lt;=Config.!$D$10,"meta","nops"),"")</f>
        <v>nops</v>
      </c>
      <c r="H146" s="58"/>
      <c r="I146" s="59" t="str">
        <f t="shared" si="13"/>
        <v/>
      </c>
      <c r="J146" s="59" t="str">
        <f t="shared" si="11"/>
        <v/>
      </c>
      <c r="K146" s="53" t="str">
        <f t="shared" si="14"/>
        <v/>
      </c>
      <c r="R146" s="27">
        <f>IF(COUNTBLANK(T145)=1,(R145*Config.!$D$12)+R145,(T145*Config.!$D$12)+T145)</f>
        <v>16.97557766753318</v>
      </c>
      <c r="S146" s="28" t="str">
        <f>IF(COUNTBLANK(T146)=1,IF(R146&lt;=Config.!$D$10,"meta","nops"),"")</f>
        <v>nops</v>
      </c>
      <c r="T146" s="32"/>
    </row>
    <row r="147" spans="1:20" ht="20.100000000000001" customHeight="1">
      <c r="A147" s="22" t="s">
        <v>21</v>
      </c>
      <c r="B147" s="20">
        <v>144</v>
      </c>
      <c r="C147" s="57">
        <f>IF(COUNTBLANK(H146)=1,(C146*Config.!$D$12)+C146,(H146*Config.!$D$12)+H146)</f>
        <v>17.315089220883845</v>
      </c>
      <c r="D147" s="57">
        <f t="shared" si="12"/>
        <v>0.33951155335066474</v>
      </c>
      <c r="E147" s="67"/>
      <c r="F147" s="68" t="str">
        <f t="shared" si="10"/>
        <v>-</v>
      </c>
      <c r="G147" s="12" t="str">
        <f>IF(COUNTBLANK(H147)=1,IF(C147&lt;=Config.!$D$10,"meta","nops"),"")</f>
        <v>nops</v>
      </c>
      <c r="H147" s="58"/>
      <c r="I147" s="59" t="str">
        <f t="shared" si="13"/>
        <v/>
      </c>
      <c r="J147" s="59" t="str">
        <f t="shared" si="11"/>
        <v/>
      </c>
      <c r="K147" s="53" t="str">
        <f t="shared" si="14"/>
        <v/>
      </c>
      <c r="R147" s="27">
        <f>IF(COUNTBLANK(T146)=1,(R146*Config.!$D$12)+R146,(T146*Config.!$D$12)+T146)</f>
        <v>17.315089220883845</v>
      </c>
      <c r="S147" s="28" t="str">
        <f>IF(COUNTBLANK(T147)=1,IF(R147&lt;=Config.!$D$10,"meta","nops"),"")</f>
        <v>nops</v>
      </c>
      <c r="T147" s="32"/>
    </row>
    <row r="148" spans="1:20" ht="20.100000000000001" customHeight="1">
      <c r="A148" s="22" t="s">
        <v>21</v>
      </c>
      <c r="B148" s="20">
        <v>145</v>
      </c>
      <c r="C148" s="57">
        <f>IF(COUNTBLANK(H147)=1,(C147*Config.!$D$12)+C147,(H147*Config.!$D$12)+H147)</f>
        <v>17.661391005301521</v>
      </c>
      <c r="D148" s="57">
        <f t="shared" si="12"/>
        <v>0.34630178441767612</v>
      </c>
      <c r="E148" s="67"/>
      <c r="F148" s="68" t="str">
        <f t="shared" si="10"/>
        <v>-</v>
      </c>
      <c r="G148" s="12" t="str">
        <f>IF(COUNTBLANK(H148)=1,IF(C148&lt;=Config.!$D$10,"meta","nops"),"")</f>
        <v>nops</v>
      </c>
      <c r="H148" s="58"/>
      <c r="I148" s="59" t="str">
        <f t="shared" si="13"/>
        <v/>
      </c>
      <c r="J148" s="59" t="str">
        <f t="shared" si="11"/>
        <v/>
      </c>
      <c r="K148" s="53" t="str">
        <f t="shared" si="14"/>
        <v/>
      </c>
      <c r="R148" s="27">
        <f>IF(COUNTBLANK(T147)=1,(R147*Config.!$D$12)+R147,(T147*Config.!$D$12)+T147)</f>
        <v>17.661391005301521</v>
      </c>
      <c r="S148" s="28" t="str">
        <f>IF(COUNTBLANK(T148)=1,IF(R148&lt;=Config.!$D$10,"meta","nops"),"")</f>
        <v>nops</v>
      </c>
      <c r="T148" s="32"/>
    </row>
    <row r="149" spans="1:20" ht="20.100000000000001" customHeight="1">
      <c r="A149" s="22" t="s">
        <v>21</v>
      </c>
      <c r="B149" s="20">
        <v>146</v>
      </c>
      <c r="C149" s="57">
        <f>IF(COUNTBLANK(H148)=1,(C148*Config.!$D$12)+C148,(H148*Config.!$D$12)+H148)</f>
        <v>18.014618825407553</v>
      </c>
      <c r="D149" s="57">
        <f t="shared" si="12"/>
        <v>0.35322782010603149</v>
      </c>
      <c r="E149" s="67"/>
      <c r="F149" s="68" t="str">
        <f t="shared" si="10"/>
        <v>-</v>
      </c>
      <c r="G149" s="12" t="str">
        <f>IF(COUNTBLANK(H149)=1,IF(C149&lt;=Config.!$D$10,"meta","nops"),"")</f>
        <v>nops</v>
      </c>
      <c r="H149" s="58"/>
      <c r="I149" s="59" t="str">
        <f t="shared" si="13"/>
        <v/>
      </c>
      <c r="J149" s="59" t="str">
        <f t="shared" si="11"/>
        <v/>
      </c>
      <c r="K149" s="53" t="str">
        <f t="shared" si="14"/>
        <v/>
      </c>
      <c r="R149" s="27">
        <f>IF(COUNTBLANK(T148)=1,(R148*Config.!$D$12)+R148,(T148*Config.!$D$12)+T148)</f>
        <v>18.014618825407553</v>
      </c>
      <c r="S149" s="28" t="str">
        <f>IF(COUNTBLANK(T149)=1,IF(R149&lt;=Config.!$D$10,"meta","nops"),"")</f>
        <v>nops</v>
      </c>
      <c r="T149" s="32"/>
    </row>
    <row r="150" spans="1:20" ht="20.100000000000001" customHeight="1">
      <c r="A150" s="22" t="s">
        <v>21</v>
      </c>
      <c r="B150" s="20">
        <v>147</v>
      </c>
      <c r="C150" s="57">
        <f>IF(COUNTBLANK(H149)=1,(C149*Config.!$D$12)+C149,(H149*Config.!$D$12)+H149)</f>
        <v>18.374911201915705</v>
      </c>
      <c r="D150" s="57">
        <f t="shared" si="12"/>
        <v>0.36029237650815205</v>
      </c>
      <c r="E150" s="67"/>
      <c r="F150" s="68" t="str">
        <f t="shared" si="10"/>
        <v>-</v>
      </c>
      <c r="G150" s="12" t="str">
        <f>IF(COUNTBLANK(H150)=1,IF(C150&lt;=Config.!$D$10,"meta","nops"),"")</f>
        <v>nops</v>
      </c>
      <c r="H150" s="58"/>
      <c r="I150" s="59" t="str">
        <f t="shared" si="13"/>
        <v/>
      </c>
      <c r="J150" s="59" t="str">
        <f t="shared" si="11"/>
        <v/>
      </c>
      <c r="K150" s="53" t="str">
        <f t="shared" si="14"/>
        <v/>
      </c>
      <c r="R150" s="27">
        <f>IF(COUNTBLANK(T149)=1,(R149*Config.!$D$12)+R149,(T149*Config.!$D$12)+T149)</f>
        <v>18.374911201915705</v>
      </c>
      <c r="S150" s="28" t="str">
        <f>IF(COUNTBLANK(T150)=1,IF(R150&lt;=Config.!$D$10,"meta","nops"),"")</f>
        <v>nops</v>
      </c>
      <c r="T150" s="32"/>
    </row>
    <row r="151" spans="1:20" ht="20.100000000000001" customHeight="1">
      <c r="A151" s="22" t="s">
        <v>21</v>
      </c>
      <c r="B151" s="20">
        <v>148</v>
      </c>
      <c r="C151" s="57">
        <f>IF(COUNTBLANK(H150)=1,(C150*Config.!$D$12)+C150,(H150*Config.!$D$12)+H150)</f>
        <v>18.742409425954019</v>
      </c>
      <c r="D151" s="57">
        <f t="shared" si="12"/>
        <v>0.36749822403831445</v>
      </c>
      <c r="E151" s="67"/>
      <c r="F151" s="68" t="str">
        <f t="shared" si="10"/>
        <v>-</v>
      </c>
      <c r="G151" s="12" t="str">
        <f>IF(COUNTBLANK(H151)=1,IF(C151&lt;=Config.!$D$10,"meta","nops"),"")</f>
        <v>nops</v>
      </c>
      <c r="H151" s="58"/>
      <c r="I151" s="59" t="str">
        <f t="shared" si="13"/>
        <v/>
      </c>
      <c r="J151" s="59" t="str">
        <f t="shared" si="11"/>
        <v/>
      </c>
      <c r="K151" s="53" t="str">
        <f t="shared" si="14"/>
        <v/>
      </c>
      <c r="R151" s="27">
        <f>IF(COUNTBLANK(T150)=1,(R150*Config.!$D$12)+R150,(T150*Config.!$D$12)+T150)</f>
        <v>18.742409425954019</v>
      </c>
      <c r="S151" s="28" t="str">
        <f>IF(COUNTBLANK(T151)=1,IF(R151&lt;=Config.!$D$10,"meta","nops"),"")</f>
        <v>nops</v>
      </c>
      <c r="T151" s="32"/>
    </row>
    <row r="152" spans="1:20" ht="20.100000000000001" customHeight="1">
      <c r="A152" s="22" t="s">
        <v>21</v>
      </c>
      <c r="B152" s="20">
        <v>149</v>
      </c>
      <c r="C152" s="57">
        <f>IF(COUNTBLANK(H151)=1,(C151*Config.!$D$12)+C151,(H151*Config.!$D$12)+H151)</f>
        <v>19.1172576144731</v>
      </c>
      <c r="D152" s="57">
        <f t="shared" si="12"/>
        <v>0.3748481885190813</v>
      </c>
      <c r="E152" s="67"/>
      <c r="F152" s="68" t="str">
        <f t="shared" si="10"/>
        <v>-</v>
      </c>
      <c r="G152" s="12" t="str">
        <f>IF(COUNTBLANK(H152)=1,IF(C152&lt;=Config.!$D$10,"meta","nops"),"")</f>
        <v>nops</v>
      </c>
      <c r="H152" s="58"/>
      <c r="I152" s="59" t="str">
        <f t="shared" si="13"/>
        <v/>
      </c>
      <c r="J152" s="59" t="str">
        <f t="shared" si="11"/>
        <v/>
      </c>
      <c r="K152" s="53" t="str">
        <f t="shared" si="14"/>
        <v/>
      </c>
      <c r="R152" s="27">
        <f>IF(COUNTBLANK(T151)=1,(R151*Config.!$D$12)+R151,(T151*Config.!$D$12)+T151)</f>
        <v>19.1172576144731</v>
      </c>
      <c r="S152" s="28" t="str">
        <f>IF(COUNTBLANK(T152)=1,IF(R152&lt;=Config.!$D$10,"meta","nops"),"")</f>
        <v>nops</v>
      </c>
      <c r="T152" s="32"/>
    </row>
    <row r="153" spans="1:20" ht="20.100000000000001" customHeight="1">
      <c r="A153" s="22" t="s">
        <v>21</v>
      </c>
      <c r="B153" s="20">
        <v>150</v>
      </c>
      <c r="C153" s="57">
        <f>IF(COUNTBLANK(H152)=1,(C152*Config.!$D$12)+C152,(H152*Config.!$D$12)+H152)</f>
        <v>19.499602766762564</v>
      </c>
      <c r="D153" s="57">
        <f t="shared" si="12"/>
        <v>0.38234515228946364</v>
      </c>
      <c r="E153" s="67"/>
      <c r="F153" s="68" t="str">
        <f t="shared" si="10"/>
        <v>-</v>
      </c>
      <c r="G153" s="12" t="str">
        <f>IF(COUNTBLANK(H153)=1,IF(C153&lt;=Config.!$D$10,"meta","nops"),"")</f>
        <v>nops</v>
      </c>
      <c r="H153" s="58"/>
      <c r="I153" s="59" t="str">
        <f t="shared" si="13"/>
        <v/>
      </c>
      <c r="J153" s="59" t="str">
        <f t="shared" si="11"/>
        <v/>
      </c>
      <c r="K153" s="53" t="str">
        <f t="shared" si="14"/>
        <v/>
      </c>
      <c r="R153" s="27">
        <f>IF(COUNTBLANK(T152)=1,(R152*Config.!$D$12)+R152,(T152*Config.!$D$12)+T152)</f>
        <v>19.499602766762564</v>
      </c>
      <c r="S153" s="28" t="str">
        <f>IF(COUNTBLANK(T153)=1,IF(R153&lt;=Config.!$D$10,"meta","nops"),"")</f>
        <v>nops</v>
      </c>
      <c r="T153" s="32"/>
    </row>
    <row r="154" spans="1:20" ht="20.100000000000001" customHeight="1">
      <c r="A154" s="22" t="s">
        <v>21</v>
      </c>
      <c r="B154" s="20">
        <v>151</v>
      </c>
      <c r="C154" s="57">
        <f>IF(COUNTBLANK(H153)=1,(C153*Config.!$D$12)+C153,(H153*Config.!$D$12)+H153)</f>
        <v>19.889594822097816</v>
      </c>
      <c r="D154" s="57">
        <f t="shared" si="12"/>
        <v>0.38999205533525227</v>
      </c>
      <c r="E154" s="67"/>
      <c r="F154" s="68" t="str">
        <f t="shared" si="10"/>
        <v>-</v>
      </c>
      <c r="G154" s="12" t="str">
        <f>IF(COUNTBLANK(H154)=1,IF(C154&lt;=Config.!$D$10,"meta","nops"),"")</f>
        <v>nops</v>
      </c>
      <c r="H154" s="58"/>
      <c r="I154" s="59" t="str">
        <f t="shared" si="13"/>
        <v/>
      </c>
      <c r="J154" s="59" t="str">
        <f t="shared" si="11"/>
        <v/>
      </c>
      <c r="K154" s="53" t="str">
        <f t="shared" si="14"/>
        <v/>
      </c>
      <c r="R154" s="27">
        <f>IF(COUNTBLANK(T153)=1,(R153*Config.!$D$12)+R153,(T153*Config.!$D$12)+T153)</f>
        <v>19.889594822097816</v>
      </c>
      <c r="S154" s="28" t="str">
        <f>IF(COUNTBLANK(T154)=1,IF(R154&lt;=Config.!$D$10,"meta","nops"),"")</f>
        <v>nops</v>
      </c>
      <c r="T154" s="32"/>
    </row>
    <row r="155" spans="1:20" ht="20.100000000000001" customHeight="1">
      <c r="A155" s="22" t="s">
        <v>21</v>
      </c>
      <c r="B155" s="20">
        <v>152</v>
      </c>
      <c r="C155" s="57">
        <f>IF(COUNTBLANK(H154)=1,(C154*Config.!$D$12)+C154,(H154*Config.!$D$12)+H154)</f>
        <v>20.287386718539771</v>
      </c>
      <c r="D155" s="57">
        <f t="shared" si="12"/>
        <v>0.39779189644195512</v>
      </c>
      <c r="E155" s="67"/>
      <c r="F155" s="68" t="str">
        <f t="shared" si="10"/>
        <v>-</v>
      </c>
      <c r="G155" s="12" t="str">
        <f>IF(COUNTBLANK(H155)=1,IF(C155&lt;=Config.!$D$10,"meta","nops"),"")</f>
        <v>nops</v>
      </c>
      <c r="H155" s="58"/>
      <c r="I155" s="59" t="str">
        <f t="shared" si="13"/>
        <v/>
      </c>
      <c r="J155" s="59" t="str">
        <f t="shared" si="11"/>
        <v/>
      </c>
      <c r="K155" s="53" t="str">
        <f t="shared" si="14"/>
        <v/>
      </c>
      <c r="R155" s="27">
        <f>IF(COUNTBLANK(T154)=1,(R154*Config.!$D$12)+R154,(T154*Config.!$D$12)+T154)</f>
        <v>20.287386718539771</v>
      </c>
      <c r="S155" s="28" t="str">
        <f>IF(COUNTBLANK(T155)=1,IF(R155&lt;=Config.!$D$10,"meta","nops"),"")</f>
        <v>nops</v>
      </c>
      <c r="T155" s="32"/>
    </row>
    <row r="156" spans="1:20" ht="20.100000000000001" customHeight="1">
      <c r="A156" s="22" t="s">
        <v>21</v>
      </c>
      <c r="B156" s="20">
        <v>153</v>
      </c>
      <c r="C156" s="57">
        <f>IF(COUNTBLANK(H155)=1,(C155*Config.!$D$12)+C155,(H155*Config.!$D$12)+H155)</f>
        <v>20.693134452910567</v>
      </c>
      <c r="D156" s="57">
        <f t="shared" si="12"/>
        <v>0.40574773437079514</v>
      </c>
      <c r="E156" s="67"/>
      <c r="F156" s="68" t="str">
        <f t="shared" si="10"/>
        <v>-</v>
      </c>
      <c r="G156" s="12" t="str">
        <f>IF(COUNTBLANK(H156)=1,IF(C156&lt;=Config.!$D$10,"meta","nops"),"")</f>
        <v>nops</v>
      </c>
      <c r="H156" s="58"/>
      <c r="I156" s="59" t="str">
        <f t="shared" si="13"/>
        <v/>
      </c>
      <c r="J156" s="59" t="str">
        <f t="shared" si="11"/>
        <v/>
      </c>
      <c r="K156" s="53" t="str">
        <f t="shared" si="14"/>
        <v/>
      </c>
      <c r="R156" s="27">
        <f>IF(COUNTBLANK(T155)=1,(R155*Config.!$D$12)+R155,(T155*Config.!$D$12)+T155)</f>
        <v>20.693134452910567</v>
      </c>
      <c r="S156" s="28" t="str">
        <f>IF(COUNTBLANK(T156)=1,IF(R156&lt;=Config.!$D$10,"meta","nops"),"")</f>
        <v>nops</v>
      </c>
      <c r="T156" s="32"/>
    </row>
    <row r="157" spans="1:20" ht="20.100000000000001" customHeight="1">
      <c r="A157" s="22" t="s">
        <v>21</v>
      </c>
      <c r="B157" s="20">
        <v>154</v>
      </c>
      <c r="C157" s="57">
        <f>IF(COUNTBLANK(H156)=1,(C156*Config.!$D$12)+C156,(H156*Config.!$D$12)+H156)</f>
        <v>21.106997141968776</v>
      </c>
      <c r="D157" s="57">
        <f t="shared" si="12"/>
        <v>0.41386268905820955</v>
      </c>
      <c r="E157" s="67"/>
      <c r="F157" s="68" t="str">
        <f t="shared" si="10"/>
        <v>-</v>
      </c>
      <c r="G157" s="12" t="str">
        <f>IF(COUNTBLANK(H157)=1,IF(C157&lt;=Config.!$D$10,"meta","nops"),"")</f>
        <v>nops</v>
      </c>
      <c r="H157" s="58"/>
      <c r="I157" s="59" t="str">
        <f t="shared" si="13"/>
        <v/>
      </c>
      <c r="J157" s="59" t="str">
        <f t="shared" si="11"/>
        <v/>
      </c>
      <c r="K157" s="53" t="str">
        <f t="shared" si="14"/>
        <v/>
      </c>
      <c r="R157" s="27">
        <f>IF(COUNTBLANK(T156)=1,(R156*Config.!$D$12)+R156,(T156*Config.!$D$12)+T156)</f>
        <v>21.106997141968776</v>
      </c>
      <c r="S157" s="28" t="str">
        <f>IF(COUNTBLANK(T157)=1,IF(R157&lt;=Config.!$D$10,"meta","nops"),"")</f>
        <v>nops</v>
      </c>
      <c r="T157" s="32"/>
    </row>
    <row r="158" spans="1:20" ht="20.100000000000001" customHeight="1">
      <c r="A158" s="22" t="s">
        <v>21</v>
      </c>
      <c r="B158" s="20">
        <v>155</v>
      </c>
      <c r="C158" s="57">
        <f>IF(COUNTBLANK(H157)=1,(C157*Config.!$D$12)+C157,(H157*Config.!$D$12)+H157)</f>
        <v>21.529137084808152</v>
      </c>
      <c r="D158" s="57">
        <f t="shared" si="12"/>
        <v>0.42213994283937595</v>
      </c>
      <c r="E158" s="67"/>
      <c r="F158" s="68" t="str">
        <f t="shared" si="10"/>
        <v>-</v>
      </c>
      <c r="G158" s="12" t="str">
        <f>IF(COUNTBLANK(H158)=1,IF(C158&lt;=Config.!$D$10,"meta","nops"),"")</f>
        <v>nops</v>
      </c>
      <c r="H158" s="58"/>
      <c r="I158" s="59" t="str">
        <f t="shared" si="13"/>
        <v/>
      </c>
      <c r="J158" s="59" t="str">
        <f t="shared" si="11"/>
        <v/>
      </c>
      <c r="K158" s="53" t="str">
        <f t="shared" si="14"/>
        <v/>
      </c>
      <c r="R158" s="27">
        <f>IF(COUNTBLANK(T157)=1,(R157*Config.!$D$12)+R157,(T157*Config.!$D$12)+T157)</f>
        <v>21.529137084808152</v>
      </c>
      <c r="S158" s="28" t="str">
        <f>IF(COUNTBLANK(T158)=1,IF(R158&lt;=Config.!$D$10,"meta","nops"),"")</f>
        <v>nops</v>
      </c>
      <c r="T158" s="32"/>
    </row>
    <row r="159" spans="1:20" ht="20.100000000000001" customHeight="1">
      <c r="A159" s="22" t="s">
        <v>21</v>
      </c>
      <c r="B159" s="20">
        <v>156</v>
      </c>
      <c r="C159" s="57">
        <f>IF(COUNTBLANK(H158)=1,(C158*Config.!$D$12)+C158,(H158*Config.!$D$12)+H158)</f>
        <v>21.959719826504315</v>
      </c>
      <c r="D159" s="57">
        <f t="shared" si="12"/>
        <v>0.4305827416961634</v>
      </c>
      <c r="E159" s="67"/>
      <c r="F159" s="68" t="str">
        <f t="shared" si="10"/>
        <v>-</v>
      </c>
      <c r="G159" s="12" t="str">
        <f>IF(COUNTBLANK(H159)=1,IF(C159&lt;=Config.!$D$10,"meta","nops"),"")</f>
        <v>nops</v>
      </c>
      <c r="H159" s="58"/>
      <c r="I159" s="59" t="str">
        <f t="shared" si="13"/>
        <v/>
      </c>
      <c r="J159" s="59" t="str">
        <f t="shared" si="11"/>
        <v/>
      </c>
      <c r="K159" s="53" t="str">
        <f t="shared" si="14"/>
        <v/>
      </c>
      <c r="R159" s="27">
        <f>IF(COUNTBLANK(T158)=1,(R158*Config.!$D$12)+R158,(T158*Config.!$D$12)+T158)</f>
        <v>21.959719826504315</v>
      </c>
      <c r="S159" s="28" t="str">
        <f>IF(COUNTBLANK(T159)=1,IF(R159&lt;=Config.!$D$10,"meta","nops"),"")</f>
        <v>nops</v>
      </c>
      <c r="T159" s="32"/>
    </row>
    <row r="160" spans="1:20" ht="20.100000000000001" customHeight="1">
      <c r="A160" s="22" t="s">
        <v>21</v>
      </c>
      <c r="B160" s="20">
        <v>157</v>
      </c>
      <c r="C160" s="57">
        <f>IF(COUNTBLANK(H159)=1,(C159*Config.!$D$12)+C159,(H159*Config.!$D$12)+H159)</f>
        <v>22.398914223034403</v>
      </c>
      <c r="D160" s="57">
        <f t="shared" si="12"/>
        <v>0.43919439653008752</v>
      </c>
      <c r="E160" s="67"/>
      <c r="F160" s="68" t="str">
        <f t="shared" si="10"/>
        <v>-</v>
      </c>
      <c r="G160" s="12" t="str">
        <f>IF(COUNTBLANK(H160)=1,IF(C160&lt;=Config.!$D$10,"meta","nops"),"")</f>
        <v>nops</v>
      </c>
      <c r="H160" s="58"/>
      <c r="I160" s="59" t="str">
        <f t="shared" si="13"/>
        <v/>
      </c>
      <c r="J160" s="59" t="str">
        <f t="shared" si="11"/>
        <v/>
      </c>
      <c r="K160" s="53" t="str">
        <f t="shared" si="14"/>
        <v/>
      </c>
      <c r="R160" s="27">
        <f>IF(COUNTBLANK(T159)=1,(R159*Config.!$D$12)+R159,(T159*Config.!$D$12)+T159)</f>
        <v>22.398914223034403</v>
      </c>
      <c r="S160" s="28" t="str">
        <f>IF(COUNTBLANK(T160)=1,IF(R160&lt;=Config.!$D$10,"meta","nops"),"")</f>
        <v>nops</v>
      </c>
      <c r="T160" s="32"/>
    </row>
    <row r="161" spans="1:20" ht="20.100000000000001" customHeight="1">
      <c r="A161" s="22" t="s">
        <v>21</v>
      </c>
      <c r="B161" s="20">
        <v>158</v>
      </c>
      <c r="C161" s="57">
        <f>IF(COUNTBLANK(H160)=1,(C160*Config.!$D$12)+C160,(H160*Config.!$D$12)+H160)</f>
        <v>22.846892507495092</v>
      </c>
      <c r="D161" s="57">
        <f t="shared" si="12"/>
        <v>0.44797828446068877</v>
      </c>
      <c r="E161" s="67"/>
      <c r="F161" s="68" t="str">
        <f t="shared" si="10"/>
        <v>-</v>
      </c>
      <c r="G161" s="12" t="str">
        <f>IF(COUNTBLANK(H161)=1,IF(C161&lt;=Config.!$D$10,"meta","nops"),"")</f>
        <v>nops</v>
      </c>
      <c r="H161" s="58"/>
      <c r="I161" s="59" t="str">
        <f t="shared" si="13"/>
        <v/>
      </c>
      <c r="J161" s="59" t="str">
        <f t="shared" si="11"/>
        <v/>
      </c>
      <c r="K161" s="53" t="str">
        <f t="shared" si="14"/>
        <v/>
      </c>
      <c r="R161" s="27">
        <f>IF(COUNTBLANK(T160)=1,(R160*Config.!$D$12)+R160,(T160*Config.!$D$12)+T160)</f>
        <v>22.846892507495092</v>
      </c>
      <c r="S161" s="28" t="str">
        <f>IF(COUNTBLANK(T161)=1,IF(R161&lt;=Config.!$D$10,"meta","nops"),"")</f>
        <v>nops</v>
      </c>
      <c r="T161" s="32"/>
    </row>
    <row r="162" spans="1:20" ht="20.100000000000001" customHeight="1">
      <c r="A162" s="22" t="s">
        <v>21</v>
      </c>
      <c r="B162" s="20">
        <v>159</v>
      </c>
      <c r="C162" s="57">
        <f>IF(COUNTBLANK(H161)=1,(C161*Config.!$D$12)+C161,(H161*Config.!$D$12)+H161)</f>
        <v>23.303830357644994</v>
      </c>
      <c r="D162" s="57">
        <f t="shared" si="12"/>
        <v>0.4569378501499024</v>
      </c>
      <c r="E162" s="67"/>
      <c r="F162" s="68" t="str">
        <f t="shared" si="10"/>
        <v>-</v>
      </c>
      <c r="G162" s="12" t="str">
        <f>IF(COUNTBLANK(H162)=1,IF(C162&lt;=Config.!$D$10,"meta","nops"),"")</f>
        <v>nops</v>
      </c>
      <c r="H162" s="58"/>
      <c r="I162" s="59" t="str">
        <f t="shared" si="13"/>
        <v/>
      </c>
      <c r="J162" s="59" t="str">
        <f t="shared" si="11"/>
        <v/>
      </c>
      <c r="K162" s="53" t="str">
        <f t="shared" si="14"/>
        <v/>
      </c>
      <c r="R162" s="27">
        <f>IF(COUNTBLANK(T161)=1,(R161*Config.!$D$12)+R161,(T161*Config.!$D$12)+T161)</f>
        <v>23.303830357644994</v>
      </c>
      <c r="S162" s="28" t="str">
        <f>IF(COUNTBLANK(T162)=1,IF(R162&lt;=Config.!$D$10,"meta","nops"),"")</f>
        <v>nops</v>
      </c>
      <c r="T162" s="32"/>
    </row>
    <row r="163" spans="1:20" ht="20.100000000000001" customHeight="1">
      <c r="A163" s="22" t="s">
        <v>21</v>
      </c>
      <c r="B163" s="20">
        <v>160</v>
      </c>
      <c r="C163" s="57">
        <f>IF(COUNTBLANK(H162)=1,(C162*Config.!$D$12)+C162,(H162*Config.!$D$12)+H162)</f>
        <v>23.769906964797894</v>
      </c>
      <c r="D163" s="57">
        <f t="shared" si="12"/>
        <v>0.46607660715289967</v>
      </c>
      <c r="E163" s="67"/>
      <c r="F163" s="68" t="str">
        <f t="shared" si="10"/>
        <v>-</v>
      </c>
      <c r="G163" s="12" t="str">
        <f>IF(COUNTBLANK(H163)=1,IF(C163&lt;=Config.!$D$10,"meta","nops"),"")</f>
        <v>nops</v>
      </c>
      <c r="H163" s="58"/>
      <c r="I163" s="59" t="str">
        <f t="shared" si="13"/>
        <v/>
      </c>
      <c r="J163" s="59" t="str">
        <f t="shared" si="11"/>
        <v/>
      </c>
      <c r="K163" s="53" t="str">
        <f t="shared" si="14"/>
        <v/>
      </c>
      <c r="R163" s="27">
        <f>IF(COUNTBLANK(T162)=1,(R162*Config.!$D$12)+R162,(T162*Config.!$D$12)+T162)</f>
        <v>23.769906964797894</v>
      </c>
      <c r="S163" s="28" t="str">
        <f>IF(COUNTBLANK(T163)=1,IF(R163&lt;=Config.!$D$10,"meta","nops"),"")</f>
        <v>nops</v>
      </c>
      <c r="T163" s="32"/>
    </row>
    <row r="164" spans="1:20" ht="20.100000000000001" customHeight="1">
      <c r="A164" s="22" t="s">
        <v>21</v>
      </c>
      <c r="B164" s="20">
        <v>161</v>
      </c>
      <c r="C164" s="57">
        <f>IF(COUNTBLANK(H163)=1,(C163*Config.!$D$12)+C163,(H163*Config.!$D$12)+H163)</f>
        <v>24.245305104093852</v>
      </c>
      <c r="D164" s="57">
        <f t="shared" si="12"/>
        <v>0.47539813929595809</v>
      </c>
      <c r="E164" s="67"/>
      <c r="F164" s="68" t="str">
        <f t="shared" si="10"/>
        <v>-</v>
      </c>
      <c r="G164" s="12" t="str">
        <f>IF(COUNTBLANK(H164)=1,IF(C164&lt;=Config.!$D$10,"meta","nops"),"")</f>
        <v>nops</v>
      </c>
      <c r="H164" s="58"/>
      <c r="I164" s="59" t="str">
        <f t="shared" si="13"/>
        <v/>
      </c>
      <c r="J164" s="59" t="str">
        <f t="shared" si="11"/>
        <v/>
      </c>
      <c r="K164" s="53" t="str">
        <f t="shared" si="14"/>
        <v/>
      </c>
      <c r="R164" s="27">
        <f>IF(COUNTBLANK(T163)=1,(R163*Config.!$D$12)+R163,(T163*Config.!$D$12)+T163)</f>
        <v>24.245305104093852</v>
      </c>
      <c r="S164" s="28" t="str">
        <f>IF(COUNTBLANK(T164)=1,IF(R164&lt;=Config.!$D$10,"meta","nops"),"")</f>
        <v>nops</v>
      </c>
      <c r="T164" s="32"/>
    </row>
    <row r="165" spans="1:20" ht="20.100000000000001" customHeight="1">
      <c r="A165" s="22" t="s">
        <v>21</v>
      </c>
      <c r="B165" s="20">
        <v>162</v>
      </c>
      <c r="C165" s="57">
        <f>IF(COUNTBLANK(H164)=1,(C164*Config.!$D$12)+C164,(H164*Config.!$D$12)+H164)</f>
        <v>24.730211206175728</v>
      </c>
      <c r="D165" s="57">
        <f t="shared" si="12"/>
        <v>0.4849061020818759</v>
      </c>
      <c r="E165" s="67"/>
      <c r="F165" s="68" t="str">
        <f t="shared" si="10"/>
        <v>-</v>
      </c>
      <c r="G165" s="12" t="str">
        <f>IF(COUNTBLANK(H165)=1,IF(C165&lt;=Config.!$D$10,"meta","nops"),"")</f>
        <v>nops</v>
      </c>
      <c r="H165" s="58"/>
      <c r="I165" s="59" t="str">
        <f t="shared" si="13"/>
        <v/>
      </c>
      <c r="J165" s="59" t="str">
        <f t="shared" si="11"/>
        <v/>
      </c>
      <c r="K165" s="53" t="str">
        <f t="shared" si="14"/>
        <v/>
      </c>
      <c r="R165" s="27">
        <f>IF(COUNTBLANK(T164)=1,(R164*Config.!$D$12)+R164,(T164*Config.!$D$12)+T164)</f>
        <v>24.730211206175728</v>
      </c>
      <c r="S165" s="28" t="str">
        <f>IF(COUNTBLANK(T165)=1,IF(R165&lt;=Config.!$D$10,"meta","nops"),"")</f>
        <v>nops</v>
      </c>
      <c r="T165" s="32"/>
    </row>
    <row r="166" spans="1:20" ht="20.100000000000001" customHeight="1">
      <c r="A166" s="22" t="s">
        <v>21</v>
      </c>
      <c r="B166" s="20">
        <v>163</v>
      </c>
      <c r="C166" s="57">
        <f>IF(COUNTBLANK(H165)=1,(C165*Config.!$D$12)+C165,(H165*Config.!$D$12)+H165)</f>
        <v>25.224815430299241</v>
      </c>
      <c r="D166" s="57">
        <f t="shared" si="12"/>
        <v>0.49460422412351335</v>
      </c>
      <c r="E166" s="67"/>
      <c r="F166" s="68" t="str">
        <f t="shared" si="10"/>
        <v>-</v>
      </c>
      <c r="G166" s="12" t="str">
        <f>IF(COUNTBLANK(H166)=1,IF(C166&lt;=Config.!$D$10,"meta","nops"),"")</f>
        <v>nops</v>
      </c>
      <c r="H166" s="58"/>
      <c r="I166" s="59" t="str">
        <f t="shared" si="13"/>
        <v/>
      </c>
      <c r="J166" s="59" t="str">
        <f t="shared" si="11"/>
        <v/>
      </c>
      <c r="K166" s="53" t="str">
        <f t="shared" si="14"/>
        <v/>
      </c>
      <c r="R166" s="27">
        <f>IF(COUNTBLANK(T165)=1,(R165*Config.!$D$12)+R165,(T165*Config.!$D$12)+T165)</f>
        <v>25.224815430299241</v>
      </c>
      <c r="S166" s="28" t="str">
        <f>IF(COUNTBLANK(T166)=1,IF(R166&lt;=Config.!$D$10,"meta","nops"),"")</f>
        <v>nops</v>
      </c>
      <c r="T166" s="32"/>
    </row>
    <row r="167" spans="1:20" ht="20.100000000000001" customHeight="1">
      <c r="A167" s="22" t="s">
        <v>21</v>
      </c>
      <c r="B167" s="20">
        <v>164</v>
      </c>
      <c r="C167" s="57">
        <f>IF(COUNTBLANK(H166)=1,(C166*Config.!$D$12)+C166,(H166*Config.!$D$12)+H166)</f>
        <v>25.729311738905224</v>
      </c>
      <c r="D167" s="57">
        <f t="shared" si="12"/>
        <v>0.50449630860598305</v>
      </c>
      <c r="E167" s="67"/>
      <c r="F167" s="68" t="str">
        <f t="shared" si="10"/>
        <v>-</v>
      </c>
      <c r="G167" s="12" t="str">
        <f>IF(COUNTBLANK(H167)=1,IF(C167&lt;=Config.!$D$10,"meta","nops"),"")</f>
        <v>nops</v>
      </c>
      <c r="H167" s="58"/>
      <c r="I167" s="59" t="str">
        <f t="shared" si="13"/>
        <v/>
      </c>
      <c r="J167" s="59" t="str">
        <f t="shared" si="11"/>
        <v/>
      </c>
      <c r="K167" s="53" t="str">
        <f t="shared" si="14"/>
        <v/>
      </c>
      <c r="R167" s="27">
        <f>IF(COUNTBLANK(T166)=1,(R166*Config.!$D$12)+R166,(T166*Config.!$D$12)+T166)</f>
        <v>25.729311738905224</v>
      </c>
      <c r="S167" s="28" t="str">
        <f>IF(COUNTBLANK(T167)=1,IF(R167&lt;=Config.!$D$10,"meta","nops"),"")</f>
        <v>nops</v>
      </c>
      <c r="T167" s="32"/>
    </row>
    <row r="168" spans="1:20" ht="20.100000000000001" customHeight="1">
      <c r="A168" s="22" t="s">
        <v>21</v>
      </c>
      <c r="B168" s="20">
        <v>165</v>
      </c>
      <c r="C168" s="57">
        <f>IF(COUNTBLANK(H167)=1,(C167*Config.!$D$12)+C167,(H167*Config.!$D$12)+H167)</f>
        <v>26.243897973683328</v>
      </c>
      <c r="D168" s="57">
        <f t="shared" si="12"/>
        <v>0.51458623477810406</v>
      </c>
      <c r="E168" s="67"/>
      <c r="F168" s="68" t="str">
        <f t="shared" si="10"/>
        <v>-</v>
      </c>
      <c r="G168" s="12" t="str">
        <f>IF(COUNTBLANK(H168)=1,IF(C168&lt;=Config.!$D$10,"meta","nops"),"")</f>
        <v>nops</v>
      </c>
      <c r="H168" s="58"/>
      <c r="I168" s="59" t="str">
        <f t="shared" si="13"/>
        <v/>
      </c>
      <c r="J168" s="59" t="str">
        <f t="shared" si="11"/>
        <v/>
      </c>
      <c r="K168" s="53" t="str">
        <f t="shared" si="14"/>
        <v/>
      </c>
      <c r="R168" s="27">
        <f>IF(COUNTBLANK(T167)=1,(R167*Config.!$D$12)+R167,(T167*Config.!$D$12)+T167)</f>
        <v>26.243897973683328</v>
      </c>
      <c r="S168" s="28" t="str">
        <f>IF(COUNTBLANK(T168)=1,IF(R168&lt;=Config.!$D$10,"meta","nops"),"")</f>
        <v>nops</v>
      </c>
      <c r="T168" s="32"/>
    </row>
    <row r="169" spans="1:20" ht="20.100000000000001" customHeight="1">
      <c r="A169" s="22" t="s">
        <v>21</v>
      </c>
      <c r="B169" s="20">
        <v>166</v>
      </c>
      <c r="C169" s="57">
        <f>IF(COUNTBLANK(H168)=1,(C168*Config.!$D$12)+C168,(H168*Config.!$D$12)+H168)</f>
        <v>26.768775933156995</v>
      </c>
      <c r="D169" s="57">
        <f t="shared" si="12"/>
        <v>0.52487795947366678</v>
      </c>
      <c r="E169" s="67"/>
      <c r="F169" s="68" t="str">
        <f t="shared" si="10"/>
        <v>-</v>
      </c>
      <c r="G169" s="12" t="str">
        <f>IF(COUNTBLANK(H169)=1,IF(C169&lt;=Config.!$D$10,"meta","nops"),"")</f>
        <v>nops</v>
      </c>
      <c r="H169" s="58"/>
      <c r="I169" s="59" t="str">
        <f t="shared" si="13"/>
        <v/>
      </c>
      <c r="J169" s="59" t="str">
        <f t="shared" si="11"/>
        <v/>
      </c>
      <c r="K169" s="53" t="str">
        <f t="shared" si="14"/>
        <v/>
      </c>
      <c r="R169" s="27">
        <f>IF(COUNTBLANK(T168)=1,(R168*Config.!$D$12)+R168,(T168*Config.!$D$12)+T168)</f>
        <v>26.768775933156995</v>
      </c>
      <c r="S169" s="28" t="str">
        <f>IF(COUNTBLANK(T169)=1,IF(R169&lt;=Config.!$D$10,"meta","nops"),"")</f>
        <v>nops</v>
      </c>
      <c r="T169" s="32"/>
    </row>
    <row r="170" spans="1:20" ht="20.100000000000001" customHeight="1">
      <c r="A170" s="22" t="s">
        <v>21</v>
      </c>
      <c r="B170" s="20">
        <v>167</v>
      </c>
      <c r="C170" s="57">
        <f>IF(COUNTBLANK(H169)=1,(C169*Config.!$D$12)+C169,(H169*Config.!$D$12)+H169)</f>
        <v>27.304151451820136</v>
      </c>
      <c r="D170" s="57">
        <f t="shared" si="12"/>
        <v>0.53537551866314104</v>
      </c>
      <c r="E170" s="67"/>
      <c r="F170" s="68" t="str">
        <f t="shared" si="10"/>
        <v>-</v>
      </c>
      <c r="G170" s="12" t="str">
        <f>IF(COUNTBLANK(H170)=1,IF(C170&lt;=Config.!$D$10,"meta","nops"),"")</f>
        <v>nops</v>
      </c>
      <c r="H170" s="58"/>
      <c r="I170" s="59" t="str">
        <f t="shared" si="13"/>
        <v/>
      </c>
      <c r="J170" s="59" t="str">
        <f t="shared" si="11"/>
        <v/>
      </c>
      <c r="K170" s="53" t="str">
        <f t="shared" si="14"/>
        <v/>
      </c>
      <c r="R170" s="27">
        <f>IF(COUNTBLANK(T169)=1,(R169*Config.!$D$12)+R169,(T169*Config.!$D$12)+T169)</f>
        <v>27.304151451820136</v>
      </c>
      <c r="S170" s="28" t="str">
        <f>IF(COUNTBLANK(T170)=1,IF(R170&lt;=Config.!$D$10,"meta","nops"),"")</f>
        <v>nops</v>
      </c>
      <c r="T170" s="32"/>
    </row>
    <row r="171" spans="1:20" ht="20.100000000000001" customHeight="1">
      <c r="A171" s="22" t="s">
        <v>21</v>
      </c>
      <c r="B171" s="20">
        <v>168</v>
      </c>
      <c r="C171" s="57">
        <f>IF(COUNTBLANK(H170)=1,(C170*Config.!$D$12)+C170,(H170*Config.!$D$12)+H170)</f>
        <v>27.850234480856539</v>
      </c>
      <c r="D171" s="57">
        <f t="shared" si="12"/>
        <v>0.54608302903640293</v>
      </c>
      <c r="E171" s="67"/>
      <c r="F171" s="68" t="str">
        <f t="shared" si="10"/>
        <v>-</v>
      </c>
      <c r="G171" s="12" t="str">
        <f>IF(COUNTBLANK(H171)=1,IF(C171&lt;=Config.!$D$10,"meta","nops"),"")</f>
        <v>nops</v>
      </c>
      <c r="H171" s="58"/>
      <c r="I171" s="59" t="str">
        <f t="shared" si="13"/>
        <v/>
      </c>
      <c r="J171" s="59" t="str">
        <f t="shared" si="11"/>
        <v/>
      </c>
      <c r="K171" s="53" t="str">
        <f t="shared" si="14"/>
        <v/>
      </c>
      <c r="R171" s="27">
        <f>IF(COUNTBLANK(T170)=1,(R170*Config.!$D$12)+R170,(T170*Config.!$D$12)+T170)</f>
        <v>27.850234480856539</v>
      </c>
      <c r="S171" s="28" t="str">
        <f>IF(COUNTBLANK(T171)=1,IF(R171&lt;=Config.!$D$10,"meta","nops"),"")</f>
        <v>nops</v>
      </c>
      <c r="T171" s="32"/>
    </row>
    <row r="172" spans="1:20" ht="20.100000000000001" customHeight="1">
      <c r="A172" s="22" t="s">
        <v>21</v>
      </c>
      <c r="B172" s="20">
        <v>169</v>
      </c>
      <c r="C172" s="57">
        <f>IF(COUNTBLANK(H171)=1,(C171*Config.!$D$12)+C171,(H171*Config.!$D$12)+H171)</f>
        <v>28.40723917047367</v>
      </c>
      <c r="D172" s="57">
        <f t="shared" si="12"/>
        <v>0.55700468961713057</v>
      </c>
      <c r="E172" s="67"/>
      <c r="F172" s="68" t="str">
        <f t="shared" si="10"/>
        <v>-</v>
      </c>
      <c r="G172" s="12" t="str">
        <f>IF(COUNTBLANK(H172)=1,IF(C172&lt;=Config.!$D$10,"meta","nops"),"")</f>
        <v>nops</v>
      </c>
      <c r="H172" s="58"/>
      <c r="I172" s="59" t="str">
        <f t="shared" si="13"/>
        <v/>
      </c>
      <c r="J172" s="59" t="str">
        <f t="shared" si="11"/>
        <v/>
      </c>
      <c r="K172" s="53" t="str">
        <f t="shared" si="14"/>
        <v/>
      </c>
      <c r="R172" s="27">
        <f>IF(COUNTBLANK(T171)=1,(R171*Config.!$D$12)+R171,(T171*Config.!$D$12)+T171)</f>
        <v>28.40723917047367</v>
      </c>
      <c r="S172" s="28" t="str">
        <f>IF(COUNTBLANK(T172)=1,IF(R172&lt;=Config.!$D$10,"meta","nops"),"")</f>
        <v>nops</v>
      </c>
      <c r="T172" s="32"/>
    </row>
    <row r="173" spans="1:20" ht="20.100000000000001" customHeight="1">
      <c r="A173" s="22" t="s">
        <v>21</v>
      </c>
      <c r="B173" s="20">
        <v>170</v>
      </c>
      <c r="C173" s="57">
        <f>IF(COUNTBLANK(H172)=1,(C172*Config.!$D$12)+C172,(H172*Config.!$D$12)+H172)</f>
        <v>28.975383953883142</v>
      </c>
      <c r="D173" s="57">
        <f t="shared" si="12"/>
        <v>0.56814478340947261</v>
      </c>
      <c r="E173" s="67"/>
      <c r="F173" s="68" t="str">
        <f t="shared" si="10"/>
        <v>-</v>
      </c>
      <c r="G173" s="12" t="str">
        <f>IF(COUNTBLANK(H173)=1,IF(C173&lt;=Config.!$D$10,"meta","nops"),"")</f>
        <v>nops</v>
      </c>
      <c r="H173" s="58"/>
      <c r="I173" s="59" t="str">
        <f t="shared" si="13"/>
        <v/>
      </c>
      <c r="J173" s="59" t="str">
        <f t="shared" si="11"/>
        <v/>
      </c>
      <c r="K173" s="53" t="str">
        <f t="shared" si="14"/>
        <v/>
      </c>
      <c r="R173" s="27">
        <f>IF(COUNTBLANK(T172)=1,(R172*Config.!$D$12)+R172,(T172*Config.!$D$12)+T172)</f>
        <v>28.975383953883142</v>
      </c>
      <c r="S173" s="28" t="str">
        <f>IF(COUNTBLANK(T173)=1,IF(R173&lt;=Config.!$D$10,"meta","nops"),"")</f>
        <v>nops</v>
      </c>
      <c r="T173" s="32"/>
    </row>
    <row r="174" spans="1:20" ht="20.100000000000001" customHeight="1">
      <c r="A174" s="22" t="s">
        <v>21</v>
      </c>
      <c r="B174" s="20">
        <v>171</v>
      </c>
      <c r="C174" s="57">
        <f>IF(COUNTBLANK(H173)=1,(C173*Config.!$D$12)+C173,(H173*Config.!$D$12)+H173)</f>
        <v>29.554891632960803</v>
      </c>
      <c r="D174" s="57">
        <f t="shared" si="12"/>
        <v>0.57950767907766121</v>
      </c>
      <c r="E174" s="67"/>
      <c r="F174" s="68" t="str">
        <f t="shared" si="10"/>
        <v>-</v>
      </c>
      <c r="G174" s="12" t="str">
        <f>IF(COUNTBLANK(H174)=1,IF(C174&lt;=Config.!$D$10,"meta","nops"),"")</f>
        <v>nops</v>
      </c>
      <c r="H174" s="58"/>
      <c r="I174" s="59" t="str">
        <f t="shared" si="13"/>
        <v/>
      </c>
      <c r="J174" s="59" t="str">
        <f t="shared" si="11"/>
        <v/>
      </c>
      <c r="K174" s="53" t="str">
        <f t="shared" si="14"/>
        <v/>
      </c>
      <c r="R174" s="27">
        <f>IF(COUNTBLANK(T173)=1,(R173*Config.!$D$12)+R173,(T173*Config.!$D$12)+T173)</f>
        <v>29.554891632960803</v>
      </c>
      <c r="S174" s="28" t="str">
        <f>IF(COUNTBLANK(T174)=1,IF(R174&lt;=Config.!$D$10,"meta","nops"),"")</f>
        <v>nops</v>
      </c>
      <c r="T174" s="32"/>
    </row>
    <row r="175" spans="1:20" ht="20.100000000000001" customHeight="1">
      <c r="A175" s="22" t="s">
        <v>21</v>
      </c>
      <c r="B175" s="20">
        <v>172</v>
      </c>
      <c r="C175" s="57">
        <f>IF(COUNTBLANK(H174)=1,(C174*Config.!$D$12)+C174,(H174*Config.!$D$12)+H174)</f>
        <v>30.145989465620019</v>
      </c>
      <c r="D175" s="57">
        <f t="shared" si="12"/>
        <v>0.59109783265921578</v>
      </c>
      <c r="E175" s="67"/>
      <c r="F175" s="68" t="str">
        <f t="shared" si="10"/>
        <v>-</v>
      </c>
      <c r="G175" s="12" t="str">
        <f>IF(COUNTBLANK(H175)=1,IF(C175&lt;=Config.!$D$10,"meta","nops"),"")</f>
        <v>nops</v>
      </c>
      <c r="H175" s="58"/>
      <c r="I175" s="59" t="str">
        <f t="shared" si="13"/>
        <v/>
      </c>
      <c r="J175" s="59" t="str">
        <f t="shared" si="11"/>
        <v/>
      </c>
      <c r="K175" s="53" t="str">
        <f t="shared" si="14"/>
        <v/>
      </c>
      <c r="R175" s="27">
        <f>IF(COUNTBLANK(T174)=1,(R174*Config.!$D$12)+R174,(T174*Config.!$D$12)+T174)</f>
        <v>30.145989465620019</v>
      </c>
      <c r="S175" s="28" t="str">
        <f>IF(COUNTBLANK(T175)=1,IF(R175&lt;=Config.!$D$10,"meta","nops"),"")</f>
        <v>nops</v>
      </c>
      <c r="T175" s="32"/>
    </row>
    <row r="176" spans="1:20" ht="20.100000000000001" customHeight="1">
      <c r="A176" s="22" t="s">
        <v>21</v>
      </c>
      <c r="B176" s="20">
        <v>173</v>
      </c>
      <c r="C176" s="57">
        <f>IF(COUNTBLANK(H175)=1,(C175*Config.!$D$12)+C175,(H175*Config.!$D$12)+H175)</f>
        <v>30.748909254932421</v>
      </c>
      <c r="D176" s="57">
        <f t="shared" si="12"/>
        <v>0.60291978931240209</v>
      </c>
      <c r="E176" s="67"/>
      <c r="F176" s="68" t="str">
        <f t="shared" si="10"/>
        <v>-</v>
      </c>
      <c r="G176" s="12" t="str">
        <f>IF(COUNTBLANK(H176)=1,IF(C176&lt;=Config.!$D$10,"meta","nops"),"")</f>
        <v>nops</v>
      </c>
      <c r="H176" s="58"/>
      <c r="I176" s="59" t="str">
        <f t="shared" si="13"/>
        <v/>
      </c>
      <c r="J176" s="59" t="str">
        <f t="shared" si="11"/>
        <v/>
      </c>
      <c r="K176" s="53" t="str">
        <f t="shared" si="14"/>
        <v/>
      </c>
      <c r="R176" s="27">
        <f>IF(COUNTBLANK(T175)=1,(R175*Config.!$D$12)+R175,(T175*Config.!$D$12)+T175)</f>
        <v>30.748909254932421</v>
      </c>
      <c r="S176" s="28" t="str">
        <f>IF(COUNTBLANK(T176)=1,IF(R176&lt;=Config.!$D$10,"meta","nops"),"")</f>
        <v>nops</v>
      </c>
      <c r="T176" s="32"/>
    </row>
    <row r="177" spans="1:20" ht="20.100000000000001" customHeight="1">
      <c r="A177" s="22" t="s">
        <v>21</v>
      </c>
      <c r="B177" s="20">
        <v>174</v>
      </c>
      <c r="C177" s="57">
        <f>IF(COUNTBLANK(H176)=1,(C176*Config.!$D$12)+C176,(H176*Config.!$D$12)+H176)</f>
        <v>31.363887440031071</v>
      </c>
      <c r="D177" s="57">
        <f t="shared" si="12"/>
        <v>0.61497818509864999</v>
      </c>
      <c r="E177" s="67"/>
      <c r="F177" s="68" t="str">
        <f t="shared" si="10"/>
        <v>-</v>
      </c>
      <c r="G177" s="12" t="str">
        <f>IF(COUNTBLANK(H177)=1,IF(C177&lt;=Config.!$D$10,"meta","nops"),"")</f>
        <v>nops</v>
      </c>
      <c r="H177" s="58"/>
      <c r="I177" s="59" t="str">
        <f t="shared" si="13"/>
        <v/>
      </c>
      <c r="J177" s="59" t="str">
        <f t="shared" si="11"/>
        <v/>
      </c>
      <c r="K177" s="53" t="str">
        <f t="shared" si="14"/>
        <v/>
      </c>
      <c r="R177" s="27">
        <f>IF(COUNTBLANK(T176)=1,(R176*Config.!$D$12)+R176,(T176*Config.!$D$12)+T176)</f>
        <v>31.363887440031071</v>
      </c>
      <c r="S177" s="28" t="str">
        <f>IF(COUNTBLANK(T177)=1,IF(R177&lt;=Config.!$D$10,"meta","nops"),"")</f>
        <v>nops</v>
      </c>
      <c r="T177" s="32"/>
    </row>
    <row r="178" spans="1:20" ht="20.100000000000001" customHeight="1">
      <c r="A178" s="22" t="s">
        <v>21</v>
      </c>
      <c r="B178" s="20">
        <v>175</v>
      </c>
      <c r="C178" s="57">
        <f>IF(COUNTBLANK(H177)=1,(C177*Config.!$D$12)+C177,(H177*Config.!$D$12)+H177)</f>
        <v>31.991165188831694</v>
      </c>
      <c r="D178" s="57">
        <f t="shared" si="12"/>
        <v>0.6272777488006227</v>
      </c>
      <c r="E178" s="67"/>
      <c r="F178" s="68" t="str">
        <f t="shared" si="10"/>
        <v>-</v>
      </c>
      <c r="G178" s="12" t="str">
        <f>IF(COUNTBLANK(H178)=1,IF(C178&lt;=Config.!$D$10,"meta","nops"),"")</f>
        <v>nops</v>
      </c>
      <c r="H178" s="58"/>
      <c r="I178" s="59" t="str">
        <f t="shared" si="13"/>
        <v/>
      </c>
      <c r="J178" s="59" t="str">
        <f t="shared" si="11"/>
        <v/>
      </c>
      <c r="K178" s="53" t="str">
        <f t="shared" si="14"/>
        <v/>
      </c>
      <c r="R178" s="27">
        <f>IF(COUNTBLANK(T177)=1,(R177*Config.!$D$12)+R177,(T177*Config.!$D$12)+T177)</f>
        <v>31.991165188831694</v>
      </c>
      <c r="S178" s="28" t="str">
        <f>IF(COUNTBLANK(T178)=1,IF(R178&lt;=Config.!$D$10,"meta","nops"),"")</f>
        <v>nops</v>
      </c>
      <c r="T178" s="32"/>
    </row>
    <row r="179" spans="1:20" ht="20.100000000000001" customHeight="1">
      <c r="A179" s="22" t="s">
        <v>21</v>
      </c>
      <c r="B179" s="20">
        <v>176</v>
      </c>
      <c r="C179" s="57">
        <f>IF(COUNTBLANK(H178)=1,(C178*Config.!$D$12)+C178,(H178*Config.!$D$12)+H178)</f>
        <v>32.630988492608324</v>
      </c>
      <c r="D179" s="57">
        <f t="shared" si="12"/>
        <v>0.63982330377663033</v>
      </c>
      <c r="E179" s="67"/>
      <c r="F179" s="68" t="str">
        <f t="shared" si="10"/>
        <v>-</v>
      </c>
      <c r="G179" s="12" t="str">
        <f>IF(COUNTBLANK(H179)=1,IF(C179&lt;=Config.!$D$10,"meta","nops"),"")</f>
        <v>nops</v>
      </c>
      <c r="H179" s="58"/>
      <c r="I179" s="59" t="str">
        <f t="shared" si="13"/>
        <v/>
      </c>
      <c r="J179" s="59" t="str">
        <f t="shared" si="11"/>
        <v/>
      </c>
      <c r="K179" s="53" t="str">
        <f t="shared" si="14"/>
        <v/>
      </c>
      <c r="R179" s="27">
        <f>IF(COUNTBLANK(T178)=1,(R178*Config.!$D$12)+R178,(T178*Config.!$D$12)+T178)</f>
        <v>32.630988492608324</v>
      </c>
      <c r="S179" s="28" t="str">
        <f>IF(COUNTBLANK(T179)=1,IF(R179&lt;=Config.!$D$10,"meta","nops"),"")</f>
        <v>nops</v>
      </c>
      <c r="T179" s="32"/>
    </row>
    <row r="180" spans="1:20" ht="20.100000000000001" customHeight="1">
      <c r="A180" s="22" t="s">
        <v>21</v>
      </c>
      <c r="B180" s="20">
        <v>177</v>
      </c>
      <c r="C180" s="57">
        <f>IF(COUNTBLANK(H179)=1,(C179*Config.!$D$12)+C179,(H179*Config.!$D$12)+H179)</f>
        <v>33.28360826246049</v>
      </c>
      <c r="D180" s="57">
        <f t="shared" si="12"/>
        <v>0.65261976985216563</v>
      </c>
      <c r="E180" s="67"/>
      <c r="F180" s="68" t="str">
        <f t="shared" si="10"/>
        <v>-</v>
      </c>
      <c r="G180" s="12" t="str">
        <f>IF(COUNTBLANK(H180)=1,IF(C180&lt;=Config.!$D$10,"meta","nops"),"")</f>
        <v>nops</v>
      </c>
      <c r="H180" s="58"/>
      <c r="I180" s="59" t="str">
        <f t="shared" si="13"/>
        <v/>
      </c>
      <c r="J180" s="59" t="str">
        <f t="shared" si="11"/>
        <v/>
      </c>
      <c r="K180" s="53" t="str">
        <f t="shared" si="14"/>
        <v/>
      </c>
      <c r="R180" s="27">
        <f>IF(COUNTBLANK(T179)=1,(R179*Config.!$D$12)+R179,(T179*Config.!$D$12)+T179)</f>
        <v>33.28360826246049</v>
      </c>
      <c r="S180" s="28" t="str">
        <f>IF(COUNTBLANK(T180)=1,IF(R180&lt;=Config.!$D$10,"meta","nops"),"")</f>
        <v>nops</v>
      </c>
      <c r="T180" s="32"/>
    </row>
    <row r="181" spans="1:20" ht="20.100000000000001" customHeight="1">
      <c r="A181" s="22" t="s">
        <v>21</v>
      </c>
      <c r="B181" s="20">
        <v>178</v>
      </c>
      <c r="C181" s="57">
        <f>IF(COUNTBLANK(H180)=1,(C180*Config.!$D$12)+C180,(H180*Config.!$D$12)+H180)</f>
        <v>33.949280427709702</v>
      </c>
      <c r="D181" s="57">
        <f t="shared" si="12"/>
        <v>0.66567216524921236</v>
      </c>
      <c r="E181" s="67"/>
      <c r="F181" s="68" t="str">
        <f t="shared" si="10"/>
        <v>-</v>
      </c>
      <c r="G181" s="12" t="str">
        <f>IF(COUNTBLANK(H181)=1,IF(C181&lt;=Config.!$D$10,"meta","nops"),"")</f>
        <v>nops</v>
      </c>
      <c r="H181" s="58"/>
      <c r="I181" s="59" t="str">
        <f t="shared" si="13"/>
        <v/>
      </c>
      <c r="J181" s="59" t="str">
        <f t="shared" si="11"/>
        <v/>
      </c>
      <c r="K181" s="53" t="str">
        <f t="shared" si="14"/>
        <v/>
      </c>
      <c r="R181" s="27">
        <f>IF(COUNTBLANK(T180)=1,(R180*Config.!$D$12)+R180,(T180*Config.!$D$12)+T180)</f>
        <v>33.949280427709702</v>
      </c>
      <c r="S181" s="28" t="str">
        <f>IF(COUNTBLANK(T181)=1,IF(R181&lt;=Config.!$D$10,"meta","nops"),"")</f>
        <v>nops</v>
      </c>
      <c r="T181" s="32"/>
    </row>
    <row r="182" spans="1:20" ht="20.100000000000001" customHeight="1">
      <c r="A182" s="22" t="s">
        <v>21</v>
      </c>
      <c r="B182" s="20">
        <v>179</v>
      </c>
      <c r="C182" s="57">
        <f>IF(COUNTBLANK(H181)=1,(C181*Config.!$D$12)+C181,(H181*Config.!$D$12)+H181)</f>
        <v>34.628266036263895</v>
      </c>
      <c r="D182" s="57">
        <f t="shared" si="12"/>
        <v>0.67898560855419277</v>
      </c>
      <c r="E182" s="67"/>
      <c r="F182" s="68" t="str">
        <f t="shared" si="10"/>
        <v>-</v>
      </c>
      <c r="G182" s="12" t="str">
        <f>IF(COUNTBLANK(H182)=1,IF(C182&lt;=Config.!$D$10,"meta","nops"),"")</f>
        <v>nops</v>
      </c>
      <c r="H182" s="58"/>
      <c r="I182" s="59" t="str">
        <f t="shared" si="13"/>
        <v/>
      </c>
      <c r="J182" s="59" t="str">
        <f t="shared" si="11"/>
        <v/>
      </c>
      <c r="K182" s="53" t="str">
        <f t="shared" si="14"/>
        <v/>
      </c>
      <c r="R182" s="27">
        <f>IF(COUNTBLANK(T181)=1,(R181*Config.!$D$12)+R181,(T181*Config.!$D$12)+T181)</f>
        <v>34.628266036263895</v>
      </c>
      <c r="S182" s="28" t="str">
        <f>IF(COUNTBLANK(T182)=1,IF(R182&lt;=Config.!$D$10,"meta","nops"),"")</f>
        <v>nops</v>
      </c>
      <c r="T182" s="32"/>
    </row>
    <row r="183" spans="1:20" ht="20.100000000000001" customHeight="1">
      <c r="A183" s="22" t="s">
        <v>21</v>
      </c>
      <c r="B183" s="20">
        <v>180</v>
      </c>
      <c r="C183" s="57">
        <f>IF(COUNTBLANK(H182)=1,(C182*Config.!$D$12)+C182,(H182*Config.!$D$12)+H182)</f>
        <v>35.320831356989174</v>
      </c>
      <c r="D183" s="57">
        <f t="shared" si="12"/>
        <v>0.69256532072527932</v>
      </c>
      <c r="E183" s="67"/>
      <c r="F183" s="68" t="str">
        <f t="shared" si="10"/>
        <v>-</v>
      </c>
      <c r="G183" s="12" t="str">
        <f>IF(COUNTBLANK(H183)=1,IF(C183&lt;=Config.!$D$10,"meta","nops"),"")</f>
        <v>nops</v>
      </c>
      <c r="H183" s="58"/>
      <c r="I183" s="59" t="str">
        <f t="shared" si="13"/>
        <v/>
      </c>
      <c r="J183" s="59" t="str">
        <f t="shared" si="11"/>
        <v/>
      </c>
      <c r="K183" s="53" t="str">
        <f t="shared" si="14"/>
        <v/>
      </c>
      <c r="R183" s="27">
        <f>IF(COUNTBLANK(T182)=1,(R182*Config.!$D$12)+R182,(T182*Config.!$D$12)+T182)</f>
        <v>35.320831356989174</v>
      </c>
      <c r="S183" s="28" t="str">
        <f>IF(COUNTBLANK(T183)=1,IF(R183&lt;=Config.!$D$10,"meta","nops"),"")</f>
        <v>nops</v>
      </c>
      <c r="T183" s="32"/>
    </row>
    <row r="184" spans="1:20" ht="20.100000000000001" customHeight="1">
      <c r="A184" s="22" t="s">
        <v>21</v>
      </c>
      <c r="B184" s="20">
        <v>181</v>
      </c>
      <c r="C184" s="57">
        <f>IF(COUNTBLANK(H183)=1,(C183*Config.!$D$12)+C183,(H183*Config.!$D$12)+H183)</f>
        <v>36.027247984128955</v>
      </c>
      <c r="D184" s="57">
        <f t="shared" si="12"/>
        <v>0.70641662713978093</v>
      </c>
      <c r="E184" s="67"/>
      <c r="F184" s="68" t="str">
        <f t="shared" si="10"/>
        <v>-</v>
      </c>
      <c r="G184" s="12" t="str">
        <f>IF(COUNTBLANK(H184)=1,IF(C184&lt;=Config.!$D$10,"meta","nops"),"")</f>
        <v>nops</v>
      </c>
      <c r="H184" s="58"/>
      <c r="I184" s="59" t="str">
        <f t="shared" si="13"/>
        <v/>
      </c>
      <c r="J184" s="59" t="str">
        <f t="shared" si="11"/>
        <v/>
      </c>
      <c r="K184" s="53" t="str">
        <f t="shared" si="14"/>
        <v/>
      </c>
      <c r="R184" s="27">
        <f>IF(COUNTBLANK(T183)=1,(R183*Config.!$D$12)+R183,(T183*Config.!$D$12)+T183)</f>
        <v>36.027247984128955</v>
      </c>
      <c r="S184" s="28" t="str">
        <f>IF(COUNTBLANK(T184)=1,IF(R184&lt;=Config.!$D$10,"meta","nops"),"")</f>
        <v>nops</v>
      </c>
      <c r="T184" s="32"/>
    </row>
    <row r="185" spans="1:20" ht="20.100000000000001" customHeight="1">
      <c r="A185" s="22" t="s">
        <v>21</v>
      </c>
      <c r="B185" s="20">
        <v>182</v>
      </c>
      <c r="C185" s="57">
        <f>IF(COUNTBLANK(H184)=1,(C184*Config.!$D$12)+C184,(H184*Config.!$D$12)+H184)</f>
        <v>36.747792943811532</v>
      </c>
      <c r="D185" s="57">
        <f t="shared" si="12"/>
        <v>0.72054495968257726</v>
      </c>
      <c r="E185" s="67"/>
      <c r="F185" s="68" t="str">
        <f t="shared" si="10"/>
        <v>-</v>
      </c>
      <c r="G185" s="12" t="str">
        <f>IF(COUNTBLANK(H185)=1,IF(C185&lt;=Config.!$D$10,"meta","nops"),"")</f>
        <v>nops</v>
      </c>
      <c r="H185" s="58"/>
      <c r="I185" s="59" t="str">
        <f t="shared" si="13"/>
        <v/>
      </c>
      <c r="J185" s="59" t="str">
        <f t="shared" si="11"/>
        <v/>
      </c>
      <c r="K185" s="53" t="str">
        <f t="shared" si="14"/>
        <v/>
      </c>
      <c r="R185" s="27">
        <f>IF(COUNTBLANK(T184)=1,(R184*Config.!$D$12)+R184,(T184*Config.!$D$12)+T184)</f>
        <v>36.747792943811532</v>
      </c>
      <c r="S185" s="28" t="str">
        <f>IF(COUNTBLANK(T185)=1,IF(R185&lt;=Config.!$D$10,"meta","nops"),"")</f>
        <v>nops</v>
      </c>
      <c r="T185" s="32"/>
    </row>
    <row r="186" spans="1:20" ht="20.100000000000001" customHeight="1">
      <c r="A186" s="22" t="s">
        <v>21</v>
      </c>
      <c r="B186" s="20">
        <v>183</v>
      </c>
      <c r="C186" s="57">
        <f>IF(COUNTBLANK(H185)=1,(C185*Config.!$D$12)+C185,(H185*Config.!$D$12)+H185)</f>
        <v>37.482748802687766</v>
      </c>
      <c r="D186" s="57">
        <f t="shared" si="12"/>
        <v>0.73495585887623349</v>
      </c>
      <c r="E186" s="67"/>
      <c r="F186" s="68" t="str">
        <f t="shared" si="10"/>
        <v>-</v>
      </c>
      <c r="G186" s="12" t="str">
        <f>IF(COUNTBLANK(H186)=1,IF(C186&lt;=Config.!$D$10,"meta","nops"),"")</f>
        <v>nops</v>
      </c>
      <c r="H186" s="58"/>
      <c r="I186" s="59" t="str">
        <f t="shared" si="13"/>
        <v/>
      </c>
      <c r="J186" s="59" t="str">
        <f t="shared" si="11"/>
        <v/>
      </c>
      <c r="K186" s="53" t="str">
        <f t="shared" si="14"/>
        <v/>
      </c>
      <c r="R186" s="27">
        <f>IF(COUNTBLANK(T185)=1,(R185*Config.!$D$12)+R185,(T185*Config.!$D$12)+T185)</f>
        <v>37.482748802687766</v>
      </c>
      <c r="S186" s="28" t="str">
        <f>IF(COUNTBLANK(T186)=1,IF(R186&lt;=Config.!$D$10,"meta","nops"),"")</f>
        <v>nops</v>
      </c>
      <c r="T186" s="32"/>
    </row>
    <row r="187" spans="1:20" ht="20.100000000000001" customHeight="1">
      <c r="A187" s="22" t="s">
        <v>21</v>
      </c>
      <c r="B187" s="20">
        <v>184</v>
      </c>
      <c r="C187" s="57">
        <f>IF(COUNTBLANK(H186)=1,(C186*Config.!$D$12)+C186,(H186*Config.!$D$12)+H186)</f>
        <v>38.232403778741521</v>
      </c>
      <c r="D187" s="57">
        <f t="shared" si="12"/>
        <v>0.74965497605375475</v>
      </c>
      <c r="E187" s="67"/>
      <c r="F187" s="68" t="str">
        <f t="shared" si="10"/>
        <v>-</v>
      </c>
      <c r="G187" s="12" t="str">
        <f>IF(COUNTBLANK(H187)=1,IF(C187&lt;=Config.!$D$10,"meta","nops"),"")</f>
        <v>nops</v>
      </c>
      <c r="H187" s="58"/>
      <c r="I187" s="59" t="str">
        <f t="shared" si="13"/>
        <v/>
      </c>
      <c r="J187" s="59" t="str">
        <f t="shared" si="11"/>
        <v/>
      </c>
      <c r="K187" s="53" t="str">
        <f t="shared" si="14"/>
        <v/>
      </c>
      <c r="R187" s="27">
        <f>IF(COUNTBLANK(T186)=1,(R186*Config.!$D$12)+R186,(T186*Config.!$D$12)+T186)</f>
        <v>38.232403778741521</v>
      </c>
      <c r="S187" s="28" t="str">
        <f>IF(COUNTBLANK(T187)=1,IF(R187&lt;=Config.!$D$10,"meta","nops"),"")</f>
        <v>nops</v>
      </c>
      <c r="T187" s="32"/>
    </row>
    <row r="188" spans="1:20" ht="20.100000000000001" customHeight="1">
      <c r="A188" s="22" t="s">
        <v>21</v>
      </c>
      <c r="B188" s="20">
        <v>185</v>
      </c>
      <c r="C188" s="57">
        <f>IF(COUNTBLANK(H187)=1,(C187*Config.!$D$12)+C187,(H187*Config.!$D$12)+H187)</f>
        <v>38.997051854316354</v>
      </c>
      <c r="D188" s="57">
        <f t="shared" si="12"/>
        <v>0.76464807557483283</v>
      </c>
      <c r="E188" s="67"/>
      <c r="F188" s="68" t="str">
        <f t="shared" si="10"/>
        <v>-</v>
      </c>
      <c r="G188" s="12" t="str">
        <f>IF(COUNTBLANK(H188)=1,IF(C188&lt;=Config.!$D$10,"meta","nops"),"")</f>
        <v>nops</v>
      </c>
      <c r="H188" s="58"/>
      <c r="I188" s="59" t="str">
        <f t="shared" si="13"/>
        <v/>
      </c>
      <c r="J188" s="59" t="str">
        <f t="shared" si="11"/>
        <v/>
      </c>
      <c r="K188" s="53" t="str">
        <f t="shared" si="14"/>
        <v/>
      </c>
      <c r="R188" s="27">
        <f>IF(COUNTBLANK(T187)=1,(R187*Config.!$D$12)+R187,(T187*Config.!$D$12)+T187)</f>
        <v>38.997051854316354</v>
      </c>
      <c r="S188" s="28" t="str">
        <f>IF(COUNTBLANK(T188)=1,IF(R188&lt;=Config.!$D$10,"meta","nops"),"")</f>
        <v>nops</v>
      </c>
      <c r="T188" s="32"/>
    </row>
    <row r="189" spans="1:20" ht="20.100000000000001" customHeight="1">
      <c r="A189" s="22" t="s">
        <v>21</v>
      </c>
      <c r="B189" s="20">
        <v>186</v>
      </c>
      <c r="C189" s="57">
        <f>IF(COUNTBLANK(H188)=1,(C188*Config.!$D$12)+C188,(H188*Config.!$D$12)+H188)</f>
        <v>39.776992891402678</v>
      </c>
      <c r="D189" s="57">
        <f t="shared" si="12"/>
        <v>0.77994103708632423</v>
      </c>
      <c r="E189" s="67"/>
      <c r="F189" s="68" t="str">
        <f t="shared" si="10"/>
        <v>-</v>
      </c>
      <c r="G189" s="12" t="str">
        <f>IF(COUNTBLANK(H189)=1,IF(C189&lt;=Config.!$D$10,"meta","nops"),"")</f>
        <v>nops</v>
      </c>
      <c r="H189" s="58"/>
      <c r="I189" s="59" t="str">
        <f t="shared" si="13"/>
        <v/>
      </c>
      <c r="J189" s="59" t="str">
        <f t="shared" si="11"/>
        <v/>
      </c>
      <c r="K189" s="53" t="str">
        <f t="shared" si="14"/>
        <v/>
      </c>
      <c r="R189" s="27">
        <f>IF(COUNTBLANK(T188)=1,(R188*Config.!$D$12)+R188,(T188*Config.!$D$12)+T188)</f>
        <v>39.776992891402678</v>
      </c>
      <c r="S189" s="28" t="str">
        <f>IF(COUNTBLANK(T189)=1,IF(R189&lt;=Config.!$D$10,"meta","nops"),"")</f>
        <v>nops</v>
      </c>
      <c r="T189" s="32"/>
    </row>
    <row r="190" spans="1:20" ht="20.100000000000001" customHeight="1">
      <c r="A190" s="22" t="s">
        <v>21</v>
      </c>
      <c r="B190" s="20">
        <v>187</v>
      </c>
      <c r="C190" s="57">
        <f>IF(COUNTBLANK(H189)=1,(C189*Config.!$D$12)+C189,(H189*Config.!$D$12)+H189)</f>
        <v>40.572532749230731</v>
      </c>
      <c r="D190" s="57">
        <f t="shared" si="12"/>
        <v>0.7955398578280537</v>
      </c>
      <c r="E190" s="67"/>
      <c r="F190" s="68" t="str">
        <f t="shared" si="10"/>
        <v>-</v>
      </c>
      <c r="G190" s="12" t="str">
        <f>IF(COUNTBLANK(H190)=1,IF(C190&lt;=Config.!$D$10,"meta","nops"),"")</f>
        <v>nops</v>
      </c>
      <c r="H190" s="58"/>
      <c r="I190" s="59" t="str">
        <f t="shared" si="13"/>
        <v/>
      </c>
      <c r="J190" s="59" t="str">
        <f t="shared" si="11"/>
        <v/>
      </c>
      <c r="K190" s="53" t="str">
        <f t="shared" si="14"/>
        <v/>
      </c>
      <c r="R190" s="27">
        <f>IF(COUNTBLANK(T189)=1,(R189*Config.!$D$12)+R189,(T189*Config.!$D$12)+T189)</f>
        <v>40.572532749230731</v>
      </c>
      <c r="S190" s="28" t="str">
        <f>IF(COUNTBLANK(T190)=1,IF(R190&lt;=Config.!$D$10,"meta","nops"),"")</f>
        <v>nops</v>
      </c>
      <c r="T190" s="32"/>
    </row>
    <row r="191" spans="1:20" ht="20.100000000000001" customHeight="1">
      <c r="A191" s="22" t="s">
        <v>21</v>
      </c>
      <c r="B191" s="20">
        <v>188</v>
      </c>
      <c r="C191" s="57">
        <f>IF(COUNTBLANK(H190)=1,(C190*Config.!$D$12)+C190,(H190*Config.!$D$12)+H190)</f>
        <v>41.383983404215343</v>
      </c>
      <c r="D191" s="57">
        <f t="shared" si="12"/>
        <v>0.81145065498461122</v>
      </c>
      <c r="E191" s="67"/>
      <c r="F191" s="68" t="str">
        <f t="shared" si="10"/>
        <v>-</v>
      </c>
      <c r="G191" s="12" t="str">
        <f>IF(COUNTBLANK(H191)=1,IF(C191&lt;=Config.!$D$10,"meta","nops"),"")</f>
        <v>nops</v>
      </c>
      <c r="H191" s="58"/>
      <c r="I191" s="59" t="str">
        <f t="shared" si="13"/>
        <v/>
      </c>
      <c r="J191" s="59" t="str">
        <f t="shared" si="11"/>
        <v/>
      </c>
      <c r="K191" s="53" t="str">
        <f t="shared" si="14"/>
        <v/>
      </c>
      <c r="R191" s="27">
        <f>IF(COUNTBLANK(T190)=1,(R190*Config.!$D$12)+R190,(T190*Config.!$D$12)+T190)</f>
        <v>41.383983404215343</v>
      </c>
      <c r="S191" s="28" t="str">
        <f>IF(COUNTBLANK(T191)=1,IF(R191&lt;=Config.!$D$10,"meta","nops"),"")</f>
        <v>nops</v>
      </c>
      <c r="T191" s="32"/>
    </row>
    <row r="192" spans="1:20" ht="20.100000000000001" customHeight="1">
      <c r="A192" s="22" t="s">
        <v>21</v>
      </c>
      <c r="B192" s="20">
        <v>189</v>
      </c>
      <c r="C192" s="57">
        <f>IF(COUNTBLANK(H191)=1,(C191*Config.!$D$12)+C191,(H191*Config.!$D$12)+H191)</f>
        <v>42.21166307229965</v>
      </c>
      <c r="D192" s="57">
        <f t="shared" si="12"/>
        <v>0.82767966808430771</v>
      </c>
      <c r="E192" s="67"/>
      <c r="F192" s="68" t="str">
        <f t="shared" si="10"/>
        <v>-</v>
      </c>
      <c r="G192" s="12" t="str">
        <f>IF(COUNTBLANK(H192)=1,IF(C192&lt;=Config.!$D$10,"meta","nops"),"")</f>
        <v>nops</v>
      </c>
      <c r="H192" s="58"/>
      <c r="I192" s="59" t="str">
        <f t="shared" si="13"/>
        <v/>
      </c>
      <c r="J192" s="59" t="str">
        <f t="shared" si="11"/>
        <v/>
      </c>
      <c r="K192" s="53" t="str">
        <f t="shared" si="14"/>
        <v/>
      </c>
      <c r="R192" s="27">
        <f>IF(COUNTBLANK(T191)=1,(R191*Config.!$D$12)+R191,(T191*Config.!$D$12)+T191)</f>
        <v>42.21166307229965</v>
      </c>
      <c r="S192" s="28" t="str">
        <f>IF(COUNTBLANK(T192)=1,IF(R192&lt;=Config.!$D$10,"meta","nops"),"")</f>
        <v>nops</v>
      </c>
      <c r="T192" s="32"/>
    </row>
    <row r="193" spans="1:20" ht="20.100000000000001" customHeight="1">
      <c r="A193" s="22" t="s">
        <v>21</v>
      </c>
      <c r="B193" s="20">
        <v>190</v>
      </c>
      <c r="C193" s="57">
        <f>IF(COUNTBLANK(H192)=1,(C192*Config.!$D$12)+C192,(H192*Config.!$D$12)+H192)</f>
        <v>43.055896333745643</v>
      </c>
      <c r="D193" s="57">
        <f t="shared" si="12"/>
        <v>0.84423326144599287</v>
      </c>
      <c r="E193" s="67"/>
      <c r="F193" s="68" t="str">
        <f t="shared" si="10"/>
        <v>-</v>
      </c>
      <c r="G193" s="12" t="str">
        <f>IF(COUNTBLANK(H193)=1,IF(C193&lt;=Config.!$D$10,"meta","nops"),"")</f>
        <v>nops</v>
      </c>
      <c r="H193" s="58"/>
      <c r="I193" s="59" t="str">
        <f t="shared" si="13"/>
        <v/>
      </c>
      <c r="J193" s="59" t="str">
        <f t="shared" si="11"/>
        <v/>
      </c>
      <c r="K193" s="53" t="str">
        <f t="shared" si="14"/>
        <v/>
      </c>
      <c r="R193" s="27">
        <f>IF(COUNTBLANK(T192)=1,(R192*Config.!$D$12)+R192,(T192*Config.!$D$12)+T192)</f>
        <v>43.055896333745643</v>
      </c>
      <c r="S193" s="28" t="str">
        <f>IF(COUNTBLANK(T193)=1,IF(R193&lt;=Config.!$D$10,"meta","nops"),"")</f>
        <v>nops</v>
      </c>
      <c r="T193" s="32"/>
    </row>
    <row r="194" spans="1:20" ht="20.100000000000001" customHeight="1">
      <c r="A194" s="22" t="s">
        <v>21</v>
      </c>
      <c r="B194" s="20">
        <v>191</v>
      </c>
      <c r="C194" s="57">
        <f>IF(COUNTBLANK(H193)=1,(C193*Config.!$D$12)+C193,(H193*Config.!$D$12)+H193)</f>
        <v>43.917014260420558</v>
      </c>
      <c r="D194" s="57">
        <f t="shared" si="12"/>
        <v>0.86111792667491471</v>
      </c>
      <c r="E194" s="67"/>
      <c r="F194" s="68" t="str">
        <f t="shared" si="10"/>
        <v>-</v>
      </c>
      <c r="G194" s="12" t="str">
        <f>IF(COUNTBLANK(H194)=1,IF(C194&lt;=Config.!$D$10,"meta","nops"),"")</f>
        <v>nops</v>
      </c>
      <c r="H194" s="58"/>
      <c r="I194" s="59" t="str">
        <f t="shared" si="13"/>
        <v/>
      </c>
      <c r="J194" s="59" t="str">
        <f t="shared" si="11"/>
        <v/>
      </c>
      <c r="K194" s="53" t="str">
        <f t="shared" si="14"/>
        <v/>
      </c>
      <c r="R194" s="27">
        <f>IF(COUNTBLANK(T193)=1,(R193*Config.!$D$12)+R193,(T193*Config.!$D$12)+T193)</f>
        <v>43.917014260420558</v>
      </c>
      <c r="S194" s="28" t="str">
        <f>IF(COUNTBLANK(T194)=1,IF(R194&lt;=Config.!$D$10,"meta","nops"),"")</f>
        <v>nops</v>
      </c>
      <c r="T194" s="32"/>
    </row>
    <row r="195" spans="1:20" ht="20.100000000000001" customHeight="1">
      <c r="A195" s="22" t="s">
        <v>21</v>
      </c>
      <c r="B195" s="20">
        <v>192</v>
      </c>
      <c r="C195" s="57">
        <f>IF(COUNTBLANK(H194)=1,(C194*Config.!$D$12)+C194,(H194*Config.!$D$12)+H194)</f>
        <v>44.795354545628967</v>
      </c>
      <c r="D195" s="57">
        <f t="shared" si="12"/>
        <v>0.87834028520840945</v>
      </c>
      <c r="E195" s="67"/>
      <c r="F195" s="68" t="str">
        <f t="shared" si="10"/>
        <v>-</v>
      </c>
      <c r="G195" s="12" t="str">
        <f>IF(COUNTBLANK(H195)=1,IF(C195&lt;=Config.!$D$10,"meta","nops"),"")</f>
        <v>nops</v>
      </c>
      <c r="H195" s="58"/>
      <c r="I195" s="59" t="str">
        <f t="shared" si="13"/>
        <v/>
      </c>
      <c r="J195" s="59" t="str">
        <f t="shared" si="11"/>
        <v/>
      </c>
      <c r="K195" s="53" t="str">
        <f t="shared" si="14"/>
        <v/>
      </c>
      <c r="R195" s="27">
        <f>IF(COUNTBLANK(T194)=1,(R194*Config.!$D$12)+R194,(T194*Config.!$D$12)+T194)</f>
        <v>44.795354545628967</v>
      </c>
      <c r="S195" s="28" t="str">
        <f>IF(COUNTBLANK(T195)=1,IF(R195&lt;=Config.!$D$10,"meta","nops"),"")</f>
        <v>nops</v>
      </c>
      <c r="T195" s="32"/>
    </row>
    <row r="196" spans="1:20" ht="20.100000000000001" customHeight="1">
      <c r="A196" s="22" t="s">
        <v>21</v>
      </c>
      <c r="B196" s="20">
        <v>193</v>
      </c>
      <c r="C196" s="57">
        <f>IF(COUNTBLANK(H195)=1,(C195*Config.!$D$12)+C195,(H195*Config.!$D$12)+H195)</f>
        <v>45.691261636541547</v>
      </c>
      <c r="D196" s="57">
        <f t="shared" si="12"/>
        <v>0.89590709091257992</v>
      </c>
      <c r="E196" s="67"/>
      <c r="F196" s="68" t="str">
        <f t="shared" si="10"/>
        <v>-</v>
      </c>
      <c r="G196" s="12" t="str">
        <f>IF(COUNTBLANK(H196)=1,IF(C196&lt;=Config.!$D$10,"meta","nops"),"")</f>
        <v>nops</v>
      </c>
      <c r="H196" s="58"/>
      <c r="I196" s="59" t="str">
        <f t="shared" si="13"/>
        <v/>
      </c>
      <c r="J196" s="59" t="str">
        <f t="shared" si="11"/>
        <v/>
      </c>
      <c r="K196" s="53" t="str">
        <f t="shared" si="14"/>
        <v/>
      </c>
      <c r="R196" s="27">
        <f>IF(COUNTBLANK(T195)=1,(R195*Config.!$D$12)+R195,(T195*Config.!$D$12)+T195)</f>
        <v>45.691261636541547</v>
      </c>
      <c r="S196" s="28" t="str">
        <f>IF(COUNTBLANK(T196)=1,IF(R196&lt;=Config.!$D$10,"meta","nops"),"")</f>
        <v>nops</v>
      </c>
      <c r="T196" s="32"/>
    </row>
    <row r="197" spans="1:20" ht="20.100000000000001" customHeight="1">
      <c r="A197" s="22" t="s">
        <v>21</v>
      </c>
      <c r="B197" s="20">
        <v>194</v>
      </c>
      <c r="C197" s="57">
        <f>IF(COUNTBLANK(H196)=1,(C196*Config.!$D$12)+C196,(H196*Config.!$D$12)+H196)</f>
        <v>46.605086869272377</v>
      </c>
      <c r="D197" s="57">
        <f t="shared" si="12"/>
        <v>0.91382523273082938</v>
      </c>
      <c r="E197" s="67"/>
      <c r="F197" s="68" t="str">
        <f t="shared" ref="F197:F260" si="15">IF(COUNTBLANK(E197)=0,(D197/E197)/$E$3,"-")</f>
        <v>-</v>
      </c>
      <c r="G197" s="12" t="str">
        <f>IF(COUNTBLANK(H197)=1,IF(C197&lt;=Config.!$D$10,"meta","nops"),"")</f>
        <v>nops</v>
      </c>
      <c r="H197" s="58"/>
      <c r="I197" s="59" t="str">
        <f t="shared" si="13"/>
        <v/>
      </c>
      <c r="J197" s="59" t="str">
        <f t="shared" ref="J197:J260" si="16">IF(I197="","",I197-D197)</f>
        <v/>
      </c>
      <c r="K197" s="53" t="str">
        <f t="shared" si="14"/>
        <v/>
      </c>
      <c r="R197" s="27">
        <f>IF(COUNTBLANK(T196)=1,(R196*Config.!$D$12)+R196,(T196*Config.!$D$12)+T196)</f>
        <v>46.605086869272377</v>
      </c>
      <c r="S197" s="28" t="str">
        <f>IF(COUNTBLANK(T197)=1,IF(R197&lt;=Config.!$D$10,"meta","nops"),"")</f>
        <v>nops</v>
      </c>
      <c r="T197" s="32"/>
    </row>
    <row r="198" spans="1:20" ht="20.100000000000001" customHeight="1">
      <c r="A198" s="22" t="s">
        <v>21</v>
      </c>
      <c r="B198" s="20">
        <v>195</v>
      </c>
      <c r="C198" s="57">
        <f>IF(COUNTBLANK(H197)=1,(C197*Config.!$D$12)+C197,(H197*Config.!$D$12)+H197)</f>
        <v>47.537188606657821</v>
      </c>
      <c r="D198" s="57">
        <f t="shared" ref="D198:D261" si="17">IF(COUNTBLANK(H197)=1,C198-C197,C198-H197)</f>
        <v>0.93210173738544455</v>
      </c>
      <c r="E198" s="67"/>
      <c r="F198" s="68" t="str">
        <f t="shared" si="15"/>
        <v>-</v>
      </c>
      <c r="G198" s="12" t="str">
        <f>IF(COUNTBLANK(H198)=1,IF(C198&lt;=Config.!$D$10,"meta","nops"),"")</f>
        <v>nops</v>
      </c>
      <c r="H198" s="58"/>
      <c r="I198" s="59" t="str">
        <f t="shared" ref="I198:I261" si="18">IF(COUNTBLANK(H198)=1,"",H198-H197)</f>
        <v/>
      </c>
      <c r="J198" s="59" t="str">
        <f t="shared" si="16"/>
        <v/>
      </c>
      <c r="K198" s="53" t="str">
        <f t="shared" ref="K198:K261" si="19">IF(COUNTBLANK(H198)=1,"",(H198-H197)/H197)</f>
        <v/>
      </c>
      <c r="R198" s="27">
        <f>IF(COUNTBLANK(T197)=1,(R197*Config.!$D$12)+R197,(T197*Config.!$D$12)+T197)</f>
        <v>47.537188606657821</v>
      </c>
      <c r="S198" s="28" t="str">
        <f>IF(COUNTBLANK(T198)=1,IF(R198&lt;=Config.!$D$10,"meta","nops"),"")</f>
        <v>nops</v>
      </c>
      <c r="T198" s="32"/>
    </row>
    <row r="199" spans="1:20" ht="20.100000000000001" customHeight="1">
      <c r="A199" s="22" t="s">
        <v>21</v>
      </c>
      <c r="B199" s="20">
        <v>196</v>
      </c>
      <c r="C199" s="57">
        <f>IF(COUNTBLANK(H198)=1,(C198*Config.!$D$12)+C198,(H198*Config.!$D$12)+H198)</f>
        <v>48.48793237879098</v>
      </c>
      <c r="D199" s="57">
        <f t="shared" si="17"/>
        <v>0.95074377213315842</v>
      </c>
      <c r="E199" s="67"/>
      <c r="F199" s="68" t="str">
        <f t="shared" si="15"/>
        <v>-</v>
      </c>
      <c r="G199" s="12" t="str">
        <f>IF(COUNTBLANK(H199)=1,IF(C199&lt;=Config.!$D$10,"meta","nops"),"")</f>
        <v>nops</v>
      </c>
      <c r="H199" s="58"/>
      <c r="I199" s="59" t="str">
        <f t="shared" si="18"/>
        <v/>
      </c>
      <c r="J199" s="59" t="str">
        <f t="shared" si="16"/>
        <v/>
      </c>
      <c r="K199" s="53" t="str">
        <f t="shared" si="19"/>
        <v/>
      </c>
      <c r="R199" s="27">
        <f>IF(COUNTBLANK(T198)=1,(R198*Config.!$D$12)+R198,(T198*Config.!$D$12)+T198)</f>
        <v>48.48793237879098</v>
      </c>
      <c r="S199" s="28" t="str">
        <f>IF(COUNTBLANK(T199)=1,IF(R199&lt;=Config.!$D$10,"meta","nops"),"")</f>
        <v>nops</v>
      </c>
      <c r="T199" s="32"/>
    </row>
    <row r="200" spans="1:20" ht="20.100000000000001" customHeight="1">
      <c r="A200" s="22" t="s">
        <v>21</v>
      </c>
      <c r="B200" s="20">
        <v>197</v>
      </c>
      <c r="C200" s="57">
        <f>IF(COUNTBLANK(H199)=1,(C199*Config.!$D$12)+C199,(H199*Config.!$D$12)+H199)</f>
        <v>49.457691026366803</v>
      </c>
      <c r="D200" s="57">
        <f t="shared" si="17"/>
        <v>0.96975864757582286</v>
      </c>
      <c r="E200" s="67"/>
      <c r="F200" s="68" t="str">
        <f t="shared" si="15"/>
        <v>-</v>
      </c>
      <c r="G200" s="12" t="str">
        <f>IF(COUNTBLANK(H200)=1,IF(C200&lt;=Config.!$D$10,"meta","nops"),"")</f>
        <v>nops</v>
      </c>
      <c r="H200" s="58"/>
      <c r="I200" s="59" t="str">
        <f t="shared" si="18"/>
        <v/>
      </c>
      <c r="J200" s="59" t="str">
        <f t="shared" si="16"/>
        <v/>
      </c>
      <c r="K200" s="53" t="str">
        <f t="shared" si="19"/>
        <v/>
      </c>
      <c r="R200" s="27">
        <f>IF(COUNTBLANK(T199)=1,(R199*Config.!$D$12)+R199,(T199*Config.!$D$12)+T199)</f>
        <v>49.457691026366803</v>
      </c>
      <c r="S200" s="28" t="str">
        <f>IF(COUNTBLANK(T200)=1,IF(R200&lt;=Config.!$D$10,"meta","nops"),"")</f>
        <v>nops</v>
      </c>
      <c r="T200" s="32"/>
    </row>
    <row r="201" spans="1:20" ht="20.100000000000001" customHeight="1">
      <c r="A201" s="22" t="s">
        <v>21</v>
      </c>
      <c r="B201" s="20">
        <v>198</v>
      </c>
      <c r="C201" s="57">
        <f>IF(COUNTBLANK(H200)=1,(C200*Config.!$D$12)+C200,(H200*Config.!$D$12)+H200)</f>
        <v>50.446844846894138</v>
      </c>
      <c r="D201" s="57">
        <f t="shared" si="17"/>
        <v>0.98915382052733491</v>
      </c>
      <c r="E201" s="67"/>
      <c r="F201" s="68" t="str">
        <f t="shared" si="15"/>
        <v>-</v>
      </c>
      <c r="G201" s="12" t="str">
        <f>IF(COUNTBLANK(H201)=1,IF(C201&lt;=Config.!$D$10,"meta","nops"),"")</f>
        <v>nops</v>
      </c>
      <c r="H201" s="58"/>
      <c r="I201" s="59" t="str">
        <f t="shared" si="18"/>
        <v/>
      </c>
      <c r="J201" s="59" t="str">
        <f t="shared" si="16"/>
        <v/>
      </c>
      <c r="K201" s="53" t="str">
        <f t="shared" si="19"/>
        <v/>
      </c>
      <c r="R201" s="27">
        <f>IF(COUNTBLANK(T200)=1,(R200*Config.!$D$12)+R200,(T200*Config.!$D$12)+T200)</f>
        <v>50.446844846894138</v>
      </c>
      <c r="S201" s="28" t="str">
        <f>IF(COUNTBLANK(T201)=1,IF(R201&lt;=Config.!$D$10,"meta","nops"),"")</f>
        <v>nops</v>
      </c>
      <c r="T201" s="32"/>
    </row>
    <row r="202" spans="1:20" ht="20.100000000000001" customHeight="1">
      <c r="A202" s="22" t="s">
        <v>21</v>
      </c>
      <c r="B202" s="20">
        <v>199</v>
      </c>
      <c r="C202" s="57">
        <f>IF(COUNTBLANK(H201)=1,(C201*Config.!$D$12)+C201,(H201*Config.!$D$12)+H201)</f>
        <v>51.45578174383202</v>
      </c>
      <c r="D202" s="57">
        <f t="shared" si="17"/>
        <v>1.0089368969378825</v>
      </c>
      <c r="E202" s="67"/>
      <c r="F202" s="68" t="str">
        <f t="shared" si="15"/>
        <v>-</v>
      </c>
      <c r="G202" s="12" t="str">
        <f>IF(COUNTBLANK(H202)=1,IF(C202&lt;=Config.!$D$10,"meta","nops"),"")</f>
        <v>nops</v>
      </c>
      <c r="H202" s="58"/>
      <c r="I202" s="59" t="str">
        <f t="shared" si="18"/>
        <v/>
      </c>
      <c r="J202" s="59" t="str">
        <f t="shared" si="16"/>
        <v/>
      </c>
      <c r="K202" s="53" t="str">
        <f t="shared" si="19"/>
        <v/>
      </c>
      <c r="R202" s="27">
        <f>IF(COUNTBLANK(T201)=1,(R201*Config.!$D$12)+R201,(T201*Config.!$D$12)+T201)</f>
        <v>51.45578174383202</v>
      </c>
      <c r="S202" s="28" t="str">
        <f>IF(COUNTBLANK(T202)=1,IF(R202&lt;=Config.!$D$10,"meta","nops"),"")</f>
        <v>nops</v>
      </c>
      <c r="T202" s="32"/>
    </row>
    <row r="203" spans="1:20" ht="20.100000000000001" customHeight="1">
      <c r="A203" s="22" t="s">
        <v>21</v>
      </c>
      <c r="B203" s="20">
        <v>200</v>
      </c>
      <c r="C203" s="57">
        <f>IF(COUNTBLANK(H202)=1,(C202*Config.!$D$12)+C202,(H202*Config.!$D$12)+H202)</f>
        <v>52.484897378708659</v>
      </c>
      <c r="D203" s="57">
        <f t="shared" si="17"/>
        <v>1.0291156348766393</v>
      </c>
      <c r="E203" s="67"/>
      <c r="F203" s="68" t="str">
        <f t="shared" si="15"/>
        <v>-</v>
      </c>
      <c r="G203" s="12" t="str">
        <f>IF(COUNTBLANK(H203)=1,IF(C203&lt;=Config.!$D$10,"meta","nops"),"")</f>
        <v>nops</v>
      </c>
      <c r="H203" s="58"/>
      <c r="I203" s="59" t="str">
        <f t="shared" si="18"/>
        <v/>
      </c>
      <c r="J203" s="59" t="str">
        <f t="shared" si="16"/>
        <v/>
      </c>
      <c r="K203" s="53" t="str">
        <f t="shared" si="19"/>
        <v/>
      </c>
      <c r="R203" s="27">
        <f>IF(COUNTBLANK(T202)=1,(R202*Config.!$D$12)+R202,(T202*Config.!$D$12)+T202)</f>
        <v>52.484897378708659</v>
      </c>
      <c r="S203" s="28" t="str">
        <f>IF(COUNTBLANK(T203)=1,IF(R203&lt;=Config.!$D$10,"meta","nops"),"")</f>
        <v>nops</v>
      </c>
      <c r="T203" s="32"/>
    </row>
    <row r="204" spans="1:20" ht="20.100000000000001" customHeight="1">
      <c r="A204" s="22" t="s">
        <v>21</v>
      </c>
      <c r="B204" s="20">
        <v>201</v>
      </c>
      <c r="C204" s="57">
        <f>IF(COUNTBLANK(H203)=1,(C203*Config.!$D$12)+C203,(H203*Config.!$D$12)+H203)</f>
        <v>53.534595326282833</v>
      </c>
      <c r="D204" s="57">
        <f t="shared" si="17"/>
        <v>1.0496979475741739</v>
      </c>
      <c r="E204" s="67"/>
      <c r="F204" s="68" t="str">
        <f t="shared" si="15"/>
        <v>-</v>
      </c>
      <c r="G204" s="12" t="str">
        <f>IF(COUNTBLANK(H204)=1,IF(C204&lt;=Config.!$D$10,"meta","nops"),"")</f>
        <v>nops</v>
      </c>
      <c r="H204" s="58"/>
      <c r="I204" s="59" t="str">
        <f t="shared" si="18"/>
        <v/>
      </c>
      <c r="J204" s="59" t="str">
        <f t="shared" si="16"/>
        <v/>
      </c>
      <c r="K204" s="53" t="str">
        <f t="shared" si="19"/>
        <v/>
      </c>
      <c r="R204" s="27">
        <f>IF(COUNTBLANK(T203)=1,(R203*Config.!$D$12)+R203,(T203*Config.!$D$12)+T203)</f>
        <v>53.534595326282833</v>
      </c>
      <c r="S204" s="28" t="str">
        <f>IF(COUNTBLANK(T204)=1,IF(R204&lt;=Config.!$D$10,"meta","nops"),"")</f>
        <v>nops</v>
      </c>
      <c r="T204" s="32"/>
    </row>
    <row r="205" spans="1:20" ht="20.100000000000001" customHeight="1">
      <c r="A205" s="22" t="s">
        <v>21</v>
      </c>
      <c r="B205" s="20">
        <v>202</v>
      </c>
      <c r="C205" s="57">
        <f>IF(COUNTBLANK(H204)=1,(C204*Config.!$D$12)+C204,(H204*Config.!$D$12)+H204)</f>
        <v>54.605287232808493</v>
      </c>
      <c r="D205" s="57">
        <f t="shared" si="17"/>
        <v>1.0706919065256599</v>
      </c>
      <c r="E205" s="67"/>
      <c r="F205" s="68" t="str">
        <f t="shared" si="15"/>
        <v>-</v>
      </c>
      <c r="G205" s="12" t="str">
        <f>IF(COUNTBLANK(H205)=1,IF(C205&lt;=Config.!$D$10,"meta","nops"),"")</f>
        <v>nops</v>
      </c>
      <c r="H205" s="58"/>
      <c r="I205" s="59" t="str">
        <f t="shared" si="18"/>
        <v/>
      </c>
      <c r="J205" s="59" t="str">
        <f t="shared" si="16"/>
        <v/>
      </c>
      <c r="K205" s="53" t="str">
        <f t="shared" si="19"/>
        <v/>
      </c>
      <c r="R205" s="27">
        <f>IF(COUNTBLANK(T204)=1,(R204*Config.!$D$12)+R204,(T204*Config.!$D$12)+T204)</f>
        <v>54.605287232808493</v>
      </c>
      <c r="S205" s="28" t="str">
        <f>IF(COUNTBLANK(T205)=1,IF(R205&lt;=Config.!$D$10,"meta","nops"),"")</f>
        <v>nops</v>
      </c>
      <c r="T205" s="32"/>
    </row>
    <row r="206" spans="1:20" ht="20.100000000000001" customHeight="1">
      <c r="A206" s="22" t="s">
        <v>21</v>
      </c>
      <c r="B206" s="20">
        <v>203</v>
      </c>
      <c r="C206" s="57">
        <f>IF(COUNTBLANK(H205)=1,(C205*Config.!$D$12)+C205,(H205*Config.!$D$12)+H205)</f>
        <v>55.697392977464666</v>
      </c>
      <c r="D206" s="57">
        <f t="shared" si="17"/>
        <v>1.0921057446561733</v>
      </c>
      <c r="E206" s="67"/>
      <c r="F206" s="68" t="str">
        <f t="shared" si="15"/>
        <v>-</v>
      </c>
      <c r="G206" s="12" t="str">
        <f>IF(COUNTBLANK(H206)=1,IF(C206&lt;=Config.!$D$10,"meta","nops"),"")</f>
        <v>nops</v>
      </c>
      <c r="H206" s="58"/>
      <c r="I206" s="59" t="str">
        <f t="shared" si="18"/>
        <v/>
      </c>
      <c r="J206" s="59" t="str">
        <f t="shared" si="16"/>
        <v/>
      </c>
      <c r="K206" s="53" t="str">
        <f t="shared" si="19"/>
        <v/>
      </c>
      <c r="R206" s="27">
        <f>IF(COUNTBLANK(T205)=1,(R205*Config.!$D$12)+R205,(T205*Config.!$D$12)+T205)</f>
        <v>55.697392977464666</v>
      </c>
      <c r="S206" s="28" t="str">
        <f>IF(COUNTBLANK(T206)=1,IF(R206&lt;=Config.!$D$10,"meta","nops"),"")</f>
        <v>nops</v>
      </c>
      <c r="T206" s="32"/>
    </row>
    <row r="207" spans="1:20" ht="20.100000000000001" customHeight="1">
      <c r="A207" s="22" t="s">
        <v>21</v>
      </c>
      <c r="B207" s="20">
        <v>204</v>
      </c>
      <c r="C207" s="57">
        <f>IF(COUNTBLANK(H206)=1,(C206*Config.!$D$12)+C206,(H206*Config.!$D$12)+H206)</f>
        <v>56.811340837013958</v>
      </c>
      <c r="D207" s="57">
        <f t="shared" si="17"/>
        <v>1.1139478595492918</v>
      </c>
      <c r="E207" s="67"/>
      <c r="F207" s="68" t="str">
        <f t="shared" si="15"/>
        <v>-</v>
      </c>
      <c r="G207" s="12" t="str">
        <f>IF(COUNTBLANK(H207)=1,IF(C207&lt;=Config.!$D$10,"meta","nops"),"")</f>
        <v>nops</v>
      </c>
      <c r="H207" s="58"/>
      <c r="I207" s="59" t="str">
        <f t="shared" si="18"/>
        <v/>
      </c>
      <c r="J207" s="59" t="str">
        <f t="shared" si="16"/>
        <v/>
      </c>
      <c r="K207" s="53" t="str">
        <f t="shared" si="19"/>
        <v/>
      </c>
      <c r="R207" s="27">
        <f>IF(COUNTBLANK(T206)=1,(R206*Config.!$D$12)+R206,(T206*Config.!$D$12)+T206)</f>
        <v>56.811340837013958</v>
      </c>
      <c r="S207" s="28" t="str">
        <f>IF(COUNTBLANK(T207)=1,IF(R207&lt;=Config.!$D$10,"meta","nops"),"")</f>
        <v>nops</v>
      </c>
      <c r="T207" s="32"/>
    </row>
    <row r="208" spans="1:20" ht="20.100000000000001" customHeight="1">
      <c r="A208" s="22" t="s">
        <v>21</v>
      </c>
      <c r="B208" s="20">
        <v>205</v>
      </c>
      <c r="C208" s="57">
        <f>IF(COUNTBLANK(H207)=1,(C207*Config.!$D$12)+C207,(H207*Config.!$D$12)+H207)</f>
        <v>57.947567653754234</v>
      </c>
      <c r="D208" s="57">
        <f t="shared" si="17"/>
        <v>1.136226816740276</v>
      </c>
      <c r="E208" s="67"/>
      <c r="F208" s="68" t="str">
        <f t="shared" si="15"/>
        <v>-</v>
      </c>
      <c r="G208" s="12" t="str">
        <f>IF(COUNTBLANK(H208)=1,IF(C208&lt;=Config.!$D$10,"meta","nops"),"")</f>
        <v>nops</v>
      </c>
      <c r="H208" s="58"/>
      <c r="I208" s="59" t="str">
        <f t="shared" si="18"/>
        <v/>
      </c>
      <c r="J208" s="59" t="str">
        <f t="shared" si="16"/>
        <v/>
      </c>
      <c r="K208" s="53" t="str">
        <f t="shared" si="19"/>
        <v/>
      </c>
      <c r="R208" s="27">
        <f>IF(COUNTBLANK(T207)=1,(R207*Config.!$D$12)+R207,(T207*Config.!$D$12)+T207)</f>
        <v>57.947567653754234</v>
      </c>
      <c r="S208" s="28" t="str">
        <f>IF(COUNTBLANK(T208)=1,IF(R208&lt;=Config.!$D$10,"meta","nops"),"")</f>
        <v>nops</v>
      </c>
      <c r="T208" s="32"/>
    </row>
    <row r="209" spans="1:20" ht="20.100000000000001" customHeight="1">
      <c r="A209" s="22" t="s">
        <v>21</v>
      </c>
      <c r="B209" s="20">
        <v>206</v>
      </c>
      <c r="C209" s="57">
        <f>IF(COUNTBLANK(H208)=1,(C208*Config.!$D$12)+C208,(H208*Config.!$D$12)+H208)</f>
        <v>59.106519006829316</v>
      </c>
      <c r="D209" s="57">
        <f t="shared" si="17"/>
        <v>1.1589513530750821</v>
      </c>
      <c r="E209" s="67"/>
      <c r="F209" s="68" t="str">
        <f t="shared" si="15"/>
        <v>-</v>
      </c>
      <c r="G209" s="12" t="str">
        <f>IF(COUNTBLANK(H209)=1,IF(C209&lt;=Config.!$D$10,"meta","nops"),"")</f>
        <v>nops</v>
      </c>
      <c r="H209" s="58"/>
      <c r="I209" s="59" t="str">
        <f t="shared" si="18"/>
        <v/>
      </c>
      <c r="J209" s="59" t="str">
        <f t="shared" si="16"/>
        <v/>
      </c>
      <c r="K209" s="53" t="str">
        <f t="shared" si="19"/>
        <v/>
      </c>
      <c r="R209" s="27">
        <f>IF(COUNTBLANK(T208)=1,(R208*Config.!$D$12)+R208,(T208*Config.!$D$12)+T208)</f>
        <v>59.106519006829316</v>
      </c>
      <c r="S209" s="28" t="str">
        <f>IF(COUNTBLANK(T209)=1,IF(R209&lt;=Config.!$D$10,"meta","nops"),"")</f>
        <v>nops</v>
      </c>
      <c r="T209" s="32"/>
    </row>
    <row r="210" spans="1:20" ht="20.100000000000001" customHeight="1">
      <c r="A210" s="22" t="s">
        <v>21</v>
      </c>
      <c r="B210" s="20">
        <v>207</v>
      </c>
      <c r="C210" s="57">
        <f>IF(COUNTBLANK(H209)=1,(C209*Config.!$D$12)+C209,(H209*Config.!$D$12)+H209)</f>
        <v>60.288649386965901</v>
      </c>
      <c r="D210" s="57">
        <f t="shared" si="17"/>
        <v>1.1821303801365843</v>
      </c>
      <c r="E210" s="67"/>
      <c r="F210" s="68" t="str">
        <f t="shared" si="15"/>
        <v>-</v>
      </c>
      <c r="G210" s="12" t="str">
        <f>IF(COUNTBLANK(H210)=1,IF(C210&lt;=Config.!$D$10,"meta","nops"),"")</f>
        <v>nops</v>
      </c>
      <c r="H210" s="58"/>
      <c r="I210" s="59" t="str">
        <f t="shared" si="18"/>
        <v/>
      </c>
      <c r="J210" s="59" t="str">
        <f t="shared" si="16"/>
        <v/>
      </c>
      <c r="K210" s="53" t="str">
        <f t="shared" si="19"/>
        <v/>
      </c>
      <c r="R210" s="27">
        <f>IF(COUNTBLANK(T209)=1,(R209*Config.!$D$12)+R209,(T209*Config.!$D$12)+T209)</f>
        <v>60.288649386965901</v>
      </c>
      <c r="S210" s="28" t="str">
        <f>IF(COUNTBLANK(T210)=1,IF(R210&lt;=Config.!$D$10,"meta","nops"),"")</f>
        <v>nops</v>
      </c>
      <c r="T210" s="32"/>
    </row>
    <row r="211" spans="1:20" ht="20.100000000000001" customHeight="1">
      <c r="A211" s="22" t="s">
        <v>21</v>
      </c>
      <c r="B211" s="20">
        <v>208</v>
      </c>
      <c r="C211" s="57">
        <f>IF(COUNTBLANK(H210)=1,(C210*Config.!$D$12)+C210,(H210*Config.!$D$12)+H210)</f>
        <v>61.494422374705216</v>
      </c>
      <c r="D211" s="57">
        <f t="shared" si="17"/>
        <v>1.2057729877393157</v>
      </c>
      <c r="E211" s="67"/>
      <c r="F211" s="68" t="str">
        <f t="shared" si="15"/>
        <v>-</v>
      </c>
      <c r="G211" s="12" t="str">
        <f>IF(COUNTBLANK(H211)=1,IF(C211&lt;=Config.!$D$10,"meta","nops"),"")</f>
        <v>nops</v>
      </c>
      <c r="H211" s="58"/>
      <c r="I211" s="59" t="str">
        <f t="shared" si="18"/>
        <v/>
      </c>
      <c r="J211" s="59" t="str">
        <f t="shared" si="16"/>
        <v/>
      </c>
      <c r="K211" s="53" t="str">
        <f t="shared" si="19"/>
        <v/>
      </c>
      <c r="R211" s="27">
        <f>IF(COUNTBLANK(T210)=1,(R210*Config.!$D$12)+R210,(T210*Config.!$D$12)+T210)</f>
        <v>61.494422374705216</v>
      </c>
      <c r="S211" s="28" t="str">
        <f>IF(COUNTBLANK(T211)=1,IF(R211&lt;=Config.!$D$10,"meta","nops"),"")</f>
        <v>nops</v>
      </c>
      <c r="T211" s="32"/>
    </row>
    <row r="212" spans="1:20" ht="20.100000000000001" customHeight="1">
      <c r="A212" s="22" t="s">
        <v>21</v>
      </c>
      <c r="B212" s="20">
        <v>209</v>
      </c>
      <c r="C212" s="57">
        <f>IF(COUNTBLANK(H211)=1,(C211*Config.!$D$12)+C211,(H211*Config.!$D$12)+H211)</f>
        <v>62.724310822199321</v>
      </c>
      <c r="D212" s="57">
        <f t="shared" si="17"/>
        <v>1.2298884474941048</v>
      </c>
      <c r="E212" s="67"/>
      <c r="F212" s="68" t="str">
        <f t="shared" si="15"/>
        <v>-</v>
      </c>
      <c r="G212" s="12" t="str">
        <f>IF(COUNTBLANK(H212)=1,IF(C212&lt;=Config.!$D$10,"meta","nops"),"")</f>
        <v>nops</v>
      </c>
      <c r="H212" s="58"/>
      <c r="I212" s="59" t="str">
        <f t="shared" si="18"/>
        <v/>
      </c>
      <c r="J212" s="59" t="str">
        <f t="shared" si="16"/>
        <v/>
      </c>
      <c r="K212" s="53" t="str">
        <f t="shared" si="19"/>
        <v/>
      </c>
      <c r="R212" s="27">
        <f>IF(COUNTBLANK(T211)=1,(R211*Config.!$D$12)+R211,(T211*Config.!$D$12)+T211)</f>
        <v>62.724310822199321</v>
      </c>
      <c r="S212" s="28" t="str">
        <f>IF(COUNTBLANK(T212)=1,IF(R212&lt;=Config.!$D$10,"meta","nops"),"")</f>
        <v>nops</v>
      </c>
      <c r="T212" s="32"/>
    </row>
    <row r="213" spans="1:20" ht="20.100000000000001" customHeight="1">
      <c r="A213" s="22" t="s">
        <v>21</v>
      </c>
      <c r="B213" s="20">
        <v>210</v>
      </c>
      <c r="C213" s="57">
        <f>IF(COUNTBLANK(H212)=1,(C212*Config.!$D$12)+C212,(H212*Config.!$D$12)+H212)</f>
        <v>63.978797038643307</v>
      </c>
      <c r="D213" s="57">
        <f t="shared" si="17"/>
        <v>1.2544862164439863</v>
      </c>
      <c r="E213" s="67"/>
      <c r="F213" s="68" t="str">
        <f t="shared" si="15"/>
        <v>-</v>
      </c>
      <c r="G213" s="12" t="str">
        <f>IF(COUNTBLANK(H213)=1,IF(C213&lt;=Config.!$D$10,"meta","nops"),"")</f>
        <v>nops</v>
      </c>
      <c r="H213" s="58"/>
      <c r="I213" s="59" t="str">
        <f t="shared" si="18"/>
        <v/>
      </c>
      <c r="J213" s="59" t="str">
        <f t="shared" si="16"/>
        <v/>
      </c>
      <c r="K213" s="53" t="str">
        <f t="shared" si="19"/>
        <v/>
      </c>
      <c r="R213" s="27">
        <f>IF(COUNTBLANK(T212)=1,(R212*Config.!$D$12)+R212,(T212*Config.!$D$12)+T212)</f>
        <v>63.978797038643307</v>
      </c>
      <c r="S213" s="28" t="str">
        <f>IF(COUNTBLANK(T213)=1,IF(R213&lt;=Config.!$D$10,"meta","nops"),"")</f>
        <v>nops</v>
      </c>
      <c r="T213" s="32"/>
    </row>
    <row r="214" spans="1:20" ht="20.100000000000001" customHeight="1">
      <c r="A214" s="22" t="s">
        <v>21</v>
      </c>
      <c r="B214" s="20">
        <v>211</v>
      </c>
      <c r="C214" s="57">
        <f>IF(COUNTBLANK(H213)=1,(C213*Config.!$D$12)+C213,(H213*Config.!$D$12)+H213)</f>
        <v>65.25837297941618</v>
      </c>
      <c r="D214" s="57">
        <f t="shared" si="17"/>
        <v>1.2795759407728724</v>
      </c>
      <c r="E214" s="67"/>
      <c r="F214" s="68" t="str">
        <f t="shared" si="15"/>
        <v>-</v>
      </c>
      <c r="G214" s="12" t="str">
        <f>IF(COUNTBLANK(H214)=1,IF(C214&lt;=Config.!$D$10,"meta","nops"),"")</f>
        <v>nops</v>
      </c>
      <c r="H214" s="58"/>
      <c r="I214" s="59" t="str">
        <f t="shared" si="18"/>
        <v/>
      </c>
      <c r="J214" s="59" t="str">
        <f t="shared" si="16"/>
        <v/>
      </c>
      <c r="K214" s="53" t="str">
        <f t="shared" si="19"/>
        <v/>
      </c>
      <c r="R214" s="27">
        <f>IF(COUNTBLANK(T213)=1,(R213*Config.!$D$12)+R213,(T213*Config.!$D$12)+T213)</f>
        <v>65.25837297941618</v>
      </c>
      <c r="S214" s="28" t="str">
        <f>IF(COUNTBLANK(T214)=1,IF(R214&lt;=Config.!$D$10,"meta","nops"),"")</f>
        <v>nops</v>
      </c>
      <c r="T214" s="32"/>
    </row>
    <row r="215" spans="1:20" ht="20.100000000000001" customHeight="1">
      <c r="A215" s="22" t="s">
        <v>21</v>
      </c>
      <c r="B215" s="20">
        <v>212</v>
      </c>
      <c r="C215" s="57">
        <f>IF(COUNTBLANK(H214)=1,(C214*Config.!$D$12)+C214,(H214*Config.!$D$12)+H214)</f>
        <v>66.563540439004498</v>
      </c>
      <c r="D215" s="57">
        <f t="shared" si="17"/>
        <v>1.3051674595883185</v>
      </c>
      <c r="E215" s="67"/>
      <c r="F215" s="68" t="str">
        <f t="shared" si="15"/>
        <v>-</v>
      </c>
      <c r="G215" s="12" t="str">
        <f>IF(COUNTBLANK(H215)=1,IF(C215&lt;=Config.!$D$10,"meta","nops"),"")</f>
        <v>nops</v>
      </c>
      <c r="H215" s="58"/>
      <c r="I215" s="59" t="str">
        <f t="shared" si="18"/>
        <v/>
      </c>
      <c r="J215" s="59" t="str">
        <f t="shared" si="16"/>
        <v/>
      </c>
      <c r="K215" s="53" t="str">
        <f t="shared" si="19"/>
        <v/>
      </c>
      <c r="R215" s="27">
        <f>IF(COUNTBLANK(T214)=1,(R214*Config.!$D$12)+R214,(T214*Config.!$D$12)+T214)</f>
        <v>66.563540439004498</v>
      </c>
      <c r="S215" s="28" t="str">
        <f>IF(COUNTBLANK(T215)=1,IF(R215&lt;=Config.!$D$10,"meta","nops"),"")</f>
        <v>nops</v>
      </c>
      <c r="T215" s="32"/>
    </row>
    <row r="216" spans="1:20" ht="20.100000000000001" customHeight="1">
      <c r="A216" s="22" t="s">
        <v>21</v>
      </c>
      <c r="B216" s="20">
        <v>213</v>
      </c>
      <c r="C216" s="57">
        <f>IF(COUNTBLANK(H215)=1,(C215*Config.!$D$12)+C215,(H215*Config.!$D$12)+H215)</f>
        <v>67.894811247784588</v>
      </c>
      <c r="D216" s="57">
        <f t="shared" si="17"/>
        <v>1.33127080878009</v>
      </c>
      <c r="E216" s="67"/>
      <c r="F216" s="68" t="str">
        <f t="shared" si="15"/>
        <v>-</v>
      </c>
      <c r="G216" s="12" t="str">
        <f>IF(COUNTBLANK(H216)=1,IF(C216&lt;=Config.!$D$10,"meta","nops"),"")</f>
        <v>nops</v>
      </c>
      <c r="H216" s="58"/>
      <c r="I216" s="59" t="str">
        <f t="shared" si="18"/>
        <v/>
      </c>
      <c r="J216" s="59" t="str">
        <f t="shared" si="16"/>
        <v/>
      </c>
      <c r="K216" s="53" t="str">
        <f t="shared" si="19"/>
        <v/>
      </c>
      <c r="R216" s="27">
        <f>IF(COUNTBLANK(T215)=1,(R215*Config.!$D$12)+R215,(T215*Config.!$D$12)+T215)</f>
        <v>67.894811247784588</v>
      </c>
      <c r="S216" s="28" t="str">
        <f>IF(COUNTBLANK(T216)=1,IF(R216&lt;=Config.!$D$10,"meta","nops"),"")</f>
        <v>nops</v>
      </c>
      <c r="T216" s="32"/>
    </row>
    <row r="217" spans="1:20" ht="20.100000000000001" customHeight="1">
      <c r="A217" s="22" t="s">
        <v>21</v>
      </c>
      <c r="B217" s="20">
        <v>214</v>
      </c>
      <c r="C217" s="57">
        <f>IF(COUNTBLANK(H216)=1,(C216*Config.!$D$12)+C216,(H216*Config.!$D$12)+H216)</f>
        <v>69.252707472740283</v>
      </c>
      <c r="D217" s="57">
        <f t="shared" si="17"/>
        <v>1.3578962249556952</v>
      </c>
      <c r="E217" s="67"/>
      <c r="F217" s="68" t="str">
        <f t="shared" si="15"/>
        <v>-</v>
      </c>
      <c r="G217" s="12" t="str">
        <f>IF(COUNTBLANK(H217)=1,IF(C217&lt;=Config.!$D$10,"meta","nops"),"")</f>
        <v>nops</v>
      </c>
      <c r="H217" s="58"/>
      <c r="I217" s="59" t="str">
        <f t="shared" si="18"/>
        <v/>
      </c>
      <c r="J217" s="59" t="str">
        <f t="shared" si="16"/>
        <v/>
      </c>
      <c r="K217" s="53" t="str">
        <f t="shared" si="19"/>
        <v/>
      </c>
      <c r="R217" s="27">
        <f>IF(COUNTBLANK(T216)=1,(R216*Config.!$D$12)+R216,(T216*Config.!$D$12)+T216)</f>
        <v>69.252707472740283</v>
      </c>
      <c r="S217" s="28" t="str">
        <f>IF(COUNTBLANK(T217)=1,IF(R217&lt;=Config.!$D$10,"meta","nops"),"")</f>
        <v>nops</v>
      </c>
      <c r="T217" s="32"/>
    </row>
    <row r="218" spans="1:20" ht="20.100000000000001" customHeight="1">
      <c r="A218" s="22" t="s">
        <v>21</v>
      </c>
      <c r="B218" s="20">
        <v>215</v>
      </c>
      <c r="C218" s="57">
        <f>IF(COUNTBLANK(H217)=1,(C217*Config.!$D$12)+C217,(H217*Config.!$D$12)+H217)</f>
        <v>70.637761622195086</v>
      </c>
      <c r="D218" s="57">
        <f t="shared" si="17"/>
        <v>1.3850541494548025</v>
      </c>
      <c r="E218" s="67"/>
      <c r="F218" s="68" t="str">
        <f t="shared" si="15"/>
        <v>-</v>
      </c>
      <c r="G218" s="12" t="str">
        <f>IF(COUNTBLANK(H218)=1,IF(C218&lt;=Config.!$D$10,"meta","nops"),"")</f>
        <v>nops</v>
      </c>
      <c r="H218" s="58"/>
      <c r="I218" s="59" t="str">
        <f t="shared" si="18"/>
        <v/>
      </c>
      <c r="J218" s="59" t="str">
        <f t="shared" si="16"/>
        <v/>
      </c>
      <c r="K218" s="53" t="str">
        <f t="shared" si="19"/>
        <v/>
      </c>
      <c r="R218" s="27">
        <f>IF(COUNTBLANK(T217)=1,(R217*Config.!$D$12)+R217,(T217*Config.!$D$12)+T217)</f>
        <v>70.637761622195086</v>
      </c>
      <c r="S218" s="28" t="str">
        <f>IF(COUNTBLANK(T218)=1,IF(R218&lt;=Config.!$D$10,"meta","nops"),"")</f>
        <v>nops</v>
      </c>
      <c r="T218" s="32"/>
    </row>
    <row r="219" spans="1:20" ht="20.100000000000001" customHeight="1">
      <c r="A219" s="22" t="s">
        <v>21</v>
      </c>
      <c r="B219" s="20">
        <v>216</v>
      </c>
      <c r="C219" s="57">
        <f>IF(COUNTBLANK(H218)=1,(C218*Config.!$D$12)+C218,(H218*Config.!$D$12)+H218)</f>
        <v>72.050516854638985</v>
      </c>
      <c r="D219" s="57">
        <f t="shared" si="17"/>
        <v>1.4127552324438994</v>
      </c>
      <c r="E219" s="67"/>
      <c r="F219" s="68" t="str">
        <f t="shared" si="15"/>
        <v>-</v>
      </c>
      <c r="G219" s="12" t="str">
        <f>IF(COUNTBLANK(H219)=1,IF(C219&lt;=Config.!$D$10,"meta","nops"),"")</f>
        <v>nops</v>
      </c>
      <c r="H219" s="58"/>
      <c r="I219" s="59" t="str">
        <f t="shared" si="18"/>
        <v/>
      </c>
      <c r="J219" s="59" t="str">
        <f t="shared" si="16"/>
        <v/>
      </c>
      <c r="K219" s="53" t="str">
        <f t="shared" si="19"/>
        <v/>
      </c>
      <c r="R219" s="27">
        <f>IF(COUNTBLANK(T218)=1,(R218*Config.!$D$12)+R218,(T218*Config.!$D$12)+T218)</f>
        <v>72.050516854638985</v>
      </c>
      <c r="S219" s="28" t="str">
        <f>IF(COUNTBLANK(T219)=1,IF(R219&lt;=Config.!$D$10,"meta","nops"),"")</f>
        <v>nops</v>
      </c>
      <c r="T219" s="32"/>
    </row>
    <row r="220" spans="1:20" ht="20.100000000000001" customHeight="1">
      <c r="A220" s="22" t="s">
        <v>21</v>
      </c>
      <c r="B220" s="20">
        <v>217</v>
      </c>
      <c r="C220" s="57">
        <f>IF(COUNTBLANK(H219)=1,(C219*Config.!$D$12)+C219,(H219*Config.!$D$12)+H219)</f>
        <v>73.491527191731763</v>
      </c>
      <c r="D220" s="57">
        <f t="shared" si="17"/>
        <v>1.4410103370927771</v>
      </c>
      <c r="E220" s="67"/>
      <c r="F220" s="68" t="str">
        <f t="shared" si="15"/>
        <v>-</v>
      </c>
      <c r="G220" s="12" t="str">
        <f>IF(COUNTBLANK(H220)=1,IF(C220&lt;=Config.!$D$10,"meta","nops"),"")</f>
        <v>nops</v>
      </c>
      <c r="H220" s="58"/>
      <c r="I220" s="59" t="str">
        <f t="shared" si="18"/>
        <v/>
      </c>
      <c r="J220" s="59" t="str">
        <f t="shared" si="16"/>
        <v/>
      </c>
      <c r="K220" s="53" t="str">
        <f t="shared" si="19"/>
        <v/>
      </c>
      <c r="R220" s="27">
        <f>IF(COUNTBLANK(T219)=1,(R219*Config.!$D$12)+R219,(T219*Config.!$D$12)+T219)</f>
        <v>73.491527191731763</v>
      </c>
      <c r="S220" s="28" t="str">
        <f>IF(COUNTBLANK(T220)=1,IF(R220&lt;=Config.!$D$10,"meta","nops"),"")</f>
        <v>nops</v>
      </c>
      <c r="T220" s="32"/>
    </row>
    <row r="221" spans="1:20" ht="20.100000000000001" customHeight="1">
      <c r="A221" s="22" t="s">
        <v>21</v>
      </c>
      <c r="B221" s="20">
        <v>218</v>
      </c>
      <c r="C221" s="57">
        <f>IF(COUNTBLANK(H220)=1,(C220*Config.!$D$12)+C220,(H220*Config.!$D$12)+H220)</f>
        <v>74.961357735566395</v>
      </c>
      <c r="D221" s="57">
        <f t="shared" si="17"/>
        <v>1.4698305438346324</v>
      </c>
      <c r="E221" s="67"/>
      <c r="F221" s="68" t="str">
        <f t="shared" si="15"/>
        <v>-</v>
      </c>
      <c r="G221" s="12" t="str">
        <f>IF(COUNTBLANK(H221)=1,IF(C221&lt;=Config.!$D$10,"meta","nops"),"")</f>
        <v>nops</v>
      </c>
      <c r="H221" s="58"/>
      <c r="I221" s="59" t="str">
        <f t="shared" si="18"/>
        <v/>
      </c>
      <c r="J221" s="59" t="str">
        <f t="shared" si="16"/>
        <v/>
      </c>
      <c r="K221" s="53" t="str">
        <f t="shared" si="19"/>
        <v/>
      </c>
      <c r="R221" s="27">
        <f>IF(COUNTBLANK(T220)=1,(R220*Config.!$D$12)+R220,(T220*Config.!$D$12)+T220)</f>
        <v>74.961357735566395</v>
      </c>
      <c r="S221" s="28" t="str">
        <f>IF(COUNTBLANK(T221)=1,IF(R221&lt;=Config.!$D$10,"meta","nops"),"")</f>
        <v>nops</v>
      </c>
      <c r="T221" s="32"/>
    </row>
    <row r="222" spans="1:20" ht="20.100000000000001" customHeight="1">
      <c r="A222" s="22" t="s">
        <v>21</v>
      </c>
      <c r="B222" s="20">
        <v>219</v>
      </c>
      <c r="C222" s="57">
        <f>IF(COUNTBLANK(H221)=1,(C221*Config.!$D$12)+C221,(H221*Config.!$D$12)+H221)</f>
        <v>76.46058489027773</v>
      </c>
      <c r="D222" s="57">
        <f t="shared" si="17"/>
        <v>1.4992271547113347</v>
      </c>
      <c r="E222" s="67"/>
      <c r="F222" s="68" t="str">
        <f t="shared" si="15"/>
        <v>-</v>
      </c>
      <c r="G222" s="12" t="str">
        <f>IF(COUNTBLANK(H222)=1,IF(C222&lt;=Config.!$D$10,"meta","nops"),"")</f>
        <v>nops</v>
      </c>
      <c r="H222" s="58"/>
      <c r="I222" s="59" t="str">
        <f t="shared" si="18"/>
        <v/>
      </c>
      <c r="J222" s="59" t="str">
        <f t="shared" si="16"/>
        <v/>
      </c>
      <c r="K222" s="53" t="str">
        <f t="shared" si="19"/>
        <v/>
      </c>
      <c r="R222" s="27">
        <f>IF(COUNTBLANK(T221)=1,(R221*Config.!$D$12)+R221,(T221*Config.!$D$12)+T221)</f>
        <v>76.46058489027773</v>
      </c>
      <c r="S222" s="28" t="str">
        <f>IF(COUNTBLANK(T222)=1,IF(R222&lt;=Config.!$D$10,"meta","nops"),"")</f>
        <v>nops</v>
      </c>
      <c r="T222" s="32"/>
    </row>
    <row r="223" spans="1:20" ht="20.100000000000001" customHeight="1">
      <c r="A223" s="22" t="s">
        <v>21</v>
      </c>
      <c r="B223" s="20">
        <v>220</v>
      </c>
      <c r="C223" s="57">
        <f>IF(COUNTBLANK(H222)=1,(C222*Config.!$D$12)+C222,(H222*Config.!$D$12)+H222)</f>
        <v>77.98979658808328</v>
      </c>
      <c r="D223" s="57">
        <f t="shared" si="17"/>
        <v>1.5292116978055503</v>
      </c>
      <c r="E223" s="67"/>
      <c r="F223" s="68" t="str">
        <f t="shared" si="15"/>
        <v>-</v>
      </c>
      <c r="G223" s="12" t="str">
        <f>IF(COUNTBLANK(H223)=1,IF(C223&lt;=Config.!$D$10,"meta","nops"),"")</f>
        <v>nops</v>
      </c>
      <c r="H223" s="58"/>
      <c r="I223" s="59" t="str">
        <f t="shared" si="18"/>
        <v/>
      </c>
      <c r="J223" s="59" t="str">
        <f t="shared" si="16"/>
        <v/>
      </c>
      <c r="K223" s="53" t="str">
        <f t="shared" si="19"/>
        <v/>
      </c>
      <c r="R223" s="27">
        <f>IF(COUNTBLANK(T222)=1,(R222*Config.!$D$12)+R222,(T222*Config.!$D$12)+T222)</f>
        <v>77.98979658808328</v>
      </c>
      <c r="S223" s="28" t="str">
        <f>IF(COUNTBLANK(T223)=1,IF(R223&lt;=Config.!$D$10,"meta","nops"),"")</f>
        <v>nops</v>
      </c>
      <c r="T223" s="32"/>
    </row>
    <row r="224" spans="1:20" ht="20.100000000000001" customHeight="1">
      <c r="A224" s="22" t="s">
        <v>21</v>
      </c>
      <c r="B224" s="20">
        <v>221</v>
      </c>
      <c r="C224" s="57">
        <f>IF(COUNTBLANK(H223)=1,(C223*Config.!$D$12)+C223,(H223*Config.!$D$12)+H223)</f>
        <v>79.54959251984495</v>
      </c>
      <c r="D224" s="57">
        <f t="shared" si="17"/>
        <v>1.5597959317616699</v>
      </c>
      <c r="E224" s="67"/>
      <c r="F224" s="68" t="str">
        <f t="shared" si="15"/>
        <v>-</v>
      </c>
      <c r="G224" s="12" t="str">
        <f>IF(COUNTBLANK(H224)=1,IF(C224&lt;=Config.!$D$10,"meta","nops"),"")</f>
        <v>nops</v>
      </c>
      <c r="H224" s="58"/>
      <c r="I224" s="59" t="str">
        <f t="shared" si="18"/>
        <v/>
      </c>
      <c r="J224" s="59" t="str">
        <f t="shared" si="16"/>
        <v/>
      </c>
      <c r="K224" s="53" t="str">
        <f t="shared" si="19"/>
        <v/>
      </c>
      <c r="R224" s="27">
        <f>IF(COUNTBLANK(T223)=1,(R223*Config.!$D$12)+R223,(T223*Config.!$D$12)+T223)</f>
        <v>79.54959251984495</v>
      </c>
      <c r="S224" s="28" t="str">
        <f>IF(COUNTBLANK(T224)=1,IF(R224&lt;=Config.!$D$10,"meta","nops"),"")</f>
        <v>nops</v>
      </c>
      <c r="T224" s="32"/>
    </row>
    <row r="225" spans="1:20" ht="20.100000000000001" customHeight="1">
      <c r="A225" s="22" t="s">
        <v>21</v>
      </c>
      <c r="B225" s="20">
        <v>222</v>
      </c>
      <c r="C225" s="57">
        <f>IF(COUNTBLANK(H224)=1,(C224*Config.!$D$12)+C224,(H224*Config.!$D$12)+H224)</f>
        <v>81.140584370241854</v>
      </c>
      <c r="D225" s="57">
        <f t="shared" si="17"/>
        <v>1.5909918503969038</v>
      </c>
      <c r="E225" s="67"/>
      <c r="F225" s="68" t="str">
        <f t="shared" si="15"/>
        <v>-</v>
      </c>
      <c r="G225" s="12" t="str">
        <f>IF(COUNTBLANK(H225)=1,IF(C225&lt;=Config.!$D$10,"meta","nops"),"")</f>
        <v>nops</v>
      </c>
      <c r="H225" s="58"/>
      <c r="I225" s="59" t="str">
        <f t="shared" si="18"/>
        <v/>
      </c>
      <c r="J225" s="59" t="str">
        <f t="shared" si="16"/>
        <v/>
      </c>
      <c r="K225" s="53" t="str">
        <f t="shared" si="19"/>
        <v/>
      </c>
      <c r="R225" s="27">
        <f>IF(COUNTBLANK(T224)=1,(R224*Config.!$D$12)+R224,(T224*Config.!$D$12)+T224)</f>
        <v>81.140584370241854</v>
      </c>
      <c r="S225" s="28" t="str">
        <f>IF(COUNTBLANK(T225)=1,IF(R225&lt;=Config.!$D$10,"meta","nops"),"")</f>
        <v>nops</v>
      </c>
      <c r="T225" s="32"/>
    </row>
    <row r="226" spans="1:20" ht="20.100000000000001" customHeight="1">
      <c r="A226" s="22" t="s">
        <v>21</v>
      </c>
      <c r="B226" s="20">
        <v>223</v>
      </c>
      <c r="C226" s="57">
        <f>IF(COUNTBLANK(H225)=1,(C225*Config.!$D$12)+C225,(H225*Config.!$D$12)+H225)</f>
        <v>82.763396057646688</v>
      </c>
      <c r="D226" s="57">
        <f t="shared" si="17"/>
        <v>1.6228116874048339</v>
      </c>
      <c r="E226" s="67"/>
      <c r="F226" s="68" t="str">
        <f t="shared" si="15"/>
        <v>-</v>
      </c>
      <c r="G226" s="12" t="str">
        <f>IF(COUNTBLANK(H226)=1,IF(C226&lt;=Config.!$D$10,"meta","nops"),"")</f>
        <v>nops</v>
      </c>
      <c r="H226" s="58"/>
      <c r="I226" s="59" t="str">
        <f t="shared" si="18"/>
        <v/>
      </c>
      <c r="J226" s="59" t="str">
        <f t="shared" si="16"/>
        <v/>
      </c>
      <c r="K226" s="53" t="str">
        <f t="shared" si="19"/>
        <v/>
      </c>
      <c r="R226" s="27">
        <f>IF(COUNTBLANK(T225)=1,(R225*Config.!$D$12)+R225,(T225*Config.!$D$12)+T225)</f>
        <v>82.763396057646688</v>
      </c>
      <c r="S226" s="28" t="str">
        <f>IF(COUNTBLANK(T226)=1,IF(R226&lt;=Config.!$D$10,"meta","nops"),"")</f>
        <v>nops</v>
      </c>
      <c r="T226" s="32"/>
    </row>
    <row r="227" spans="1:20" ht="20.100000000000001" customHeight="1">
      <c r="A227" s="22" t="s">
        <v>21</v>
      </c>
      <c r="B227" s="20">
        <v>224</v>
      </c>
      <c r="C227" s="57">
        <f>IF(COUNTBLANK(H226)=1,(C226*Config.!$D$12)+C226,(H226*Config.!$D$12)+H226)</f>
        <v>84.418663978799628</v>
      </c>
      <c r="D227" s="57">
        <f t="shared" si="17"/>
        <v>1.6552679211529409</v>
      </c>
      <c r="E227" s="67"/>
      <c r="F227" s="68" t="str">
        <f t="shared" si="15"/>
        <v>-</v>
      </c>
      <c r="G227" s="12" t="str">
        <f>IF(COUNTBLANK(H227)=1,IF(C227&lt;=Config.!$D$10,"meta","nops"),"")</f>
        <v>nops</v>
      </c>
      <c r="H227" s="58"/>
      <c r="I227" s="59" t="str">
        <f t="shared" si="18"/>
        <v/>
      </c>
      <c r="J227" s="59" t="str">
        <f t="shared" si="16"/>
        <v/>
      </c>
      <c r="K227" s="53" t="str">
        <f t="shared" si="19"/>
        <v/>
      </c>
      <c r="R227" s="27">
        <f>IF(COUNTBLANK(T226)=1,(R226*Config.!$D$12)+R226,(T226*Config.!$D$12)+T226)</f>
        <v>84.418663978799628</v>
      </c>
      <c r="S227" s="28" t="str">
        <f>IF(COUNTBLANK(T227)=1,IF(R227&lt;=Config.!$D$10,"meta","nops"),"")</f>
        <v>nops</v>
      </c>
      <c r="T227" s="32"/>
    </row>
    <row r="228" spans="1:20" ht="20.100000000000001" customHeight="1">
      <c r="A228" s="22" t="s">
        <v>21</v>
      </c>
      <c r="B228" s="20">
        <v>225</v>
      </c>
      <c r="C228" s="57">
        <f>IF(COUNTBLANK(H227)=1,(C227*Config.!$D$12)+C227,(H227*Config.!$D$12)+H227)</f>
        <v>86.107037258375627</v>
      </c>
      <c r="D228" s="57">
        <f t="shared" si="17"/>
        <v>1.6883732795759983</v>
      </c>
      <c r="E228" s="67"/>
      <c r="F228" s="68" t="str">
        <f t="shared" si="15"/>
        <v>-</v>
      </c>
      <c r="G228" s="12" t="str">
        <f>IF(COUNTBLANK(H228)=1,IF(C228&lt;=Config.!$D$10,"meta","nops"),"")</f>
        <v>nops</v>
      </c>
      <c r="H228" s="58"/>
      <c r="I228" s="59" t="str">
        <f t="shared" si="18"/>
        <v/>
      </c>
      <c r="J228" s="59" t="str">
        <f t="shared" si="16"/>
        <v/>
      </c>
      <c r="K228" s="53" t="str">
        <f t="shared" si="19"/>
        <v/>
      </c>
      <c r="R228" s="27">
        <f>IF(COUNTBLANK(T227)=1,(R227*Config.!$D$12)+R227,(T227*Config.!$D$12)+T227)</f>
        <v>86.107037258375627</v>
      </c>
      <c r="S228" s="28" t="str">
        <f>IF(COUNTBLANK(T228)=1,IF(R228&lt;=Config.!$D$10,"meta","nops"),"")</f>
        <v>nops</v>
      </c>
      <c r="T228" s="32"/>
    </row>
    <row r="229" spans="1:20" ht="20.100000000000001" customHeight="1">
      <c r="A229" s="22" t="s">
        <v>21</v>
      </c>
      <c r="B229" s="20">
        <v>226</v>
      </c>
      <c r="C229" s="57">
        <f>IF(COUNTBLANK(H228)=1,(C228*Config.!$D$12)+C228,(H228*Config.!$D$12)+H228)</f>
        <v>87.829178003543134</v>
      </c>
      <c r="D229" s="57">
        <f t="shared" si="17"/>
        <v>1.7221407451675077</v>
      </c>
      <c r="E229" s="67"/>
      <c r="F229" s="68" t="str">
        <f t="shared" si="15"/>
        <v>-</v>
      </c>
      <c r="G229" s="12" t="str">
        <f>IF(COUNTBLANK(H229)=1,IF(C229&lt;=Config.!$D$10,"meta","nops"),"")</f>
        <v>nops</v>
      </c>
      <c r="H229" s="58"/>
      <c r="I229" s="59" t="str">
        <f t="shared" si="18"/>
        <v/>
      </c>
      <c r="J229" s="59" t="str">
        <f t="shared" si="16"/>
        <v/>
      </c>
      <c r="K229" s="53" t="str">
        <f t="shared" si="19"/>
        <v/>
      </c>
      <c r="R229" s="27">
        <f>IF(COUNTBLANK(T228)=1,(R228*Config.!$D$12)+R228,(T228*Config.!$D$12)+T228)</f>
        <v>87.829178003543134</v>
      </c>
      <c r="S229" s="28" t="str">
        <f>IF(COUNTBLANK(T229)=1,IF(R229&lt;=Config.!$D$10,"meta","nops"),"")</f>
        <v>nops</v>
      </c>
      <c r="T229" s="32"/>
    </row>
    <row r="230" spans="1:20" ht="20.100000000000001" customHeight="1">
      <c r="A230" s="22" t="s">
        <v>21</v>
      </c>
      <c r="B230" s="20">
        <v>227</v>
      </c>
      <c r="C230" s="57">
        <f>IF(COUNTBLANK(H229)=1,(C229*Config.!$D$12)+C229,(H229*Config.!$D$12)+H229)</f>
        <v>89.585761563614</v>
      </c>
      <c r="D230" s="57">
        <f t="shared" si="17"/>
        <v>1.7565835600708652</v>
      </c>
      <c r="E230" s="67"/>
      <c r="F230" s="68" t="str">
        <f t="shared" si="15"/>
        <v>-</v>
      </c>
      <c r="G230" s="12" t="str">
        <f>IF(COUNTBLANK(H230)=1,IF(C230&lt;=Config.!$D$10,"meta","nops"),"")</f>
        <v>nops</v>
      </c>
      <c r="H230" s="58"/>
      <c r="I230" s="59" t="str">
        <f t="shared" si="18"/>
        <v/>
      </c>
      <c r="J230" s="59" t="str">
        <f t="shared" si="16"/>
        <v/>
      </c>
      <c r="K230" s="53" t="str">
        <f t="shared" si="19"/>
        <v/>
      </c>
      <c r="R230" s="27">
        <f>IF(COUNTBLANK(T229)=1,(R229*Config.!$D$12)+R229,(T229*Config.!$D$12)+T229)</f>
        <v>89.585761563614</v>
      </c>
      <c r="S230" s="28" t="str">
        <f>IF(COUNTBLANK(T230)=1,IF(R230&lt;=Config.!$D$10,"meta","nops"),"")</f>
        <v>nops</v>
      </c>
      <c r="T230" s="32"/>
    </row>
    <row r="231" spans="1:20" ht="20.100000000000001" customHeight="1">
      <c r="A231" s="22" t="s">
        <v>21</v>
      </c>
      <c r="B231" s="20">
        <v>228</v>
      </c>
      <c r="C231" s="57">
        <f>IF(COUNTBLANK(H230)=1,(C230*Config.!$D$12)+C230,(H230*Config.!$D$12)+H230)</f>
        <v>91.377476794886277</v>
      </c>
      <c r="D231" s="57">
        <f t="shared" si="17"/>
        <v>1.7917152312722777</v>
      </c>
      <c r="E231" s="67"/>
      <c r="F231" s="68" t="str">
        <f t="shared" si="15"/>
        <v>-</v>
      </c>
      <c r="G231" s="12" t="str">
        <f>IF(COUNTBLANK(H231)=1,IF(C231&lt;=Config.!$D$10,"meta","nops"),"")</f>
        <v>nops</v>
      </c>
      <c r="H231" s="58"/>
      <c r="I231" s="59" t="str">
        <f t="shared" si="18"/>
        <v/>
      </c>
      <c r="J231" s="59" t="str">
        <f t="shared" si="16"/>
        <v/>
      </c>
      <c r="K231" s="53" t="str">
        <f t="shared" si="19"/>
        <v/>
      </c>
      <c r="R231" s="27">
        <f>IF(COUNTBLANK(T230)=1,(R230*Config.!$D$12)+R230,(T230*Config.!$D$12)+T230)</f>
        <v>91.377476794886277</v>
      </c>
      <c r="S231" s="28" t="str">
        <f>IF(COUNTBLANK(T231)=1,IF(R231&lt;=Config.!$D$10,"meta","nops"),"")</f>
        <v>nops</v>
      </c>
      <c r="T231" s="32"/>
    </row>
    <row r="232" spans="1:20" ht="20.100000000000001" customHeight="1">
      <c r="A232" s="22" t="s">
        <v>21</v>
      </c>
      <c r="B232" s="20">
        <v>229</v>
      </c>
      <c r="C232" s="57">
        <f>IF(COUNTBLANK(H231)=1,(C231*Config.!$D$12)+C231,(H231*Config.!$D$12)+H231)</f>
        <v>93.205026330784008</v>
      </c>
      <c r="D232" s="57">
        <f t="shared" si="17"/>
        <v>1.8275495358977309</v>
      </c>
      <c r="E232" s="67"/>
      <c r="F232" s="68" t="str">
        <f t="shared" si="15"/>
        <v>-</v>
      </c>
      <c r="G232" s="12" t="str">
        <f>IF(COUNTBLANK(H232)=1,IF(C232&lt;=Config.!$D$10,"meta","nops"),"")</f>
        <v>nops</v>
      </c>
      <c r="H232" s="58"/>
      <c r="I232" s="59" t="str">
        <f t="shared" si="18"/>
        <v/>
      </c>
      <c r="J232" s="59" t="str">
        <f t="shared" si="16"/>
        <v/>
      </c>
      <c r="K232" s="53" t="str">
        <f t="shared" si="19"/>
        <v/>
      </c>
      <c r="R232" s="27">
        <f>IF(COUNTBLANK(T231)=1,(R231*Config.!$D$12)+R231,(T231*Config.!$D$12)+T231)</f>
        <v>93.205026330784008</v>
      </c>
      <c r="S232" s="28" t="str">
        <f>IF(COUNTBLANK(T232)=1,IF(R232&lt;=Config.!$D$10,"meta","nops"),"")</f>
        <v>nops</v>
      </c>
      <c r="T232" s="32"/>
    </row>
    <row r="233" spans="1:20" ht="20.100000000000001" customHeight="1">
      <c r="A233" s="22" t="s">
        <v>21</v>
      </c>
      <c r="B233" s="20">
        <v>230</v>
      </c>
      <c r="C233" s="57">
        <f>IF(COUNTBLANK(H232)=1,(C232*Config.!$D$12)+C232,(H232*Config.!$D$12)+H232)</f>
        <v>95.069126857399695</v>
      </c>
      <c r="D233" s="57">
        <f t="shared" si="17"/>
        <v>1.8641005266156867</v>
      </c>
      <c r="E233" s="67"/>
      <c r="F233" s="68" t="str">
        <f t="shared" si="15"/>
        <v>-</v>
      </c>
      <c r="G233" s="12" t="str">
        <f>IF(COUNTBLANK(H233)=1,IF(C233&lt;=Config.!$D$10,"meta","nops"),"")</f>
        <v>nops</v>
      </c>
      <c r="H233" s="58"/>
      <c r="I233" s="59" t="str">
        <f t="shared" si="18"/>
        <v/>
      </c>
      <c r="J233" s="59" t="str">
        <f t="shared" si="16"/>
        <v/>
      </c>
      <c r="K233" s="53" t="str">
        <f t="shared" si="19"/>
        <v/>
      </c>
      <c r="R233" s="27">
        <f>IF(COUNTBLANK(T232)=1,(R232*Config.!$D$12)+R232,(T232*Config.!$D$12)+T232)</f>
        <v>95.069126857399695</v>
      </c>
      <c r="S233" s="28" t="str">
        <f>IF(COUNTBLANK(T233)=1,IF(R233&lt;=Config.!$D$10,"meta","nops"),"")</f>
        <v>nops</v>
      </c>
      <c r="T233" s="32"/>
    </row>
    <row r="234" spans="1:20" ht="20.100000000000001" customHeight="1">
      <c r="A234" s="22" t="s">
        <v>21</v>
      </c>
      <c r="B234" s="20">
        <v>231</v>
      </c>
      <c r="C234" s="57">
        <f>IF(COUNTBLANK(H233)=1,(C233*Config.!$D$12)+C233,(H233*Config.!$D$12)+H233)</f>
        <v>96.97050939454769</v>
      </c>
      <c r="D234" s="57">
        <f t="shared" si="17"/>
        <v>1.9013825371479953</v>
      </c>
      <c r="E234" s="67"/>
      <c r="F234" s="68" t="str">
        <f t="shared" si="15"/>
        <v>-</v>
      </c>
      <c r="G234" s="12" t="str">
        <f>IF(COUNTBLANK(H234)=1,IF(C234&lt;=Config.!$D$10,"meta","nops"),"")</f>
        <v>nops</v>
      </c>
      <c r="H234" s="58"/>
      <c r="I234" s="59" t="str">
        <f t="shared" si="18"/>
        <v/>
      </c>
      <c r="J234" s="59" t="str">
        <f t="shared" si="16"/>
        <v/>
      </c>
      <c r="K234" s="53" t="str">
        <f t="shared" si="19"/>
        <v/>
      </c>
      <c r="R234" s="27">
        <f>IF(COUNTBLANK(T233)=1,(R233*Config.!$D$12)+R233,(T233*Config.!$D$12)+T233)</f>
        <v>96.97050939454769</v>
      </c>
      <c r="S234" s="28" t="str">
        <f>IF(COUNTBLANK(T234)=1,IF(R234&lt;=Config.!$D$10,"meta","nops"),"")</f>
        <v>nops</v>
      </c>
      <c r="T234" s="32"/>
    </row>
    <row r="235" spans="1:20" ht="20.100000000000001" customHeight="1">
      <c r="A235" s="22" t="s">
        <v>21</v>
      </c>
      <c r="B235" s="20">
        <v>232</v>
      </c>
      <c r="C235" s="57">
        <f>IF(COUNTBLANK(H234)=1,(C234*Config.!$D$12)+C234,(H234*Config.!$D$12)+H234)</f>
        <v>98.909919582438647</v>
      </c>
      <c r="D235" s="57">
        <f t="shared" si="17"/>
        <v>1.9394101878909566</v>
      </c>
      <c r="E235" s="67"/>
      <c r="F235" s="68" t="str">
        <f t="shared" si="15"/>
        <v>-</v>
      </c>
      <c r="G235" s="12" t="str">
        <f>IF(COUNTBLANK(H235)=1,IF(C235&lt;=Config.!$D$10,"meta","nops"),"")</f>
        <v>nops</v>
      </c>
      <c r="H235" s="58"/>
      <c r="I235" s="59" t="str">
        <f t="shared" si="18"/>
        <v/>
      </c>
      <c r="J235" s="59" t="str">
        <f t="shared" si="16"/>
        <v/>
      </c>
      <c r="K235" s="53" t="str">
        <f t="shared" si="19"/>
        <v/>
      </c>
      <c r="R235" s="27">
        <f>IF(COUNTBLANK(T234)=1,(R234*Config.!$D$12)+R234,(T234*Config.!$D$12)+T234)</f>
        <v>98.909919582438647</v>
      </c>
      <c r="S235" s="28" t="str">
        <f>IF(COUNTBLANK(T235)=1,IF(R235&lt;=Config.!$D$10,"meta","nops"),"")</f>
        <v>nops</v>
      </c>
      <c r="T235" s="32"/>
    </row>
    <row r="236" spans="1:20" ht="20.100000000000001" customHeight="1">
      <c r="A236" s="22" t="s">
        <v>21</v>
      </c>
      <c r="B236" s="20">
        <v>233</v>
      </c>
      <c r="C236" s="57">
        <f>IF(COUNTBLANK(H235)=1,(C235*Config.!$D$12)+C235,(H235*Config.!$D$12)+H235)</f>
        <v>100.88811797408742</v>
      </c>
      <c r="D236" s="57">
        <f t="shared" si="17"/>
        <v>1.9781983916487746</v>
      </c>
      <c r="E236" s="67"/>
      <c r="F236" s="68" t="str">
        <f t="shared" si="15"/>
        <v>-</v>
      </c>
      <c r="G236" s="12" t="str">
        <f>IF(COUNTBLANK(H236)=1,IF(C236&lt;=Config.!$D$10,"meta","nops"),"")</f>
        <v>nops</v>
      </c>
      <c r="H236" s="58"/>
      <c r="I236" s="59" t="str">
        <f t="shared" si="18"/>
        <v/>
      </c>
      <c r="J236" s="59" t="str">
        <f t="shared" si="16"/>
        <v/>
      </c>
      <c r="K236" s="53" t="str">
        <f t="shared" si="19"/>
        <v/>
      </c>
      <c r="R236" s="27">
        <f>IF(COUNTBLANK(T235)=1,(R235*Config.!$D$12)+R235,(T235*Config.!$D$12)+T235)</f>
        <v>100.88811797408742</v>
      </c>
      <c r="S236" s="28" t="str">
        <f>IF(COUNTBLANK(T236)=1,IF(R236&lt;=Config.!$D$10,"meta","nops"),"")</f>
        <v>nops</v>
      </c>
      <c r="T236" s="32"/>
    </row>
    <row r="237" spans="1:20" ht="20.100000000000001" customHeight="1">
      <c r="A237" s="22" t="s">
        <v>21</v>
      </c>
      <c r="B237" s="20">
        <v>234</v>
      </c>
      <c r="C237" s="57">
        <f>IF(COUNTBLANK(H236)=1,(C236*Config.!$D$12)+C236,(H236*Config.!$D$12)+H236)</f>
        <v>102.90588033356917</v>
      </c>
      <c r="D237" s="57">
        <f t="shared" si="17"/>
        <v>2.0177623594817504</v>
      </c>
      <c r="E237" s="67"/>
      <c r="F237" s="68" t="str">
        <f t="shared" si="15"/>
        <v>-</v>
      </c>
      <c r="G237" s="12" t="str">
        <f>IF(COUNTBLANK(H237)=1,IF(C237&lt;=Config.!$D$10,"meta","nops"),"")</f>
        <v>nops</v>
      </c>
      <c r="H237" s="58"/>
      <c r="I237" s="59" t="str">
        <f t="shared" si="18"/>
        <v/>
      </c>
      <c r="J237" s="59" t="str">
        <f t="shared" si="16"/>
        <v/>
      </c>
      <c r="K237" s="53" t="str">
        <f t="shared" si="19"/>
        <v/>
      </c>
      <c r="R237" s="27">
        <f>IF(COUNTBLANK(T236)=1,(R236*Config.!$D$12)+R236,(T236*Config.!$D$12)+T236)</f>
        <v>102.90588033356917</v>
      </c>
      <c r="S237" s="28" t="str">
        <f>IF(COUNTBLANK(T237)=1,IF(R237&lt;=Config.!$D$10,"meta","nops"),"")</f>
        <v>nops</v>
      </c>
      <c r="T237" s="32"/>
    </row>
    <row r="238" spans="1:20" ht="20.100000000000001" customHeight="1">
      <c r="A238" s="22" t="s">
        <v>21</v>
      </c>
      <c r="B238" s="20">
        <v>235</v>
      </c>
      <c r="C238" s="57">
        <f>IF(COUNTBLANK(H237)=1,(C237*Config.!$D$12)+C237,(H237*Config.!$D$12)+H237)</f>
        <v>104.96399794024056</v>
      </c>
      <c r="D238" s="57">
        <f t="shared" si="17"/>
        <v>2.058117606671388</v>
      </c>
      <c r="E238" s="67"/>
      <c r="F238" s="68" t="str">
        <f t="shared" si="15"/>
        <v>-</v>
      </c>
      <c r="G238" s="12" t="str">
        <f>IF(COUNTBLANK(H238)=1,IF(C238&lt;=Config.!$D$10,"meta","nops"),"")</f>
        <v>nops</v>
      </c>
      <c r="H238" s="58"/>
      <c r="I238" s="59" t="str">
        <f t="shared" si="18"/>
        <v/>
      </c>
      <c r="J238" s="59" t="str">
        <f t="shared" si="16"/>
        <v/>
      </c>
      <c r="K238" s="53" t="str">
        <f t="shared" si="19"/>
        <v/>
      </c>
      <c r="R238" s="27">
        <f>IF(COUNTBLANK(T237)=1,(R237*Config.!$D$12)+R237,(T237*Config.!$D$12)+T237)</f>
        <v>104.96399794024056</v>
      </c>
      <c r="S238" s="28" t="str">
        <f>IF(COUNTBLANK(T238)=1,IF(R238&lt;=Config.!$D$10,"meta","nops"),"")</f>
        <v>nops</v>
      </c>
      <c r="T238" s="32"/>
    </row>
    <row r="239" spans="1:20" ht="20.100000000000001" customHeight="1">
      <c r="A239" s="22" t="s">
        <v>21</v>
      </c>
      <c r="B239" s="20">
        <v>236</v>
      </c>
      <c r="C239" s="57">
        <f>IF(COUNTBLANK(H238)=1,(C238*Config.!$D$12)+C238,(H238*Config.!$D$12)+H238)</f>
        <v>107.06327789904537</v>
      </c>
      <c r="D239" s="57">
        <f t="shared" si="17"/>
        <v>2.0992799588048143</v>
      </c>
      <c r="E239" s="67"/>
      <c r="F239" s="68" t="str">
        <f t="shared" si="15"/>
        <v>-</v>
      </c>
      <c r="G239" s="12" t="str">
        <f>IF(COUNTBLANK(H239)=1,IF(C239&lt;=Config.!$D$10,"meta","nops"),"")</f>
        <v>nops</v>
      </c>
      <c r="H239" s="58"/>
      <c r="I239" s="59" t="str">
        <f t="shared" si="18"/>
        <v/>
      </c>
      <c r="J239" s="59" t="str">
        <f t="shared" si="16"/>
        <v/>
      </c>
      <c r="K239" s="53" t="str">
        <f t="shared" si="19"/>
        <v/>
      </c>
      <c r="R239" s="27">
        <f>IF(COUNTBLANK(T238)=1,(R238*Config.!$D$12)+R238,(T238*Config.!$D$12)+T238)</f>
        <v>107.06327789904537</v>
      </c>
      <c r="S239" s="28" t="str">
        <f>IF(COUNTBLANK(T239)=1,IF(R239&lt;=Config.!$D$10,"meta","nops"),"")</f>
        <v>nops</v>
      </c>
      <c r="T239" s="32"/>
    </row>
    <row r="240" spans="1:20" ht="20.100000000000001" customHeight="1">
      <c r="A240" s="22" t="s">
        <v>21</v>
      </c>
      <c r="B240" s="20">
        <v>237</v>
      </c>
      <c r="C240" s="57">
        <f>IF(COUNTBLANK(H239)=1,(C239*Config.!$D$12)+C239,(H239*Config.!$D$12)+H239)</f>
        <v>109.20454345702628</v>
      </c>
      <c r="D240" s="57">
        <f t="shared" si="17"/>
        <v>2.1412655579809012</v>
      </c>
      <c r="E240" s="67"/>
      <c r="F240" s="68" t="str">
        <f t="shared" si="15"/>
        <v>-</v>
      </c>
      <c r="G240" s="12" t="str">
        <f>IF(COUNTBLANK(H240)=1,IF(C240&lt;=Config.!$D$10,"meta","nops"),"")</f>
        <v>nops</v>
      </c>
      <c r="H240" s="58"/>
      <c r="I240" s="59" t="str">
        <f t="shared" si="18"/>
        <v/>
      </c>
      <c r="J240" s="59" t="str">
        <f t="shared" si="16"/>
        <v/>
      </c>
      <c r="K240" s="53" t="str">
        <f t="shared" si="19"/>
        <v/>
      </c>
      <c r="R240" s="27">
        <f>IF(COUNTBLANK(T239)=1,(R239*Config.!$D$12)+R239,(T239*Config.!$D$12)+T239)</f>
        <v>109.20454345702628</v>
      </c>
      <c r="S240" s="28" t="str">
        <f>IF(COUNTBLANK(T240)=1,IF(R240&lt;=Config.!$D$10,"meta","nops"),"")</f>
        <v>nops</v>
      </c>
      <c r="T240" s="32"/>
    </row>
    <row r="241" spans="1:20" ht="20.100000000000001" customHeight="1">
      <c r="A241" s="22" t="s">
        <v>21</v>
      </c>
      <c r="B241" s="20">
        <v>238</v>
      </c>
      <c r="C241" s="57">
        <f>IF(COUNTBLANK(H240)=1,(C240*Config.!$D$12)+C240,(H240*Config.!$D$12)+H240)</f>
        <v>111.38863432616679</v>
      </c>
      <c r="D241" s="57">
        <f t="shared" si="17"/>
        <v>2.184090869140519</v>
      </c>
      <c r="E241" s="67"/>
      <c r="F241" s="68" t="str">
        <f t="shared" si="15"/>
        <v>-</v>
      </c>
      <c r="G241" s="12" t="str">
        <f>IF(COUNTBLANK(H241)=1,IF(C241&lt;=Config.!$D$10,"meta","nops"),"")</f>
        <v>nops</v>
      </c>
      <c r="H241" s="58"/>
      <c r="I241" s="59" t="str">
        <f t="shared" si="18"/>
        <v/>
      </c>
      <c r="J241" s="59" t="str">
        <f t="shared" si="16"/>
        <v/>
      </c>
      <c r="K241" s="53" t="str">
        <f t="shared" si="19"/>
        <v/>
      </c>
      <c r="R241" s="27">
        <f>IF(COUNTBLANK(T240)=1,(R240*Config.!$D$12)+R240,(T240*Config.!$D$12)+T240)</f>
        <v>111.38863432616679</v>
      </c>
      <c r="S241" s="28" t="str">
        <f>IF(COUNTBLANK(T241)=1,IF(R241&lt;=Config.!$D$10,"meta","nops"),"")</f>
        <v>nops</v>
      </c>
      <c r="T241" s="32"/>
    </row>
    <row r="242" spans="1:20" ht="20.100000000000001" customHeight="1">
      <c r="A242" s="22" t="s">
        <v>21</v>
      </c>
      <c r="B242" s="20">
        <v>239</v>
      </c>
      <c r="C242" s="57">
        <f>IF(COUNTBLANK(H241)=1,(C241*Config.!$D$12)+C241,(H241*Config.!$D$12)+H241)</f>
        <v>113.61640701269013</v>
      </c>
      <c r="D242" s="57">
        <f t="shared" si="17"/>
        <v>2.2277726865233376</v>
      </c>
      <c r="E242" s="67"/>
      <c r="F242" s="68" t="str">
        <f t="shared" si="15"/>
        <v>-</v>
      </c>
      <c r="G242" s="12" t="str">
        <f>IF(COUNTBLANK(H242)=1,IF(C242&lt;=Config.!$D$10,"meta","nops"),"")</f>
        <v>nops</v>
      </c>
      <c r="H242" s="58"/>
      <c r="I242" s="59" t="str">
        <f t="shared" si="18"/>
        <v/>
      </c>
      <c r="J242" s="59" t="str">
        <f t="shared" si="16"/>
        <v/>
      </c>
      <c r="K242" s="53" t="str">
        <f t="shared" si="19"/>
        <v/>
      </c>
      <c r="R242" s="27">
        <f>IF(COUNTBLANK(T241)=1,(R241*Config.!$D$12)+R241,(T241*Config.!$D$12)+T241)</f>
        <v>113.61640701269013</v>
      </c>
      <c r="S242" s="28" t="str">
        <f>IF(COUNTBLANK(T242)=1,IF(R242&lt;=Config.!$D$10,"meta","nops"),"")</f>
        <v>nops</v>
      </c>
      <c r="T242" s="32"/>
    </row>
    <row r="243" spans="1:20" ht="20.100000000000001" customHeight="1">
      <c r="A243" s="22" t="s">
        <v>21</v>
      </c>
      <c r="B243" s="20">
        <v>240</v>
      </c>
      <c r="C243" s="57">
        <f>IF(COUNTBLANK(H242)=1,(C242*Config.!$D$12)+C242,(H242*Config.!$D$12)+H242)</f>
        <v>115.88873515294394</v>
      </c>
      <c r="D243" s="57">
        <f t="shared" si="17"/>
        <v>2.2723281402538049</v>
      </c>
      <c r="E243" s="67"/>
      <c r="F243" s="68" t="str">
        <f t="shared" si="15"/>
        <v>-</v>
      </c>
      <c r="G243" s="12" t="str">
        <f>IF(COUNTBLANK(H243)=1,IF(C243&lt;=Config.!$D$10,"meta","nops"),"")</f>
        <v>nops</v>
      </c>
      <c r="H243" s="58"/>
      <c r="I243" s="59" t="str">
        <f t="shared" si="18"/>
        <v/>
      </c>
      <c r="J243" s="59" t="str">
        <f t="shared" si="16"/>
        <v/>
      </c>
      <c r="K243" s="53" t="str">
        <f t="shared" si="19"/>
        <v/>
      </c>
      <c r="R243" s="27">
        <f>IF(COUNTBLANK(T242)=1,(R242*Config.!$D$12)+R242,(T242*Config.!$D$12)+T242)</f>
        <v>115.88873515294394</v>
      </c>
      <c r="S243" s="28" t="str">
        <f>IF(COUNTBLANK(T243)=1,IF(R243&lt;=Config.!$D$10,"meta","nops"),"")</f>
        <v>nops</v>
      </c>
      <c r="T243" s="32"/>
    </row>
    <row r="244" spans="1:20" ht="20.100000000000001" customHeight="1">
      <c r="A244" s="22" t="s">
        <v>21</v>
      </c>
      <c r="B244" s="20">
        <v>241</v>
      </c>
      <c r="C244" s="57">
        <f>IF(COUNTBLANK(H243)=1,(C243*Config.!$D$12)+C243,(H243*Config.!$D$12)+H243)</f>
        <v>118.20650985600281</v>
      </c>
      <c r="D244" s="57">
        <f t="shared" si="17"/>
        <v>2.3177747030588733</v>
      </c>
      <c r="E244" s="67"/>
      <c r="F244" s="68" t="str">
        <f t="shared" si="15"/>
        <v>-</v>
      </c>
      <c r="G244" s="12" t="str">
        <f>IF(COUNTBLANK(H244)=1,IF(C244&lt;=Config.!$D$10,"meta","nops"),"")</f>
        <v>nops</v>
      </c>
      <c r="H244" s="58"/>
      <c r="I244" s="59" t="str">
        <f t="shared" si="18"/>
        <v/>
      </c>
      <c r="J244" s="59" t="str">
        <f t="shared" si="16"/>
        <v/>
      </c>
      <c r="K244" s="53" t="str">
        <f t="shared" si="19"/>
        <v/>
      </c>
      <c r="R244" s="27">
        <f>IF(COUNTBLANK(T243)=1,(R243*Config.!$D$12)+R243,(T243*Config.!$D$12)+T243)</f>
        <v>118.20650985600281</v>
      </c>
      <c r="S244" s="28" t="str">
        <f>IF(COUNTBLANK(T244)=1,IF(R244&lt;=Config.!$D$10,"meta","nops"),"")</f>
        <v>nops</v>
      </c>
      <c r="T244" s="32"/>
    </row>
    <row r="245" spans="1:20" ht="20.100000000000001" customHeight="1">
      <c r="A245" s="22" t="s">
        <v>21</v>
      </c>
      <c r="B245" s="20">
        <v>242</v>
      </c>
      <c r="C245" s="57">
        <f>IF(COUNTBLANK(H244)=1,(C244*Config.!$D$12)+C244,(H244*Config.!$D$12)+H244)</f>
        <v>120.57064005312287</v>
      </c>
      <c r="D245" s="57">
        <f t="shared" si="17"/>
        <v>2.3641301971200619</v>
      </c>
      <c r="E245" s="67"/>
      <c r="F245" s="68" t="str">
        <f t="shared" si="15"/>
        <v>-</v>
      </c>
      <c r="G245" s="12" t="str">
        <f>IF(COUNTBLANK(H245)=1,IF(C245&lt;=Config.!$D$10,"meta","nops"),"")</f>
        <v>nops</v>
      </c>
      <c r="H245" s="58"/>
      <c r="I245" s="59" t="str">
        <f t="shared" si="18"/>
        <v/>
      </c>
      <c r="J245" s="59" t="str">
        <f t="shared" si="16"/>
        <v/>
      </c>
      <c r="K245" s="53" t="str">
        <f t="shared" si="19"/>
        <v/>
      </c>
      <c r="R245" s="27">
        <f>IF(COUNTBLANK(T244)=1,(R244*Config.!$D$12)+R244,(T244*Config.!$D$12)+T244)</f>
        <v>120.57064005312287</v>
      </c>
      <c r="S245" s="28" t="str">
        <f>IF(COUNTBLANK(T245)=1,IF(R245&lt;=Config.!$D$10,"meta","nops"),"")</f>
        <v>nops</v>
      </c>
      <c r="T245" s="32"/>
    </row>
    <row r="246" spans="1:20" ht="20.100000000000001" customHeight="1">
      <c r="A246" s="22" t="s">
        <v>21</v>
      </c>
      <c r="B246" s="20">
        <v>243</v>
      </c>
      <c r="C246" s="57">
        <f>IF(COUNTBLANK(H245)=1,(C245*Config.!$D$12)+C245,(H245*Config.!$D$12)+H245)</f>
        <v>122.98205285418533</v>
      </c>
      <c r="D246" s="57">
        <f t="shared" si="17"/>
        <v>2.411412801062454</v>
      </c>
      <c r="E246" s="67"/>
      <c r="F246" s="68" t="str">
        <f t="shared" si="15"/>
        <v>-</v>
      </c>
      <c r="G246" s="12" t="str">
        <f>IF(COUNTBLANK(H246)=1,IF(C246&lt;=Config.!$D$10,"meta","nops"),"")</f>
        <v>nops</v>
      </c>
      <c r="H246" s="58"/>
      <c r="I246" s="59" t="str">
        <f t="shared" si="18"/>
        <v/>
      </c>
      <c r="J246" s="59" t="str">
        <f t="shared" si="16"/>
        <v/>
      </c>
      <c r="K246" s="53" t="str">
        <f t="shared" si="19"/>
        <v/>
      </c>
      <c r="R246" s="27">
        <f>IF(COUNTBLANK(T245)=1,(R245*Config.!$D$12)+R245,(T245*Config.!$D$12)+T245)</f>
        <v>122.98205285418533</v>
      </c>
      <c r="S246" s="28" t="str">
        <f>IF(COUNTBLANK(T246)=1,IF(R246&lt;=Config.!$D$10,"meta","nops"),"")</f>
        <v>nops</v>
      </c>
      <c r="T246" s="32"/>
    </row>
    <row r="247" spans="1:20" ht="20.100000000000001" customHeight="1">
      <c r="A247" s="22" t="s">
        <v>21</v>
      </c>
      <c r="B247" s="20">
        <v>244</v>
      </c>
      <c r="C247" s="57">
        <f>IF(COUNTBLANK(H246)=1,(C246*Config.!$D$12)+C246,(H246*Config.!$D$12)+H246)</f>
        <v>125.44169391126903</v>
      </c>
      <c r="D247" s="57">
        <f t="shared" si="17"/>
        <v>2.4596410570837008</v>
      </c>
      <c r="E247" s="67"/>
      <c r="F247" s="68" t="str">
        <f t="shared" si="15"/>
        <v>-</v>
      </c>
      <c r="G247" s="12" t="str">
        <f>IF(COUNTBLANK(H247)=1,IF(C247&lt;=Config.!$D$10,"meta","nops"),"")</f>
        <v>nops</v>
      </c>
      <c r="H247" s="58"/>
      <c r="I247" s="59" t="str">
        <f t="shared" si="18"/>
        <v/>
      </c>
      <c r="J247" s="59" t="str">
        <f t="shared" si="16"/>
        <v/>
      </c>
      <c r="K247" s="53" t="str">
        <f t="shared" si="19"/>
        <v/>
      </c>
      <c r="R247" s="27">
        <f>IF(COUNTBLANK(T246)=1,(R246*Config.!$D$12)+R246,(T246*Config.!$D$12)+T246)</f>
        <v>125.44169391126903</v>
      </c>
      <c r="S247" s="28" t="str">
        <f>IF(COUNTBLANK(T247)=1,IF(R247&lt;=Config.!$D$10,"meta","nops"),"")</f>
        <v>nops</v>
      </c>
      <c r="T247" s="32"/>
    </row>
    <row r="248" spans="1:20" ht="20.100000000000001" customHeight="1">
      <c r="A248" s="22" t="s">
        <v>21</v>
      </c>
      <c r="B248" s="20">
        <v>245</v>
      </c>
      <c r="C248" s="57">
        <f>IF(COUNTBLANK(H247)=1,(C247*Config.!$D$12)+C247,(H247*Config.!$D$12)+H247)</f>
        <v>127.9505277894944</v>
      </c>
      <c r="D248" s="57">
        <f t="shared" si="17"/>
        <v>2.5088338782253743</v>
      </c>
      <c r="E248" s="67"/>
      <c r="F248" s="68" t="str">
        <f t="shared" si="15"/>
        <v>-</v>
      </c>
      <c r="G248" s="12" t="str">
        <f>IF(COUNTBLANK(H248)=1,IF(C248&lt;=Config.!$D$10,"meta","nops"),"")</f>
        <v>nops</v>
      </c>
      <c r="H248" s="58"/>
      <c r="I248" s="59" t="str">
        <f t="shared" si="18"/>
        <v/>
      </c>
      <c r="J248" s="59" t="str">
        <f t="shared" si="16"/>
        <v/>
      </c>
      <c r="K248" s="53" t="str">
        <f t="shared" si="19"/>
        <v/>
      </c>
      <c r="R248" s="27">
        <f>IF(COUNTBLANK(T247)=1,(R247*Config.!$D$12)+R247,(T247*Config.!$D$12)+T247)</f>
        <v>127.9505277894944</v>
      </c>
      <c r="S248" s="28" t="str">
        <f>IF(COUNTBLANK(T248)=1,IF(R248&lt;=Config.!$D$10,"meta","nops"),"")</f>
        <v>nops</v>
      </c>
      <c r="T248" s="32"/>
    </row>
    <row r="249" spans="1:20" ht="20.100000000000001" customHeight="1">
      <c r="A249" s="22" t="s">
        <v>21</v>
      </c>
      <c r="B249" s="20">
        <v>246</v>
      </c>
      <c r="C249" s="57">
        <f>IF(COUNTBLANK(H248)=1,(C248*Config.!$D$12)+C248,(H248*Config.!$D$12)+H248)</f>
        <v>130.50953834528428</v>
      </c>
      <c r="D249" s="57">
        <f t="shared" si="17"/>
        <v>2.5590105557898823</v>
      </c>
      <c r="E249" s="67"/>
      <c r="F249" s="68" t="str">
        <f t="shared" si="15"/>
        <v>-</v>
      </c>
      <c r="G249" s="12" t="str">
        <f>IF(COUNTBLANK(H249)=1,IF(C249&lt;=Config.!$D$10,"meta","nops"),"")</f>
        <v>nops</v>
      </c>
      <c r="H249" s="58"/>
      <c r="I249" s="59" t="str">
        <f t="shared" si="18"/>
        <v/>
      </c>
      <c r="J249" s="59" t="str">
        <f t="shared" si="16"/>
        <v/>
      </c>
      <c r="K249" s="53" t="str">
        <f t="shared" si="19"/>
        <v/>
      </c>
      <c r="R249" s="27">
        <f>IF(COUNTBLANK(T248)=1,(R248*Config.!$D$12)+R248,(T248*Config.!$D$12)+T248)</f>
        <v>130.50953834528428</v>
      </c>
      <c r="S249" s="28" t="str">
        <f>IF(COUNTBLANK(T249)=1,IF(R249&lt;=Config.!$D$10,"meta","nops"),"")</f>
        <v>nops</v>
      </c>
      <c r="T249" s="32"/>
    </row>
    <row r="250" spans="1:20" ht="20.100000000000001" customHeight="1">
      <c r="A250" s="22" t="s">
        <v>21</v>
      </c>
      <c r="B250" s="20">
        <v>247</v>
      </c>
      <c r="C250" s="57">
        <f>IF(COUNTBLANK(H249)=1,(C249*Config.!$D$12)+C249,(H249*Config.!$D$12)+H249)</f>
        <v>133.11972911218996</v>
      </c>
      <c r="D250" s="57">
        <f t="shared" si="17"/>
        <v>2.6101907669056743</v>
      </c>
      <c r="E250" s="67"/>
      <c r="F250" s="68" t="str">
        <f t="shared" si="15"/>
        <v>-</v>
      </c>
      <c r="G250" s="12" t="str">
        <f>IF(COUNTBLANK(H250)=1,IF(C250&lt;=Config.!$D$10,"meta","nops"),"")</f>
        <v>nops</v>
      </c>
      <c r="H250" s="58"/>
      <c r="I250" s="59" t="str">
        <f t="shared" si="18"/>
        <v/>
      </c>
      <c r="J250" s="59" t="str">
        <f t="shared" si="16"/>
        <v/>
      </c>
      <c r="K250" s="53" t="str">
        <f t="shared" si="19"/>
        <v/>
      </c>
      <c r="R250" s="27">
        <f>IF(COUNTBLANK(T249)=1,(R249*Config.!$D$12)+R249,(T249*Config.!$D$12)+T249)</f>
        <v>133.11972911218996</v>
      </c>
      <c r="S250" s="28" t="str">
        <f>IF(COUNTBLANK(T250)=1,IF(R250&lt;=Config.!$D$10,"meta","nops"),"")</f>
        <v>nops</v>
      </c>
      <c r="T250" s="32"/>
    </row>
    <row r="251" spans="1:20" ht="20.100000000000001" customHeight="1">
      <c r="A251" s="22" t="s">
        <v>21</v>
      </c>
      <c r="B251" s="20">
        <v>248</v>
      </c>
      <c r="C251" s="57">
        <f>IF(COUNTBLANK(H250)=1,(C250*Config.!$D$12)+C250,(H250*Config.!$D$12)+H250)</f>
        <v>135.78212369443375</v>
      </c>
      <c r="D251" s="57">
        <f t="shared" si="17"/>
        <v>2.6623945822437918</v>
      </c>
      <c r="E251" s="67"/>
      <c r="F251" s="68" t="str">
        <f t="shared" si="15"/>
        <v>-</v>
      </c>
      <c r="G251" s="12" t="str">
        <f>IF(COUNTBLANK(H251)=1,IF(C251&lt;=Config.!$D$10,"meta","nops"),"")</f>
        <v>nops</v>
      </c>
      <c r="H251" s="58"/>
      <c r="I251" s="59" t="str">
        <f t="shared" si="18"/>
        <v/>
      </c>
      <c r="J251" s="59" t="str">
        <f t="shared" si="16"/>
        <v/>
      </c>
      <c r="K251" s="53" t="str">
        <f t="shared" si="19"/>
        <v/>
      </c>
      <c r="R251" s="27">
        <f>IF(COUNTBLANK(T250)=1,(R250*Config.!$D$12)+R250,(T250*Config.!$D$12)+T250)</f>
        <v>135.78212369443375</v>
      </c>
      <c r="S251" s="28" t="str">
        <f>IF(COUNTBLANK(T251)=1,IF(R251&lt;=Config.!$D$10,"meta","nops"),"")</f>
        <v>nops</v>
      </c>
      <c r="T251" s="32"/>
    </row>
    <row r="252" spans="1:20" ht="20.100000000000001" customHeight="1">
      <c r="A252" s="22" t="s">
        <v>21</v>
      </c>
      <c r="B252" s="20">
        <v>249</v>
      </c>
      <c r="C252" s="57">
        <f>IF(COUNTBLANK(H251)=1,(C251*Config.!$D$12)+C251,(H251*Config.!$D$12)+H251)</f>
        <v>138.49776616832241</v>
      </c>
      <c r="D252" s="57">
        <f t="shared" si="17"/>
        <v>2.7156424738886642</v>
      </c>
      <c r="E252" s="67"/>
      <c r="F252" s="68" t="str">
        <f t="shared" si="15"/>
        <v>-</v>
      </c>
      <c r="G252" s="12" t="str">
        <f>IF(COUNTBLANK(H252)=1,IF(C252&lt;=Config.!$D$10,"meta","nops"),"")</f>
        <v>nops</v>
      </c>
      <c r="H252" s="58"/>
      <c r="I252" s="59" t="str">
        <f t="shared" si="18"/>
        <v/>
      </c>
      <c r="J252" s="59" t="str">
        <f t="shared" si="16"/>
        <v/>
      </c>
      <c r="K252" s="53" t="str">
        <f t="shared" si="19"/>
        <v/>
      </c>
      <c r="R252" s="27">
        <f>IF(COUNTBLANK(T251)=1,(R251*Config.!$D$12)+R251,(T251*Config.!$D$12)+T251)</f>
        <v>138.49776616832241</v>
      </c>
      <c r="S252" s="28" t="str">
        <f>IF(COUNTBLANK(T252)=1,IF(R252&lt;=Config.!$D$10,"meta","nops"),"")</f>
        <v>nops</v>
      </c>
      <c r="T252" s="32"/>
    </row>
    <row r="253" spans="1:20" ht="20.100000000000001" customHeight="1">
      <c r="A253" s="22" t="s">
        <v>21</v>
      </c>
      <c r="B253" s="20">
        <v>250</v>
      </c>
      <c r="C253" s="57">
        <f>IF(COUNTBLANK(H252)=1,(C252*Config.!$D$12)+C252,(H252*Config.!$D$12)+H252)</f>
        <v>141.26772149168886</v>
      </c>
      <c r="D253" s="57">
        <f t="shared" si="17"/>
        <v>2.769955323366446</v>
      </c>
      <c r="E253" s="67"/>
      <c r="F253" s="68" t="str">
        <f t="shared" si="15"/>
        <v>-</v>
      </c>
      <c r="G253" s="12" t="str">
        <f>IF(COUNTBLANK(H253)=1,IF(C253&lt;=Config.!$D$10,"meta","nops"),"")</f>
        <v>nops</v>
      </c>
      <c r="H253" s="58"/>
      <c r="I253" s="59" t="str">
        <f t="shared" si="18"/>
        <v/>
      </c>
      <c r="J253" s="59" t="str">
        <f t="shared" si="16"/>
        <v/>
      </c>
      <c r="K253" s="53" t="str">
        <f t="shared" si="19"/>
        <v/>
      </c>
      <c r="R253" s="27">
        <f>IF(COUNTBLANK(T252)=1,(R252*Config.!$D$12)+R252,(T252*Config.!$D$12)+T252)</f>
        <v>141.26772149168886</v>
      </c>
      <c r="S253" s="28" t="str">
        <f>IF(COUNTBLANK(T253)=1,IF(R253&lt;=Config.!$D$10,"meta","nops"),"")</f>
        <v>nops</v>
      </c>
      <c r="T253" s="32"/>
    </row>
    <row r="254" spans="1:20" ht="20.100000000000001" customHeight="1">
      <c r="A254" s="22" t="s">
        <v>21</v>
      </c>
      <c r="B254" s="20">
        <v>251</v>
      </c>
      <c r="C254" s="57">
        <f>IF(COUNTBLANK(H253)=1,(C253*Config.!$D$12)+C253,(H253*Config.!$D$12)+H253)</f>
        <v>144.09307592152263</v>
      </c>
      <c r="D254" s="57">
        <f t="shared" si="17"/>
        <v>2.8253544298337658</v>
      </c>
      <c r="E254" s="67"/>
      <c r="F254" s="68" t="str">
        <f t="shared" si="15"/>
        <v>-</v>
      </c>
      <c r="G254" s="12" t="str">
        <f>IF(COUNTBLANK(H254)=1,IF(C254&lt;=Config.!$D$10,"meta","nops"),"")</f>
        <v>nops</v>
      </c>
      <c r="H254" s="58"/>
      <c r="I254" s="59" t="str">
        <f t="shared" si="18"/>
        <v/>
      </c>
      <c r="J254" s="59" t="str">
        <f t="shared" si="16"/>
        <v/>
      </c>
      <c r="K254" s="53" t="str">
        <f t="shared" si="19"/>
        <v/>
      </c>
      <c r="R254" s="27">
        <f>IF(COUNTBLANK(T253)=1,(R253*Config.!$D$12)+R253,(T253*Config.!$D$12)+T253)</f>
        <v>144.09307592152263</v>
      </c>
      <c r="S254" s="28" t="str">
        <f>IF(COUNTBLANK(T254)=1,IF(R254&lt;=Config.!$D$10,"meta","nops"),"")</f>
        <v>nops</v>
      </c>
      <c r="T254" s="32"/>
    </row>
    <row r="255" spans="1:20" ht="20.100000000000001" customHeight="1">
      <c r="A255" s="22" t="s">
        <v>21</v>
      </c>
      <c r="B255" s="20">
        <v>252</v>
      </c>
      <c r="C255" s="57">
        <f>IF(COUNTBLANK(H254)=1,(C254*Config.!$D$12)+C254,(H254*Config.!$D$12)+H254)</f>
        <v>146.97493743995307</v>
      </c>
      <c r="D255" s="57">
        <f t="shared" si="17"/>
        <v>2.8818615184304406</v>
      </c>
      <c r="E255" s="67"/>
      <c r="F255" s="68" t="str">
        <f t="shared" si="15"/>
        <v>-</v>
      </c>
      <c r="G255" s="12" t="str">
        <f>IF(COUNTBLANK(H255)=1,IF(C255&lt;=Config.!$D$10,"meta","nops"),"")</f>
        <v>nops</v>
      </c>
      <c r="H255" s="58"/>
      <c r="I255" s="59" t="str">
        <f t="shared" si="18"/>
        <v/>
      </c>
      <c r="J255" s="59" t="str">
        <f t="shared" si="16"/>
        <v/>
      </c>
      <c r="K255" s="53" t="str">
        <f t="shared" si="19"/>
        <v/>
      </c>
      <c r="R255" s="27">
        <f>IF(COUNTBLANK(T254)=1,(R254*Config.!$D$12)+R254,(T254*Config.!$D$12)+T254)</f>
        <v>146.97493743995307</v>
      </c>
      <c r="S255" s="28" t="str">
        <f>IF(COUNTBLANK(T255)=1,IF(R255&lt;=Config.!$D$10,"meta","nops"),"")</f>
        <v>nops</v>
      </c>
      <c r="T255" s="32"/>
    </row>
    <row r="256" spans="1:20" ht="20.100000000000001" customHeight="1">
      <c r="A256" s="22" t="s">
        <v>21</v>
      </c>
      <c r="B256" s="20">
        <v>253</v>
      </c>
      <c r="C256" s="57">
        <f>IF(COUNTBLANK(H255)=1,(C255*Config.!$D$12)+C255,(H255*Config.!$D$12)+H255)</f>
        <v>149.91443618875212</v>
      </c>
      <c r="D256" s="57">
        <f t="shared" si="17"/>
        <v>2.9394987487990534</v>
      </c>
      <c r="E256" s="67"/>
      <c r="F256" s="68" t="str">
        <f t="shared" si="15"/>
        <v>-</v>
      </c>
      <c r="G256" s="12" t="str">
        <f>IF(COUNTBLANK(H256)=1,IF(C256&lt;=Config.!$D$10,"meta","nops"),"")</f>
        <v>nops</v>
      </c>
      <c r="H256" s="58"/>
      <c r="I256" s="59" t="str">
        <f t="shared" si="18"/>
        <v/>
      </c>
      <c r="J256" s="59" t="str">
        <f t="shared" si="16"/>
        <v/>
      </c>
      <c r="K256" s="53" t="str">
        <f t="shared" si="19"/>
        <v/>
      </c>
      <c r="R256" s="27">
        <f>IF(COUNTBLANK(T255)=1,(R255*Config.!$D$12)+R255,(T255*Config.!$D$12)+T255)</f>
        <v>149.91443618875212</v>
      </c>
      <c r="S256" s="28" t="str">
        <f>IF(COUNTBLANK(T256)=1,IF(R256&lt;=Config.!$D$10,"meta","nops"),"")</f>
        <v>nops</v>
      </c>
      <c r="T256" s="32"/>
    </row>
    <row r="257" spans="1:20" ht="20.100000000000001" customHeight="1">
      <c r="A257" s="22" t="s">
        <v>21</v>
      </c>
      <c r="B257" s="20">
        <v>254</v>
      </c>
      <c r="C257" s="57">
        <f>IF(COUNTBLANK(H256)=1,(C256*Config.!$D$12)+C256,(H256*Config.!$D$12)+H256)</f>
        <v>152.91272491252715</v>
      </c>
      <c r="D257" s="57">
        <f t="shared" si="17"/>
        <v>2.9982887237750333</v>
      </c>
      <c r="E257" s="67"/>
      <c r="F257" s="68" t="str">
        <f t="shared" si="15"/>
        <v>-</v>
      </c>
      <c r="G257" s="12" t="str">
        <f>IF(COUNTBLANK(H257)=1,IF(C257&lt;=Config.!$D$10,"meta","nops"),"")</f>
        <v>nops</v>
      </c>
      <c r="H257" s="58"/>
      <c r="I257" s="59" t="str">
        <f t="shared" si="18"/>
        <v/>
      </c>
      <c r="J257" s="59" t="str">
        <f t="shared" si="16"/>
        <v/>
      </c>
      <c r="K257" s="53" t="str">
        <f t="shared" si="19"/>
        <v/>
      </c>
      <c r="R257" s="27">
        <f>IF(COUNTBLANK(T256)=1,(R256*Config.!$D$12)+R256,(T256*Config.!$D$12)+T256)</f>
        <v>152.91272491252715</v>
      </c>
      <c r="S257" s="28" t="str">
        <f>IF(COUNTBLANK(T257)=1,IF(R257&lt;=Config.!$D$10,"meta","nops"),"")</f>
        <v>nops</v>
      </c>
      <c r="T257" s="32"/>
    </row>
    <row r="258" spans="1:20" ht="20.100000000000001" customHeight="1">
      <c r="A258" s="22" t="s">
        <v>21</v>
      </c>
      <c r="B258" s="20">
        <v>255</v>
      </c>
      <c r="C258" s="57">
        <f>IF(COUNTBLANK(H257)=1,(C257*Config.!$D$12)+C257,(H257*Config.!$D$12)+H257)</f>
        <v>155.97097941077769</v>
      </c>
      <c r="D258" s="57">
        <f t="shared" si="17"/>
        <v>3.058254498250534</v>
      </c>
      <c r="E258" s="67"/>
      <c r="F258" s="68" t="str">
        <f t="shared" si="15"/>
        <v>-</v>
      </c>
      <c r="G258" s="12" t="str">
        <f>IF(COUNTBLANK(H258)=1,IF(C258&lt;=Config.!$D$10,"meta","nops"),"")</f>
        <v>nops</v>
      </c>
      <c r="H258" s="58"/>
      <c r="I258" s="59" t="str">
        <f t="shared" si="18"/>
        <v/>
      </c>
      <c r="J258" s="59" t="str">
        <f t="shared" si="16"/>
        <v/>
      </c>
      <c r="K258" s="53" t="str">
        <f t="shared" si="19"/>
        <v/>
      </c>
      <c r="R258" s="27">
        <f>IF(COUNTBLANK(T257)=1,(R257*Config.!$D$12)+R257,(T257*Config.!$D$12)+T257)</f>
        <v>155.97097941077769</v>
      </c>
      <c r="S258" s="28" t="str">
        <f>IF(COUNTBLANK(T258)=1,IF(R258&lt;=Config.!$D$10,"meta","nops"),"")</f>
        <v>nops</v>
      </c>
      <c r="T258" s="32"/>
    </row>
    <row r="259" spans="1:20" ht="20.100000000000001" customHeight="1">
      <c r="A259" s="22" t="s">
        <v>21</v>
      </c>
      <c r="B259" s="20">
        <v>256</v>
      </c>
      <c r="C259" s="57">
        <f>IF(COUNTBLANK(H258)=1,(C258*Config.!$D$12)+C258,(H258*Config.!$D$12)+H258)</f>
        <v>159.09039899899324</v>
      </c>
      <c r="D259" s="57">
        <f t="shared" si="17"/>
        <v>3.1194195882155498</v>
      </c>
      <c r="E259" s="67"/>
      <c r="F259" s="68" t="str">
        <f t="shared" si="15"/>
        <v>-</v>
      </c>
      <c r="G259" s="12" t="str">
        <f>IF(COUNTBLANK(H259)=1,IF(C259&lt;=Config.!$D$10,"meta","nops"),"")</f>
        <v>nops</v>
      </c>
      <c r="H259" s="58"/>
      <c r="I259" s="59" t="str">
        <f t="shared" si="18"/>
        <v/>
      </c>
      <c r="J259" s="59" t="str">
        <f t="shared" si="16"/>
        <v/>
      </c>
      <c r="K259" s="53" t="str">
        <f t="shared" si="19"/>
        <v/>
      </c>
      <c r="R259" s="27">
        <f>IF(COUNTBLANK(T258)=1,(R258*Config.!$D$12)+R258,(T258*Config.!$D$12)+T258)</f>
        <v>159.09039899899324</v>
      </c>
      <c r="S259" s="28" t="str">
        <f>IF(COUNTBLANK(T259)=1,IF(R259&lt;=Config.!$D$10,"meta","nops"),"")</f>
        <v>nops</v>
      </c>
      <c r="T259" s="32"/>
    </row>
    <row r="260" spans="1:20" ht="20.100000000000001" customHeight="1">
      <c r="A260" s="22" t="s">
        <v>21</v>
      </c>
      <c r="B260" s="20">
        <v>257</v>
      </c>
      <c r="C260" s="57">
        <f>IF(COUNTBLANK(H259)=1,(C259*Config.!$D$12)+C259,(H259*Config.!$D$12)+H259)</f>
        <v>162.27220697897309</v>
      </c>
      <c r="D260" s="57">
        <f t="shared" si="17"/>
        <v>3.1818079799798511</v>
      </c>
      <c r="E260" s="67"/>
      <c r="F260" s="68" t="str">
        <f t="shared" si="15"/>
        <v>-</v>
      </c>
      <c r="G260" s="12" t="str">
        <f>IF(COUNTBLANK(H260)=1,IF(C260&lt;=Config.!$D$10,"meta","nops"),"")</f>
        <v>nops</v>
      </c>
      <c r="H260" s="58"/>
      <c r="I260" s="59" t="str">
        <f t="shared" si="18"/>
        <v/>
      </c>
      <c r="J260" s="59" t="str">
        <f t="shared" si="16"/>
        <v/>
      </c>
      <c r="K260" s="53" t="str">
        <f t="shared" si="19"/>
        <v/>
      </c>
      <c r="R260" s="27">
        <f>IF(COUNTBLANK(T259)=1,(R259*Config.!$D$12)+R259,(T259*Config.!$D$12)+T259)</f>
        <v>162.27220697897309</v>
      </c>
      <c r="S260" s="28" t="str">
        <f>IF(COUNTBLANK(T260)=1,IF(R260&lt;=Config.!$D$10,"meta","nops"),"")</f>
        <v>nops</v>
      </c>
      <c r="T260" s="32"/>
    </row>
    <row r="261" spans="1:20" ht="20.100000000000001" customHeight="1">
      <c r="A261" s="22" t="s">
        <v>21</v>
      </c>
      <c r="B261" s="20">
        <v>258</v>
      </c>
      <c r="C261" s="57">
        <f>IF(COUNTBLANK(H260)=1,(C260*Config.!$D$12)+C260,(H260*Config.!$D$12)+H260)</f>
        <v>165.51765111855255</v>
      </c>
      <c r="D261" s="57">
        <f t="shared" si="17"/>
        <v>3.2454441395794618</v>
      </c>
      <c r="E261" s="67"/>
      <c r="F261" s="68" t="str">
        <f t="shared" ref="F261:F324" si="20">IF(COUNTBLANK(E261)=0,(D261/E261)/$E$3,"-")</f>
        <v>-</v>
      </c>
      <c r="G261" s="12" t="str">
        <f>IF(COUNTBLANK(H261)=1,IF(C261&lt;=Config.!$D$10,"meta","nops"),"")</f>
        <v>nops</v>
      </c>
      <c r="H261" s="58"/>
      <c r="I261" s="59" t="str">
        <f t="shared" si="18"/>
        <v/>
      </c>
      <c r="J261" s="59" t="str">
        <f t="shared" ref="J261:J324" si="21">IF(I261="","",I261-D261)</f>
        <v/>
      </c>
      <c r="K261" s="53" t="str">
        <f t="shared" si="19"/>
        <v/>
      </c>
      <c r="R261" s="27">
        <f>IF(COUNTBLANK(T260)=1,(R260*Config.!$D$12)+R260,(T260*Config.!$D$12)+T260)</f>
        <v>165.51765111855255</v>
      </c>
      <c r="S261" s="28" t="str">
        <f>IF(COUNTBLANK(T261)=1,IF(R261&lt;=Config.!$D$10,"meta","nops"),"")</f>
        <v>nops</v>
      </c>
      <c r="T261" s="32"/>
    </row>
    <row r="262" spans="1:20" ht="20.100000000000001" customHeight="1">
      <c r="A262" s="22" t="s">
        <v>21</v>
      </c>
      <c r="B262" s="20">
        <v>259</v>
      </c>
      <c r="C262" s="57">
        <f>IF(COUNTBLANK(H261)=1,(C261*Config.!$D$12)+C261,(H261*Config.!$D$12)+H261)</f>
        <v>168.82800414092361</v>
      </c>
      <c r="D262" s="57">
        <f t="shared" ref="D262:D325" si="22">IF(COUNTBLANK(H261)=1,C262-C261,C262-H261)</f>
        <v>3.3103530223710607</v>
      </c>
      <c r="E262" s="67"/>
      <c r="F262" s="68" t="str">
        <f t="shared" si="20"/>
        <v>-</v>
      </c>
      <c r="G262" s="12" t="str">
        <f>IF(COUNTBLANK(H262)=1,IF(C262&lt;=Config.!$D$10,"meta","nops"),"")</f>
        <v>nops</v>
      </c>
      <c r="H262" s="58"/>
      <c r="I262" s="59" t="str">
        <f t="shared" ref="I262:I325" si="23">IF(COUNTBLANK(H262)=1,"",H262-H261)</f>
        <v/>
      </c>
      <c r="J262" s="59" t="str">
        <f t="shared" si="21"/>
        <v/>
      </c>
      <c r="K262" s="53" t="str">
        <f t="shared" ref="K262:K325" si="24">IF(COUNTBLANK(H262)=1,"",(H262-H261)/H261)</f>
        <v/>
      </c>
      <c r="R262" s="27">
        <f>IF(COUNTBLANK(T261)=1,(R261*Config.!$D$12)+R261,(T261*Config.!$D$12)+T261)</f>
        <v>168.82800414092361</v>
      </c>
      <c r="S262" s="28" t="str">
        <f>IF(COUNTBLANK(T262)=1,IF(R262&lt;=Config.!$D$10,"meta","nops"),"")</f>
        <v>nops</v>
      </c>
      <c r="T262" s="32"/>
    </row>
    <row r="263" spans="1:20" ht="20.100000000000001" customHeight="1">
      <c r="A263" s="22" t="s">
        <v>21</v>
      </c>
      <c r="B263" s="20">
        <v>260</v>
      </c>
      <c r="C263" s="57">
        <f>IF(COUNTBLANK(H262)=1,(C262*Config.!$D$12)+C262,(H262*Config.!$D$12)+H262)</f>
        <v>172.2045642237421</v>
      </c>
      <c r="D263" s="57">
        <f t="shared" si="22"/>
        <v>3.3765600828184859</v>
      </c>
      <c r="E263" s="67"/>
      <c r="F263" s="68" t="str">
        <f t="shared" si="20"/>
        <v>-</v>
      </c>
      <c r="G263" s="12" t="str">
        <f>IF(COUNTBLANK(H263)=1,IF(C263&lt;=Config.!$D$10,"meta","nops"),"")</f>
        <v>nops</v>
      </c>
      <c r="H263" s="58"/>
      <c r="I263" s="59" t="str">
        <f t="shared" si="23"/>
        <v/>
      </c>
      <c r="J263" s="59" t="str">
        <f t="shared" si="21"/>
        <v/>
      </c>
      <c r="K263" s="53" t="str">
        <f t="shared" si="24"/>
        <v/>
      </c>
      <c r="R263" s="27">
        <f>IF(COUNTBLANK(T262)=1,(R262*Config.!$D$12)+R262,(T262*Config.!$D$12)+T262)</f>
        <v>172.2045642237421</v>
      </c>
      <c r="S263" s="28" t="str">
        <f>IF(COUNTBLANK(T263)=1,IF(R263&lt;=Config.!$D$10,"meta","nops"),"")</f>
        <v>nops</v>
      </c>
      <c r="T263" s="32"/>
    </row>
    <row r="264" spans="1:20" ht="20.100000000000001" customHeight="1">
      <c r="A264" s="22" t="s">
        <v>21</v>
      </c>
      <c r="B264" s="20">
        <v>261</v>
      </c>
      <c r="C264" s="57">
        <f>IF(COUNTBLANK(H263)=1,(C263*Config.!$D$12)+C263,(H263*Config.!$D$12)+H263)</f>
        <v>175.64865550821693</v>
      </c>
      <c r="D264" s="57">
        <f t="shared" si="22"/>
        <v>3.4440912844748368</v>
      </c>
      <c r="E264" s="67"/>
      <c r="F264" s="68" t="str">
        <f t="shared" si="20"/>
        <v>-</v>
      </c>
      <c r="G264" s="12" t="str">
        <f>IF(COUNTBLANK(H264)=1,IF(C264&lt;=Config.!$D$10,"meta","nops"),"")</f>
        <v>nops</v>
      </c>
      <c r="H264" s="58"/>
      <c r="I264" s="59" t="str">
        <f t="shared" si="23"/>
        <v/>
      </c>
      <c r="J264" s="59" t="str">
        <f t="shared" si="21"/>
        <v/>
      </c>
      <c r="K264" s="53" t="str">
        <f t="shared" si="24"/>
        <v/>
      </c>
      <c r="R264" s="27">
        <f>IF(COUNTBLANK(T263)=1,(R263*Config.!$D$12)+R263,(T263*Config.!$D$12)+T263)</f>
        <v>175.64865550821693</v>
      </c>
      <c r="S264" s="28" t="str">
        <f>IF(COUNTBLANK(T264)=1,IF(R264&lt;=Config.!$D$10,"meta","nops"),"")</f>
        <v>nops</v>
      </c>
      <c r="T264" s="32"/>
    </row>
    <row r="265" spans="1:20" ht="20.100000000000001" customHeight="1">
      <c r="A265" s="22" t="s">
        <v>21</v>
      </c>
      <c r="B265" s="20">
        <v>262</v>
      </c>
      <c r="C265" s="57">
        <f>IF(COUNTBLANK(H264)=1,(C264*Config.!$D$12)+C264,(H264*Config.!$D$12)+H264)</f>
        <v>179.16162861838126</v>
      </c>
      <c r="D265" s="57">
        <f t="shared" si="22"/>
        <v>3.5129731101643245</v>
      </c>
      <c r="E265" s="67"/>
      <c r="F265" s="68" t="str">
        <f t="shared" si="20"/>
        <v>-</v>
      </c>
      <c r="G265" s="12" t="str">
        <f>IF(COUNTBLANK(H265)=1,IF(C265&lt;=Config.!$D$10,"meta","nops"),"")</f>
        <v>nops</v>
      </c>
      <c r="H265" s="58"/>
      <c r="I265" s="59" t="str">
        <f t="shared" si="23"/>
        <v/>
      </c>
      <c r="J265" s="59" t="str">
        <f t="shared" si="21"/>
        <v/>
      </c>
      <c r="K265" s="53" t="str">
        <f t="shared" si="24"/>
        <v/>
      </c>
      <c r="R265" s="27">
        <f>IF(COUNTBLANK(T264)=1,(R264*Config.!$D$12)+R264,(T264*Config.!$D$12)+T264)</f>
        <v>179.16162861838126</v>
      </c>
      <c r="S265" s="28" t="str">
        <f>IF(COUNTBLANK(T265)=1,IF(R265&lt;=Config.!$D$10,"meta","nops"),"")</f>
        <v>nops</v>
      </c>
      <c r="T265" s="32"/>
    </row>
    <row r="266" spans="1:20" ht="20.100000000000001" customHeight="1">
      <c r="A266" s="22" t="s">
        <v>21</v>
      </c>
      <c r="B266" s="20">
        <v>263</v>
      </c>
      <c r="C266" s="57">
        <f>IF(COUNTBLANK(H265)=1,(C265*Config.!$D$12)+C265,(H265*Config.!$D$12)+H265)</f>
        <v>182.74486119074888</v>
      </c>
      <c r="D266" s="57">
        <f t="shared" si="22"/>
        <v>3.5832325723676206</v>
      </c>
      <c r="E266" s="67"/>
      <c r="F266" s="68" t="str">
        <f t="shared" si="20"/>
        <v>-</v>
      </c>
      <c r="G266" s="12" t="str">
        <f>IF(COUNTBLANK(H266)=1,IF(C266&lt;=Config.!$D$10,"meta","nops"),"")</f>
        <v>nops</v>
      </c>
      <c r="H266" s="58"/>
      <c r="I266" s="59" t="str">
        <f t="shared" si="23"/>
        <v/>
      </c>
      <c r="J266" s="59" t="str">
        <f t="shared" si="21"/>
        <v/>
      </c>
      <c r="K266" s="53" t="str">
        <f t="shared" si="24"/>
        <v/>
      </c>
      <c r="R266" s="27">
        <f>IF(COUNTBLANK(T265)=1,(R265*Config.!$D$12)+R265,(T265*Config.!$D$12)+T265)</f>
        <v>182.74486119074888</v>
      </c>
      <c r="S266" s="28" t="str">
        <f>IF(COUNTBLANK(T266)=1,IF(R266&lt;=Config.!$D$10,"meta","nops"),"")</f>
        <v>nops</v>
      </c>
      <c r="T266" s="32"/>
    </row>
    <row r="267" spans="1:20" ht="20.100000000000001" customHeight="1">
      <c r="A267" s="22" t="s">
        <v>21</v>
      </c>
      <c r="B267" s="20">
        <v>264</v>
      </c>
      <c r="C267" s="57">
        <f>IF(COUNTBLANK(H266)=1,(C266*Config.!$D$12)+C266,(H266*Config.!$D$12)+H266)</f>
        <v>186.39975841456385</v>
      </c>
      <c r="D267" s="57">
        <f t="shared" si="22"/>
        <v>3.6548972238149702</v>
      </c>
      <c r="E267" s="67"/>
      <c r="F267" s="68" t="str">
        <f t="shared" si="20"/>
        <v>-</v>
      </c>
      <c r="G267" s="12" t="str">
        <f>IF(COUNTBLANK(H267)=1,IF(C267&lt;=Config.!$D$10,"meta","nops"),"")</f>
        <v>nops</v>
      </c>
      <c r="H267" s="58"/>
      <c r="I267" s="59" t="str">
        <f t="shared" si="23"/>
        <v/>
      </c>
      <c r="J267" s="59" t="str">
        <f t="shared" si="21"/>
        <v/>
      </c>
      <c r="K267" s="53" t="str">
        <f t="shared" si="24"/>
        <v/>
      </c>
      <c r="R267" s="27">
        <f>IF(COUNTBLANK(T266)=1,(R266*Config.!$D$12)+R266,(T266*Config.!$D$12)+T266)</f>
        <v>186.39975841456385</v>
      </c>
      <c r="S267" s="28" t="str">
        <f>IF(COUNTBLANK(T267)=1,IF(R267&lt;=Config.!$D$10,"meta","nops"),"")</f>
        <v>nops</v>
      </c>
      <c r="T267" s="32"/>
    </row>
    <row r="268" spans="1:20" ht="20.100000000000001" customHeight="1">
      <c r="A268" s="22" t="s">
        <v>21</v>
      </c>
      <c r="B268" s="20">
        <v>265</v>
      </c>
      <c r="C268" s="57">
        <f>IF(COUNTBLANK(H267)=1,(C267*Config.!$D$12)+C267,(H267*Config.!$D$12)+H267)</f>
        <v>190.12775358285512</v>
      </c>
      <c r="D268" s="57">
        <f t="shared" si="22"/>
        <v>3.7279951682912724</v>
      </c>
      <c r="E268" s="67"/>
      <c r="F268" s="68" t="str">
        <f t="shared" si="20"/>
        <v>-</v>
      </c>
      <c r="G268" s="12" t="str">
        <f>IF(COUNTBLANK(H268)=1,IF(C268&lt;=Config.!$D$10,"meta","nops"),"")</f>
        <v>nops</v>
      </c>
      <c r="H268" s="58"/>
      <c r="I268" s="59" t="str">
        <f t="shared" si="23"/>
        <v/>
      </c>
      <c r="J268" s="59" t="str">
        <f t="shared" si="21"/>
        <v/>
      </c>
      <c r="K268" s="53" t="str">
        <f t="shared" si="24"/>
        <v/>
      </c>
      <c r="R268" s="27">
        <f>IF(COUNTBLANK(T267)=1,(R267*Config.!$D$12)+R267,(T267*Config.!$D$12)+T267)</f>
        <v>190.12775358285512</v>
      </c>
      <c r="S268" s="28" t="str">
        <f>IF(COUNTBLANK(T268)=1,IF(R268&lt;=Config.!$D$10,"meta","nops"),"")</f>
        <v>nops</v>
      </c>
      <c r="T268" s="32"/>
    </row>
    <row r="269" spans="1:20" ht="20.100000000000001" customHeight="1">
      <c r="A269" s="22" t="s">
        <v>21</v>
      </c>
      <c r="B269" s="20">
        <v>266</v>
      </c>
      <c r="C269" s="57">
        <f>IF(COUNTBLANK(H268)=1,(C268*Config.!$D$12)+C268,(H268*Config.!$D$12)+H268)</f>
        <v>193.93030865451223</v>
      </c>
      <c r="D269" s="57">
        <f t="shared" si="22"/>
        <v>3.8025550716571104</v>
      </c>
      <c r="E269" s="67"/>
      <c r="F269" s="68" t="str">
        <f t="shared" si="20"/>
        <v>-</v>
      </c>
      <c r="G269" s="12" t="str">
        <f>IF(COUNTBLANK(H269)=1,IF(C269&lt;=Config.!$D$10,"meta","nops"),"")</f>
        <v>nops</v>
      </c>
      <c r="H269" s="58"/>
      <c r="I269" s="59" t="str">
        <f t="shared" si="23"/>
        <v/>
      </c>
      <c r="J269" s="59" t="str">
        <f t="shared" si="21"/>
        <v/>
      </c>
      <c r="K269" s="53" t="str">
        <f t="shared" si="24"/>
        <v/>
      </c>
      <c r="R269" s="27">
        <f>IF(COUNTBLANK(T268)=1,(R268*Config.!$D$12)+R268,(T268*Config.!$D$12)+T268)</f>
        <v>193.93030865451223</v>
      </c>
      <c r="S269" s="28" t="str">
        <f>IF(COUNTBLANK(T269)=1,IF(R269&lt;=Config.!$D$10,"meta","nops"),"")</f>
        <v>nops</v>
      </c>
      <c r="T269" s="32"/>
    </row>
    <row r="270" spans="1:20" ht="20.100000000000001" customHeight="1">
      <c r="A270" s="22" t="s">
        <v>21</v>
      </c>
      <c r="B270" s="20">
        <v>267</v>
      </c>
      <c r="C270" s="57">
        <f>IF(COUNTBLANK(H269)=1,(C269*Config.!$D$12)+C269,(H269*Config.!$D$12)+H269)</f>
        <v>197.80891482760248</v>
      </c>
      <c r="D270" s="57">
        <f t="shared" si="22"/>
        <v>3.8786061730902475</v>
      </c>
      <c r="E270" s="67"/>
      <c r="F270" s="68" t="str">
        <f t="shared" si="20"/>
        <v>-</v>
      </c>
      <c r="G270" s="12" t="str">
        <f>IF(COUNTBLANK(H270)=1,IF(C270&lt;=Config.!$D$10,"meta","nops"),"")</f>
        <v>nops</v>
      </c>
      <c r="H270" s="58"/>
      <c r="I270" s="59" t="str">
        <f t="shared" si="23"/>
        <v/>
      </c>
      <c r="J270" s="59" t="str">
        <f t="shared" si="21"/>
        <v/>
      </c>
      <c r="K270" s="53" t="str">
        <f t="shared" si="24"/>
        <v/>
      </c>
      <c r="R270" s="27">
        <f>IF(COUNTBLANK(T269)=1,(R269*Config.!$D$12)+R269,(T269*Config.!$D$12)+T269)</f>
        <v>197.80891482760248</v>
      </c>
      <c r="S270" s="28" t="str">
        <f>IF(COUNTBLANK(T270)=1,IF(R270&lt;=Config.!$D$10,"meta","nops"),"")</f>
        <v>nops</v>
      </c>
      <c r="T270" s="32"/>
    </row>
    <row r="271" spans="1:20" ht="20.100000000000001" customHeight="1">
      <c r="A271" s="22" t="s">
        <v>21</v>
      </c>
      <c r="B271" s="20">
        <v>268</v>
      </c>
      <c r="C271" s="57">
        <f>IF(COUNTBLANK(H270)=1,(C270*Config.!$D$12)+C270,(H270*Config.!$D$12)+H270)</f>
        <v>201.76509312415453</v>
      </c>
      <c r="D271" s="57">
        <f t="shared" si="22"/>
        <v>3.9561782965520536</v>
      </c>
      <c r="E271" s="67"/>
      <c r="F271" s="68" t="str">
        <f t="shared" si="20"/>
        <v>-</v>
      </c>
      <c r="G271" s="12" t="str">
        <f>IF(COUNTBLANK(H271)=1,IF(C271&lt;=Config.!$D$10,"meta","nops"),"")</f>
        <v>nops</v>
      </c>
      <c r="H271" s="58"/>
      <c r="I271" s="59" t="str">
        <f t="shared" si="23"/>
        <v/>
      </c>
      <c r="J271" s="59" t="str">
        <f t="shared" si="21"/>
        <v/>
      </c>
      <c r="K271" s="53" t="str">
        <f t="shared" si="24"/>
        <v/>
      </c>
      <c r="R271" s="27">
        <f>IF(COUNTBLANK(T270)=1,(R270*Config.!$D$12)+R270,(T270*Config.!$D$12)+T270)</f>
        <v>201.76509312415453</v>
      </c>
      <c r="S271" s="28" t="str">
        <f>IF(COUNTBLANK(T271)=1,IF(R271&lt;=Config.!$D$10,"meta","nops"),"")</f>
        <v>nops</v>
      </c>
      <c r="T271" s="32"/>
    </row>
    <row r="272" spans="1:20" ht="20.100000000000001" customHeight="1">
      <c r="A272" s="22" t="s">
        <v>21</v>
      </c>
      <c r="B272" s="20">
        <v>269</v>
      </c>
      <c r="C272" s="57">
        <f>IF(COUNTBLANK(H271)=1,(C271*Config.!$D$12)+C271,(H271*Config.!$D$12)+H271)</f>
        <v>205.80039498663763</v>
      </c>
      <c r="D272" s="57">
        <f t="shared" si="22"/>
        <v>4.0353018624830952</v>
      </c>
      <c r="E272" s="67"/>
      <c r="F272" s="68" t="str">
        <f t="shared" si="20"/>
        <v>-</v>
      </c>
      <c r="G272" s="12" t="str">
        <f>IF(COUNTBLANK(H272)=1,IF(C272&lt;=Config.!$D$10,"meta","nops"),"")</f>
        <v>nops</v>
      </c>
      <c r="H272" s="58"/>
      <c r="I272" s="59" t="str">
        <f t="shared" si="23"/>
        <v/>
      </c>
      <c r="J272" s="59" t="str">
        <f t="shared" si="21"/>
        <v/>
      </c>
      <c r="K272" s="53" t="str">
        <f t="shared" si="24"/>
        <v/>
      </c>
      <c r="R272" s="27">
        <f>IF(COUNTBLANK(T271)=1,(R271*Config.!$D$12)+R271,(T271*Config.!$D$12)+T271)</f>
        <v>205.80039498663763</v>
      </c>
      <c r="S272" s="28" t="str">
        <f>IF(COUNTBLANK(T272)=1,IF(R272&lt;=Config.!$D$10,"meta","nops"),"")</f>
        <v>nops</v>
      </c>
      <c r="T272" s="32"/>
    </row>
    <row r="273" spans="1:20" ht="20.100000000000001" customHeight="1">
      <c r="A273" s="22" t="s">
        <v>21</v>
      </c>
      <c r="B273" s="20">
        <v>270</v>
      </c>
      <c r="C273" s="57">
        <f>IF(COUNTBLANK(H272)=1,(C272*Config.!$D$12)+C272,(H272*Config.!$D$12)+H272)</f>
        <v>209.91640288637038</v>
      </c>
      <c r="D273" s="57">
        <f t="shared" si="22"/>
        <v>4.1160078997327503</v>
      </c>
      <c r="E273" s="67"/>
      <c r="F273" s="68" t="str">
        <f t="shared" si="20"/>
        <v>-</v>
      </c>
      <c r="G273" s="12" t="str">
        <f>IF(COUNTBLANK(H273)=1,IF(C273&lt;=Config.!$D$10,"meta","nops"),"")</f>
        <v>nops</v>
      </c>
      <c r="H273" s="58"/>
      <c r="I273" s="59" t="str">
        <f t="shared" si="23"/>
        <v/>
      </c>
      <c r="J273" s="59" t="str">
        <f t="shared" si="21"/>
        <v/>
      </c>
      <c r="K273" s="53" t="str">
        <f t="shared" si="24"/>
        <v/>
      </c>
      <c r="R273" s="27">
        <f>IF(COUNTBLANK(T272)=1,(R272*Config.!$D$12)+R272,(T272*Config.!$D$12)+T272)</f>
        <v>209.91640288637038</v>
      </c>
      <c r="S273" s="28" t="str">
        <f>IF(COUNTBLANK(T273)=1,IF(R273&lt;=Config.!$D$10,"meta","nops"),"")</f>
        <v>nops</v>
      </c>
      <c r="T273" s="32"/>
    </row>
    <row r="274" spans="1:20" ht="20.100000000000001" customHeight="1">
      <c r="A274" s="22" t="s">
        <v>21</v>
      </c>
      <c r="B274" s="20">
        <v>271</v>
      </c>
      <c r="C274" s="57">
        <f>IF(COUNTBLANK(H273)=1,(C273*Config.!$D$12)+C273,(H273*Config.!$D$12)+H273)</f>
        <v>214.11473094409777</v>
      </c>
      <c r="D274" s="57">
        <f t="shared" si="22"/>
        <v>4.1983280577273945</v>
      </c>
      <c r="E274" s="67"/>
      <c r="F274" s="68" t="str">
        <f t="shared" si="20"/>
        <v>-</v>
      </c>
      <c r="G274" s="12" t="str">
        <f>IF(COUNTBLANK(H274)=1,IF(C274&lt;=Config.!$D$10,"meta","nops"),"")</f>
        <v>nops</v>
      </c>
      <c r="H274" s="58"/>
      <c r="I274" s="59" t="str">
        <f t="shared" si="23"/>
        <v/>
      </c>
      <c r="J274" s="59" t="str">
        <f t="shared" si="21"/>
        <v/>
      </c>
      <c r="K274" s="53" t="str">
        <f t="shared" si="24"/>
        <v/>
      </c>
      <c r="R274" s="27">
        <f>IF(COUNTBLANK(T273)=1,(R273*Config.!$D$12)+R273,(T273*Config.!$D$12)+T273)</f>
        <v>214.11473094409777</v>
      </c>
      <c r="S274" s="28" t="str">
        <f>IF(COUNTBLANK(T274)=1,IF(R274&lt;=Config.!$D$10,"meta","nops"),"")</f>
        <v>nops</v>
      </c>
      <c r="T274" s="32"/>
    </row>
    <row r="275" spans="1:20" ht="20.100000000000001" customHeight="1">
      <c r="A275" s="22" t="s">
        <v>21</v>
      </c>
      <c r="B275" s="20">
        <v>272</v>
      </c>
      <c r="C275" s="57">
        <f>IF(COUNTBLANK(H274)=1,(C274*Config.!$D$12)+C274,(H274*Config.!$D$12)+H274)</f>
        <v>218.39702556297974</v>
      </c>
      <c r="D275" s="57">
        <f t="shared" si="22"/>
        <v>4.2822946188819628</v>
      </c>
      <c r="E275" s="67"/>
      <c r="F275" s="68" t="str">
        <f t="shared" si="20"/>
        <v>-</v>
      </c>
      <c r="G275" s="12" t="str">
        <f>IF(COUNTBLANK(H275)=1,IF(C275&lt;=Config.!$D$10,"meta","nops"),"")</f>
        <v>nops</v>
      </c>
      <c r="H275" s="58"/>
      <c r="I275" s="59" t="str">
        <f t="shared" si="23"/>
        <v/>
      </c>
      <c r="J275" s="59" t="str">
        <f t="shared" si="21"/>
        <v/>
      </c>
      <c r="K275" s="53" t="str">
        <f t="shared" si="24"/>
        <v/>
      </c>
      <c r="R275" s="27">
        <f>IF(COUNTBLANK(T274)=1,(R274*Config.!$D$12)+R274,(T274*Config.!$D$12)+T274)</f>
        <v>218.39702556297974</v>
      </c>
      <c r="S275" s="28" t="str">
        <f>IF(COUNTBLANK(T275)=1,IF(R275&lt;=Config.!$D$10,"meta","nops"),"")</f>
        <v>nops</v>
      </c>
      <c r="T275" s="32"/>
    </row>
    <row r="276" spans="1:20" ht="20.100000000000001" customHeight="1">
      <c r="A276" s="22" t="s">
        <v>21</v>
      </c>
      <c r="B276" s="20">
        <v>273</v>
      </c>
      <c r="C276" s="57">
        <f>IF(COUNTBLANK(H275)=1,(C275*Config.!$D$12)+C275,(H275*Config.!$D$12)+H275)</f>
        <v>222.76496607423934</v>
      </c>
      <c r="D276" s="57">
        <f t="shared" si="22"/>
        <v>4.3679405112596044</v>
      </c>
      <c r="E276" s="67"/>
      <c r="F276" s="68" t="str">
        <f t="shared" si="20"/>
        <v>-</v>
      </c>
      <c r="G276" s="12" t="str">
        <f>IF(COUNTBLANK(H276)=1,IF(C276&lt;=Config.!$D$10,"meta","nops"),"")</f>
        <v>nops</v>
      </c>
      <c r="H276" s="58"/>
      <c r="I276" s="59" t="str">
        <f t="shared" si="23"/>
        <v/>
      </c>
      <c r="J276" s="59" t="str">
        <f t="shared" si="21"/>
        <v/>
      </c>
      <c r="K276" s="53" t="str">
        <f t="shared" si="24"/>
        <v/>
      </c>
      <c r="R276" s="27">
        <f>IF(COUNTBLANK(T275)=1,(R275*Config.!$D$12)+R275,(T275*Config.!$D$12)+T275)</f>
        <v>222.76496607423934</v>
      </c>
      <c r="S276" s="28" t="str">
        <f>IF(COUNTBLANK(T276)=1,IF(R276&lt;=Config.!$D$10,"meta","nops"),"")</f>
        <v>nops</v>
      </c>
      <c r="T276" s="32"/>
    </row>
    <row r="277" spans="1:20" ht="20.100000000000001" customHeight="1">
      <c r="A277" s="22" t="s">
        <v>21</v>
      </c>
      <c r="B277" s="20">
        <v>274</v>
      </c>
      <c r="C277" s="57">
        <f>IF(COUNTBLANK(H276)=1,(C276*Config.!$D$12)+C276,(H276*Config.!$D$12)+H276)</f>
        <v>227.22026539572411</v>
      </c>
      <c r="D277" s="57">
        <f t="shared" si="22"/>
        <v>4.4552993214847731</v>
      </c>
      <c r="E277" s="67"/>
      <c r="F277" s="68" t="str">
        <f t="shared" si="20"/>
        <v>-</v>
      </c>
      <c r="G277" s="12" t="str">
        <f>IF(COUNTBLANK(H277)=1,IF(C277&lt;=Config.!$D$10,"meta","nops"),"")</f>
        <v>nops</v>
      </c>
      <c r="H277" s="58"/>
      <c r="I277" s="59" t="str">
        <f t="shared" si="23"/>
        <v/>
      </c>
      <c r="J277" s="59" t="str">
        <f t="shared" si="21"/>
        <v/>
      </c>
      <c r="K277" s="53" t="str">
        <f t="shared" si="24"/>
        <v/>
      </c>
      <c r="R277" s="27">
        <f>IF(COUNTBLANK(T276)=1,(R276*Config.!$D$12)+R276,(T276*Config.!$D$12)+T276)</f>
        <v>227.22026539572411</v>
      </c>
      <c r="S277" s="28" t="str">
        <f>IF(COUNTBLANK(T277)=1,IF(R277&lt;=Config.!$D$10,"meta","nops"),"")</f>
        <v>nops</v>
      </c>
      <c r="T277" s="32"/>
    </row>
    <row r="278" spans="1:20" ht="20.100000000000001" customHeight="1">
      <c r="A278" s="22" t="s">
        <v>21</v>
      </c>
      <c r="B278" s="20">
        <v>275</v>
      </c>
      <c r="C278" s="57">
        <f>IF(COUNTBLANK(H277)=1,(C277*Config.!$D$12)+C277,(H277*Config.!$D$12)+H277)</f>
        <v>231.76467070363859</v>
      </c>
      <c r="D278" s="57">
        <f t="shared" si="22"/>
        <v>4.5444053079144737</v>
      </c>
      <c r="E278" s="67"/>
      <c r="F278" s="68" t="str">
        <f t="shared" si="20"/>
        <v>-</v>
      </c>
      <c r="G278" s="12" t="str">
        <f>IF(COUNTBLANK(H278)=1,IF(C278&lt;=Config.!$D$10,"meta","nops"),"")</f>
        <v>nops</v>
      </c>
      <c r="H278" s="58"/>
      <c r="I278" s="59" t="str">
        <f t="shared" si="23"/>
        <v/>
      </c>
      <c r="J278" s="59" t="str">
        <f t="shared" si="21"/>
        <v/>
      </c>
      <c r="K278" s="53" t="str">
        <f t="shared" si="24"/>
        <v/>
      </c>
      <c r="R278" s="27">
        <f>IF(COUNTBLANK(T277)=1,(R277*Config.!$D$12)+R277,(T277*Config.!$D$12)+T277)</f>
        <v>231.76467070363859</v>
      </c>
      <c r="S278" s="28" t="str">
        <f>IF(COUNTBLANK(T278)=1,IF(R278&lt;=Config.!$D$10,"meta","nops"),"")</f>
        <v>nops</v>
      </c>
      <c r="T278" s="32"/>
    </row>
    <row r="279" spans="1:20" ht="20.100000000000001" customHeight="1">
      <c r="A279" s="22" t="s">
        <v>21</v>
      </c>
      <c r="B279" s="20">
        <v>276</v>
      </c>
      <c r="C279" s="57">
        <f>IF(COUNTBLANK(H278)=1,(C278*Config.!$D$12)+C278,(H278*Config.!$D$12)+H278)</f>
        <v>236.39996411771136</v>
      </c>
      <c r="D279" s="57">
        <f t="shared" si="22"/>
        <v>4.6352934140727768</v>
      </c>
      <c r="E279" s="67"/>
      <c r="F279" s="68" t="str">
        <f t="shared" si="20"/>
        <v>-</v>
      </c>
      <c r="G279" s="12" t="str">
        <f>IF(COUNTBLANK(H279)=1,IF(C279&lt;=Config.!$D$10,"meta","nops"),"")</f>
        <v>nops</v>
      </c>
      <c r="H279" s="58"/>
      <c r="I279" s="59" t="str">
        <f t="shared" si="23"/>
        <v/>
      </c>
      <c r="J279" s="59" t="str">
        <f t="shared" si="21"/>
        <v/>
      </c>
      <c r="K279" s="53" t="str">
        <f t="shared" si="24"/>
        <v/>
      </c>
      <c r="R279" s="27">
        <f>IF(COUNTBLANK(T278)=1,(R278*Config.!$D$12)+R278,(T278*Config.!$D$12)+T278)</f>
        <v>236.39996411771136</v>
      </c>
      <c r="S279" s="28" t="str">
        <f>IF(COUNTBLANK(T279)=1,IF(R279&lt;=Config.!$D$10,"meta","nops"),"")</f>
        <v>nops</v>
      </c>
      <c r="T279" s="32"/>
    </row>
    <row r="280" spans="1:20" ht="20.100000000000001" customHeight="1">
      <c r="A280" s="22" t="s">
        <v>21</v>
      </c>
      <c r="B280" s="20">
        <v>277</v>
      </c>
      <c r="C280" s="57">
        <f>IF(COUNTBLANK(H279)=1,(C279*Config.!$D$12)+C279,(H279*Config.!$D$12)+H279)</f>
        <v>241.1279634000656</v>
      </c>
      <c r="D280" s="57">
        <f t="shared" si="22"/>
        <v>4.7279992823542329</v>
      </c>
      <c r="E280" s="67"/>
      <c r="F280" s="68" t="str">
        <f t="shared" si="20"/>
        <v>-</v>
      </c>
      <c r="G280" s="12" t="str">
        <f>IF(COUNTBLANK(H280)=1,IF(C280&lt;=Config.!$D$10,"meta","nops"),"")</f>
        <v>nops</v>
      </c>
      <c r="H280" s="58"/>
      <c r="I280" s="59" t="str">
        <f t="shared" si="23"/>
        <v/>
      </c>
      <c r="J280" s="59" t="str">
        <f t="shared" si="21"/>
        <v/>
      </c>
      <c r="K280" s="53" t="str">
        <f t="shared" si="24"/>
        <v/>
      </c>
      <c r="R280" s="27">
        <f>IF(COUNTBLANK(T279)=1,(R279*Config.!$D$12)+R279,(T279*Config.!$D$12)+T279)</f>
        <v>241.1279634000656</v>
      </c>
      <c r="S280" s="28" t="str">
        <f>IF(COUNTBLANK(T280)=1,IF(R280&lt;=Config.!$D$10,"meta","nops"),"")</f>
        <v>nops</v>
      </c>
      <c r="T280" s="32"/>
    </row>
    <row r="281" spans="1:20" ht="20.100000000000001" customHeight="1">
      <c r="A281" s="22" t="s">
        <v>21</v>
      </c>
      <c r="B281" s="20">
        <v>278</v>
      </c>
      <c r="C281" s="57">
        <f>IF(COUNTBLANK(H280)=1,(C280*Config.!$D$12)+C280,(H280*Config.!$D$12)+H280)</f>
        <v>245.9505226680669</v>
      </c>
      <c r="D281" s="57">
        <f t="shared" si="22"/>
        <v>4.8225592680012994</v>
      </c>
      <c r="E281" s="67"/>
      <c r="F281" s="68" t="str">
        <f t="shared" si="20"/>
        <v>-</v>
      </c>
      <c r="G281" s="12" t="str">
        <f>IF(COUNTBLANK(H281)=1,IF(C281&lt;=Config.!$D$10,"meta","nops"),"")</f>
        <v>nops</v>
      </c>
      <c r="H281" s="58"/>
      <c r="I281" s="59" t="str">
        <f t="shared" si="23"/>
        <v/>
      </c>
      <c r="J281" s="59" t="str">
        <f t="shared" si="21"/>
        <v/>
      </c>
      <c r="K281" s="53" t="str">
        <f t="shared" si="24"/>
        <v/>
      </c>
      <c r="R281" s="27">
        <f>IF(COUNTBLANK(T280)=1,(R280*Config.!$D$12)+R280,(T280*Config.!$D$12)+T280)</f>
        <v>245.9505226680669</v>
      </c>
      <c r="S281" s="28" t="str">
        <f>IF(COUNTBLANK(T281)=1,IF(R281&lt;=Config.!$D$10,"meta","nops"),"")</f>
        <v>nops</v>
      </c>
      <c r="T281" s="32"/>
    </row>
    <row r="282" spans="1:20" ht="20.100000000000001" customHeight="1">
      <c r="A282" s="22" t="s">
        <v>21</v>
      </c>
      <c r="B282" s="20">
        <v>279</v>
      </c>
      <c r="C282" s="57">
        <f>IF(COUNTBLANK(H281)=1,(C281*Config.!$D$12)+C281,(H281*Config.!$D$12)+H281)</f>
        <v>250.86953312142822</v>
      </c>
      <c r="D282" s="57">
        <f t="shared" si="22"/>
        <v>4.9190104533613237</v>
      </c>
      <c r="E282" s="67"/>
      <c r="F282" s="68" t="str">
        <f t="shared" si="20"/>
        <v>-</v>
      </c>
      <c r="G282" s="12" t="str">
        <f>IF(COUNTBLANK(H282)=1,IF(C282&lt;=Config.!$D$10,"meta","nops"),"")</f>
        <v>nops</v>
      </c>
      <c r="H282" s="58"/>
      <c r="I282" s="59" t="str">
        <f t="shared" si="23"/>
        <v/>
      </c>
      <c r="J282" s="59" t="str">
        <f t="shared" si="21"/>
        <v/>
      </c>
      <c r="K282" s="53" t="str">
        <f t="shared" si="24"/>
        <v/>
      </c>
      <c r="R282" s="27">
        <f>IF(COUNTBLANK(T281)=1,(R281*Config.!$D$12)+R281,(T281*Config.!$D$12)+T281)</f>
        <v>250.86953312142822</v>
      </c>
      <c r="S282" s="28" t="str">
        <f>IF(COUNTBLANK(T282)=1,IF(R282&lt;=Config.!$D$10,"meta","nops"),"")</f>
        <v>nops</v>
      </c>
      <c r="T282" s="32"/>
    </row>
    <row r="283" spans="1:20" ht="20.100000000000001" customHeight="1">
      <c r="A283" s="22" t="s">
        <v>21</v>
      </c>
      <c r="B283" s="20">
        <v>280</v>
      </c>
      <c r="C283" s="57">
        <f>IF(COUNTBLANK(H282)=1,(C282*Config.!$D$12)+C282,(H282*Config.!$D$12)+H282)</f>
        <v>255.88692378385679</v>
      </c>
      <c r="D283" s="57">
        <f t="shared" si="22"/>
        <v>5.0173906624285678</v>
      </c>
      <c r="E283" s="67"/>
      <c r="F283" s="68" t="str">
        <f t="shared" si="20"/>
        <v>-</v>
      </c>
      <c r="G283" s="12" t="str">
        <f>IF(COUNTBLANK(H283)=1,IF(C283&lt;=Config.!$D$10,"meta","nops"),"")</f>
        <v>nops</v>
      </c>
      <c r="H283" s="58"/>
      <c r="I283" s="59" t="str">
        <f t="shared" si="23"/>
        <v/>
      </c>
      <c r="J283" s="59" t="str">
        <f t="shared" si="21"/>
        <v/>
      </c>
      <c r="K283" s="53" t="str">
        <f t="shared" si="24"/>
        <v/>
      </c>
      <c r="R283" s="27">
        <f>IF(COUNTBLANK(T282)=1,(R282*Config.!$D$12)+R282,(T282*Config.!$D$12)+T282)</f>
        <v>255.88692378385679</v>
      </c>
      <c r="S283" s="28" t="str">
        <f>IF(COUNTBLANK(T283)=1,IF(R283&lt;=Config.!$D$10,"meta","nops"),"")</f>
        <v>nops</v>
      </c>
      <c r="T283" s="32"/>
    </row>
    <row r="284" spans="1:20" ht="20.100000000000001" customHeight="1">
      <c r="A284" s="22" t="s">
        <v>21</v>
      </c>
      <c r="B284" s="20">
        <v>281</v>
      </c>
      <c r="C284" s="57">
        <f>IF(COUNTBLANK(H283)=1,(C283*Config.!$D$12)+C283,(H283*Config.!$D$12)+H283)</f>
        <v>261.00466225953392</v>
      </c>
      <c r="D284" s="57">
        <f t="shared" si="22"/>
        <v>5.1177384756771289</v>
      </c>
      <c r="E284" s="67"/>
      <c r="F284" s="68" t="str">
        <f t="shared" si="20"/>
        <v>-</v>
      </c>
      <c r="G284" s="12" t="str">
        <f>IF(COUNTBLANK(H284)=1,IF(C284&lt;=Config.!$D$10,"meta","nops"),"")</f>
        <v>nops</v>
      </c>
      <c r="H284" s="58"/>
      <c r="I284" s="59" t="str">
        <f t="shared" si="23"/>
        <v/>
      </c>
      <c r="J284" s="59" t="str">
        <f t="shared" si="21"/>
        <v/>
      </c>
      <c r="K284" s="53" t="str">
        <f t="shared" si="24"/>
        <v/>
      </c>
      <c r="R284" s="27">
        <f>IF(COUNTBLANK(T283)=1,(R283*Config.!$D$12)+R283,(T283*Config.!$D$12)+T283)</f>
        <v>261.00466225953392</v>
      </c>
      <c r="S284" s="28" t="str">
        <f>IF(COUNTBLANK(T284)=1,IF(R284&lt;=Config.!$D$10,"meta","nops"),"")</f>
        <v>nops</v>
      </c>
      <c r="T284" s="32"/>
    </row>
    <row r="285" spans="1:20" ht="20.100000000000001" customHeight="1">
      <c r="A285" s="22" t="s">
        <v>21</v>
      </c>
      <c r="B285" s="20">
        <v>282</v>
      </c>
      <c r="C285" s="57">
        <f>IF(COUNTBLANK(H284)=1,(C284*Config.!$D$12)+C284,(H284*Config.!$D$12)+H284)</f>
        <v>266.22475550472461</v>
      </c>
      <c r="D285" s="57">
        <f t="shared" si="22"/>
        <v>5.2200932451906965</v>
      </c>
      <c r="E285" s="67"/>
      <c r="F285" s="68" t="str">
        <f t="shared" si="20"/>
        <v>-</v>
      </c>
      <c r="G285" s="12" t="str">
        <f>IF(COUNTBLANK(H285)=1,IF(C285&lt;=Config.!$D$10,"meta","nops"),"")</f>
        <v>nops</v>
      </c>
      <c r="H285" s="58"/>
      <c r="I285" s="59" t="str">
        <f t="shared" si="23"/>
        <v/>
      </c>
      <c r="J285" s="59" t="str">
        <f t="shared" si="21"/>
        <v/>
      </c>
      <c r="K285" s="53" t="str">
        <f t="shared" si="24"/>
        <v/>
      </c>
      <c r="R285" s="27">
        <f>IF(COUNTBLANK(T284)=1,(R284*Config.!$D$12)+R284,(T284*Config.!$D$12)+T284)</f>
        <v>266.22475550472461</v>
      </c>
      <c r="S285" s="28" t="str">
        <f>IF(COUNTBLANK(T285)=1,IF(R285&lt;=Config.!$D$10,"meta","nops"),"")</f>
        <v>nops</v>
      </c>
      <c r="T285" s="32"/>
    </row>
    <row r="286" spans="1:20" ht="20.100000000000001" customHeight="1">
      <c r="A286" s="22" t="s">
        <v>21</v>
      </c>
      <c r="B286" s="20">
        <v>283</v>
      </c>
      <c r="C286" s="57">
        <f>IF(COUNTBLANK(H285)=1,(C285*Config.!$D$12)+C285,(H285*Config.!$D$12)+H285)</f>
        <v>271.54925061481913</v>
      </c>
      <c r="D286" s="57">
        <f t="shared" si="22"/>
        <v>5.3244951100945173</v>
      </c>
      <c r="E286" s="67"/>
      <c r="F286" s="68" t="str">
        <f t="shared" si="20"/>
        <v>-</v>
      </c>
      <c r="G286" s="12" t="str">
        <f>IF(COUNTBLANK(H286)=1,IF(C286&lt;=Config.!$D$10,"meta","nops"),"")</f>
        <v>nops</v>
      </c>
      <c r="H286" s="58"/>
      <c r="I286" s="59" t="str">
        <f t="shared" si="23"/>
        <v/>
      </c>
      <c r="J286" s="59" t="str">
        <f t="shared" si="21"/>
        <v/>
      </c>
      <c r="K286" s="53" t="str">
        <f t="shared" si="24"/>
        <v/>
      </c>
      <c r="R286" s="27">
        <f>IF(COUNTBLANK(T285)=1,(R285*Config.!$D$12)+R285,(T285*Config.!$D$12)+T285)</f>
        <v>271.54925061481913</v>
      </c>
      <c r="S286" s="28" t="str">
        <f>IF(COUNTBLANK(T286)=1,IF(R286&lt;=Config.!$D$10,"meta","nops"),"")</f>
        <v>nops</v>
      </c>
      <c r="T286" s="32"/>
    </row>
    <row r="287" spans="1:20" ht="20.100000000000001" customHeight="1">
      <c r="A287" s="22" t="s">
        <v>21</v>
      </c>
      <c r="B287" s="20">
        <v>284</v>
      </c>
      <c r="C287" s="57">
        <f>IF(COUNTBLANK(H286)=1,(C286*Config.!$D$12)+C286,(H286*Config.!$D$12)+H286)</f>
        <v>276.98023562711552</v>
      </c>
      <c r="D287" s="57">
        <f t="shared" si="22"/>
        <v>5.4309850122963894</v>
      </c>
      <c r="E287" s="67"/>
      <c r="F287" s="68" t="str">
        <f t="shared" si="20"/>
        <v>-</v>
      </c>
      <c r="G287" s="12" t="str">
        <f>IF(COUNTBLANK(H287)=1,IF(C287&lt;=Config.!$D$10,"meta","nops"),"")</f>
        <v>nops</v>
      </c>
      <c r="H287" s="58"/>
      <c r="I287" s="59" t="str">
        <f t="shared" si="23"/>
        <v/>
      </c>
      <c r="J287" s="59" t="str">
        <f t="shared" si="21"/>
        <v/>
      </c>
      <c r="K287" s="53" t="str">
        <f t="shared" si="24"/>
        <v/>
      </c>
      <c r="R287" s="27">
        <f>IF(COUNTBLANK(T286)=1,(R286*Config.!$D$12)+R286,(T286*Config.!$D$12)+T286)</f>
        <v>276.98023562711552</v>
      </c>
      <c r="S287" s="28" t="str">
        <f>IF(COUNTBLANK(T287)=1,IF(R287&lt;=Config.!$D$10,"meta","nops"),"")</f>
        <v>nops</v>
      </c>
      <c r="T287" s="32"/>
    </row>
    <row r="288" spans="1:20" ht="20.100000000000001" customHeight="1">
      <c r="A288" s="22" t="s">
        <v>21</v>
      </c>
      <c r="B288" s="20">
        <v>285</v>
      </c>
      <c r="C288" s="57">
        <f>IF(COUNTBLANK(H287)=1,(C287*Config.!$D$12)+C287,(H287*Config.!$D$12)+H287)</f>
        <v>282.51984033965783</v>
      </c>
      <c r="D288" s="57">
        <f t="shared" si="22"/>
        <v>5.5396047125423138</v>
      </c>
      <c r="E288" s="67"/>
      <c r="F288" s="68" t="str">
        <f t="shared" si="20"/>
        <v>-</v>
      </c>
      <c r="G288" s="12" t="str">
        <f>IF(COUNTBLANK(H288)=1,IF(C288&lt;=Config.!$D$10,"meta","nops"),"")</f>
        <v>nops</v>
      </c>
      <c r="H288" s="58"/>
      <c r="I288" s="59" t="str">
        <f t="shared" si="23"/>
        <v/>
      </c>
      <c r="J288" s="59" t="str">
        <f t="shared" si="21"/>
        <v/>
      </c>
      <c r="K288" s="53" t="str">
        <f t="shared" si="24"/>
        <v/>
      </c>
      <c r="R288" s="27">
        <f>IF(COUNTBLANK(T287)=1,(R287*Config.!$D$12)+R287,(T287*Config.!$D$12)+T287)</f>
        <v>282.51984033965783</v>
      </c>
      <c r="S288" s="28" t="str">
        <f>IF(COUNTBLANK(T288)=1,IF(R288&lt;=Config.!$D$10,"meta","nops"),"")</f>
        <v>nops</v>
      </c>
      <c r="T288" s="32"/>
    </row>
    <row r="289" spans="1:20" ht="20.100000000000001" customHeight="1">
      <c r="A289" s="22" t="s">
        <v>21</v>
      </c>
      <c r="B289" s="20">
        <v>286</v>
      </c>
      <c r="C289" s="57">
        <f>IF(COUNTBLANK(H288)=1,(C288*Config.!$D$12)+C288,(H288*Config.!$D$12)+H288)</f>
        <v>288.17023714645097</v>
      </c>
      <c r="D289" s="57">
        <f t="shared" si="22"/>
        <v>5.6503968067931396</v>
      </c>
      <c r="E289" s="67"/>
      <c r="F289" s="68" t="str">
        <f t="shared" si="20"/>
        <v>-</v>
      </c>
      <c r="G289" s="12" t="str">
        <f>IF(COUNTBLANK(H289)=1,IF(C289&lt;=Config.!$D$10,"meta","nops"),"")</f>
        <v>nops</v>
      </c>
      <c r="H289" s="58"/>
      <c r="I289" s="59" t="str">
        <f t="shared" si="23"/>
        <v/>
      </c>
      <c r="J289" s="59" t="str">
        <f t="shared" si="21"/>
        <v/>
      </c>
      <c r="K289" s="53" t="str">
        <f t="shared" si="24"/>
        <v/>
      </c>
      <c r="R289" s="27">
        <f>IF(COUNTBLANK(T288)=1,(R288*Config.!$D$12)+R288,(T288*Config.!$D$12)+T288)</f>
        <v>288.17023714645097</v>
      </c>
      <c r="S289" s="28" t="str">
        <f>IF(COUNTBLANK(T289)=1,IF(R289&lt;=Config.!$D$10,"meta","nops"),"")</f>
        <v>nops</v>
      </c>
      <c r="T289" s="32"/>
    </row>
    <row r="290" spans="1:20" ht="20.100000000000001" customHeight="1">
      <c r="A290" s="22" t="s">
        <v>21</v>
      </c>
      <c r="B290" s="20">
        <v>287</v>
      </c>
      <c r="C290" s="57">
        <f>IF(COUNTBLANK(H289)=1,(C289*Config.!$D$12)+C289,(H289*Config.!$D$12)+H289)</f>
        <v>293.93364188938</v>
      </c>
      <c r="D290" s="57">
        <f t="shared" si="22"/>
        <v>5.7634047429290263</v>
      </c>
      <c r="E290" s="67"/>
      <c r="F290" s="68" t="str">
        <f t="shared" si="20"/>
        <v>-</v>
      </c>
      <c r="G290" s="12" t="str">
        <f>IF(COUNTBLANK(H290)=1,IF(C290&lt;=Config.!$D$10,"meta","nops"),"")</f>
        <v>nops</v>
      </c>
      <c r="H290" s="58"/>
      <c r="I290" s="59" t="str">
        <f t="shared" si="23"/>
        <v/>
      </c>
      <c r="J290" s="59" t="str">
        <f t="shared" si="21"/>
        <v/>
      </c>
      <c r="K290" s="53" t="str">
        <f t="shared" si="24"/>
        <v/>
      </c>
      <c r="R290" s="27">
        <f>IF(COUNTBLANK(T289)=1,(R289*Config.!$D$12)+R289,(T289*Config.!$D$12)+T289)</f>
        <v>293.93364188938</v>
      </c>
      <c r="S290" s="28" t="str">
        <f>IF(COUNTBLANK(T290)=1,IF(R290&lt;=Config.!$D$10,"meta","nops"),"")</f>
        <v>nops</v>
      </c>
      <c r="T290" s="32"/>
    </row>
    <row r="291" spans="1:20" ht="20.100000000000001" customHeight="1">
      <c r="A291" s="22" t="s">
        <v>21</v>
      </c>
      <c r="B291" s="20">
        <v>288</v>
      </c>
      <c r="C291" s="57">
        <f>IF(COUNTBLANK(H290)=1,(C290*Config.!$D$12)+C290,(H290*Config.!$D$12)+H290)</f>
        <v>299.81231472716757</v>
      </c>
      <c r="D291" s="57">
        <f t="shared" si="22"/>
        <v>5.8786728377875761</v>
      </c>
      <c r="E291" s="67"/>
      <c r="F291" s="68" t="str">
        <f t="shared" si="20"/>
        <v>-</v>
      </c>
      <c r="G291" s="12" t="str">
        <f>IF(COUNTBLANK(H291)=1,IF(C291&lt;=Config.!$D$10,"meta","nops"),"")</f>
        <v>nops</v>
      </c>
      <c r="H291" s="58"/>
      <c r="I291" s="59" t="str">
        <f t="shared" si="23"/>
        <v/>
      </c>
      <c r="J291" s="59" t="str">
        <f t="shared" si="21"/>
        <v/>
      </c>
      <c r="K291" s="53" t="str">
        <f t="shared" si="24"/>
        <v/>
      </c>
      <c r="R291" s="27">
        <f>IF(COUNTBLANK(T290)=1,(R290*Config.!$D$12)+R290,(T290*Config.!$D$12)+T290)</f>
        <v>299.81231472716757</v>
      </c>
      <c r="S291" s="28" t="str">
        <f>IF(COUNTBLANK(T291)=1,IF(R291&lt;=Config.!$D$10,"meta","nops"),"")</f>
        <v>nops</v>
      </c>
      <c r="T291" s="32"/>
    </row>
    <row r="292" spans="1:20" ht="20.100000000000001" customHeight="1">
      <c r="A292" s="22" t="s">
        <v>21</v>
      </c>
      <c r="B292" s="20">
        <v>289</v>
      </c>
      <c r="C292" s="57">
        <f>IF(COUNTBLANK(H291)=1,(C291*Config.!$D$12)+C291,(H291*Config.!$D$12)+H291)</f>
        <v>305.80856102171094</v>
      </c>
      <c r="D292" s="57">
        <f t="shared" si="22"/>
        <v>5.9962462945433685</v>
      </c>
      <c r="E292" s="67"/>
      <c r="F292" s="68" t="str">
        <f t="shared" si="20"/>
        <v>-</v>
      </c>
      <c r="G292" s="12" t="str">
        <f>IF(COUNTBLANK(H292)=1,IF(C292&lt;=Config.!$D$10,"meta","nops"),"")</f>
        <v>nops</v>
      </c>
      <c r="H292" s="58"/>
      <c r="I292" s="59" t="str">
        <f t="shared" si="23"/>
        <v/>
      </c>
      <c r="J292" s="59" t="str">
        <f t="shared" si="21"/>
        <v/>
      </c>
      <c r="K292" s="53" t="str">
        <f t="shared" si="24"/>
        <v/>
      </c>
      <c r="R292" s="27">
        <f>IF(COUNTBLANK(T291)=1,(R291*Config.!$D$12)+R291,(T291*Config.!$D$12)+T291)</f>
        <v>305.80856102171094</v>
      </c>
      <c r="S292" s="28" t="str">
        <f>IF(COUNTBLANK(T292)=1,IF(R292&lt;=Config.!$D$10,"meta","nops"),"")</f>
        <v>nops</v>
      </c>
      <c r="T292" s="32"/>
    </row>
    <row r="293" spans="1:20" ht="20.100000000000001" customHeight="1">
      <c r="A293" s="22" t="s">
        <v>21</v>
      </c>
      <c r="B293" s="20">
        <v>290</v>
      </c>
      <c r="C293" s="57">
        <f>IF(COUNTBLANK(H292)=1,(C292*Config.!$D$12)+C292,(H292*Config.!$D$12)+H292)</f>
        <v>311.92473224214518</v>
      </c>
      <c r="D293" s="57">
        <f t="shared" si="22"/>
        <v>6.1161712204342393</v>
      </c>
      <c r="E293" s="67"/>
      <c r="F293" s="68" t="str">
        <f t="shared" si="20"/>
        <v>-</v>
      </c>
      <c r="G293" s="12" t="str">
        <f>IF(COUNTBLANK(H293)=1,IF(C293&lt;=Config.!$D$10,"meta","nops"),"")</f>
        <v>nops</v>
      </c>
      <c r="H293" s="58"/>
      <c r="I293" s="59" t="str">
        <f t="shared" si="23"/>
        <v/>
      </c>
      <c r="J293" s="59" t="str">
        <f t="shared" si="21"/>
        <v/>
      </c>
      <c r="K293" s="53" t="str">
        <f t="shared" si="24"/>
        <v/>
      </c>
      <c r="R293" s="27">
        <f>IF(COUNTBLANK(T292)=1,(R292*Config.!$D$12)+R292,(T292*Config.!$D$12)+T292)</f>
        <v>311.92473224214518</v>
      </c>
      <c r="S293" s="28" t="str">
        <f>IF(COUNTBLANK(T293)=1,IF(R293&lt;=Config.!$D$10,"meta","nops"),"")</f>
        <v>nops</v>
      </c>
      <c r="T293" s="32"/>
    </row>
    <row r="294" spans="1:20" ht="20.100000000000001" customHeight="1">
      <c r="A294" s="22" t="s">
        <v>21</v>
      </c>
      <c r="B294" s="20">
        <v>291</v>
      </c>
      <c r="C294" s="57">
        <f>IF(COUNTBLANK(H293)=1,(C293*Config.!$D$12)+C293,(H293*Config.!$D$12)+H293)</f>
        <v>318.16322688698807</v>
      </c>
      <c r="D294" s="57">
        <f t="shared" si="22"/>
        <v>6.2384946448428877</v>
      </c>
      <c r="E294" s="67"/>
      <c r="F294" s="68" t="str">
        <f t="shared" si="20"/>
        <v>-</v>
      </c>
      <c r="G294" s="12" t="str">
        <f>IF(COUNTBLANK(H294)=1,IF(C294&lt;=Config.!$D$10,"meta","nops"),"")</f>
        <v>nops</v>
      </c>
      <c r="H294" s="58"/>
      <c r="I294" s="59" t="str">
        <f t="shared" si="23"/>
        <v/>
      </c>
      <c r="J294" s="59" t="str">
        <f t="shared" si="21"/>
        <v/>
      </c>
      <c r="K294" s="53" t="str">
        <f t="shared" si="24"/>
        <v/>
      </c>
      <c r="R294" s="27">
        <f>IF(COUNTBLANK(T293)=1,(R293*Config.!$D$12)+R293,(T293*Config.!$D$12)+T293)</f>
        <v>318.16322688698807</v>
      </c>
      <c r="S294" s="28" t="str">
        <f>IF(COUNTBLANK(T294)=1,IF(R294&lt;=Config.!$D$10,"meta","nops"),"")</f>
        <v>nops</v>
      </c>
      <c r="T294" s="32"/>
    </row>
    <row r="295" spans="1:20" ht="20.100000000000001" customHeight="1">
      <c r="A295" s="22" t="s">
        <v>21</v>
      </c>
      <c r="B295" s="20">
        <v>292</v>
      </c>
      <c r="C295" s="57">
        <f>IF(COUNTBLANK(H294)=1,(C294*Config.!$D$12)+C294,(H294*Config.!$D$12)+H294)</f>
        <v>324.52649142472785</v>
      </c>
      <c r="D295" s="57">
        <f t="shared" si="22"/>
        <v>6.3632645377397807</v>
      </c>
      <c r="E295" s="67"/>
      <c r="F295" s="68" t="str">
        <f t="shared" si="20"/>
        <v>-</v>
      </c>
      <c r="G295" s="12" t="str">
        <f>IF(COUNTBLANK(H295)=1,IF(C295&lt;=Config.!$D$10,"meta","nops"),"")</f>
        <v>nops</v>
      </c>
      <c r="H295" s="58"/>
      <c r="I295" s="59" t="str">
        <f t="shared" si="23"/>
        <v/>
      </c>
      <c r="J295" s="59" t="str">
        <f t="shared" si="21"/>
        <v/>
      </c>
      <c r="K295" s="53" t="str">
        <f t="shared" si="24"/>
        <v/>
      </c>
      <c r="R295" s="27">
        <f>IF(COUNTBLANK(T294)=1,(R294*Config.!$D$12)+R294,(T294*Config.!$D$12)+T294)</f>
        <v>324.52649142472785</v>
      </c>
      <c r="S295" s="28" t="str">
        <f>IF(COUNTBLANK(T295)=1,IF(R295&lt;=Config.!$D$10,"meta","nops"),"")</f>
        <v>nops</v>
      </c>
      <c r="T295" s="32"/>
    </row>
    <row r="296" spans="1:20" ht="20.100000000000001" customHeight="1">
      <c r="A296" s="22" t="s">
        <v>21</v>
      </c>
      <c r="B296" s="20">
        <v>293</v>
      </c>
      <c r="C296" s="57">
        <f>IF(COUNTBLANK(H295)=1,(C295*Config.!$D$12)+C295,(H295*Config.!$D$12)+H295)</f>
        <v>331.01702125322242</v>
      </c>
      <c r="D296" s="57">
        <f t="shared" si="22"/>
        <v>6.4905298284945729</v>
      </c>
      <c r="E296" s="67"/>
      <c r="F296" s="68" t="str">
        <f t="shared" si="20"/>
        <v>-</v>
      </c>
      <c r="G296" s="12" t="str">
        <f>IF(COUNTBLANK(H296)=1,IF(C296&lt;=Config.!$D$10,"meta","nops"),"")</f>
        <v>nops</v>
      </c>
      <c r="H296" s="58"/>
      <c r="I296" s="59" t="str">
        <f t="shared" si="23"/>
        <v/>
      </c>
      <c r="J296" s="59" t="str">
        <f t="shared" si="21"/>
        <v/>
      </c>
      <c r="K296" s="53" t="str">
        <f t="shared" si="24"/>
        <v/>
      </c>
      <c r="R296" s="27">
        <f>IF(COUNTBLANK(T295)=1,(R295*Config.!$D$12)+R295,(T295*Config.!$D$12)+T295)</f>
        <v>331.01702125322242</v>
      </c>
      <c r="S296" s="28" t="str">
        <f>IF(COUNTBLANK(T296)=1,IF(R296&lt;=Config.!$D$10,"meta","nops"),"")</f>
        <v>nops</v>
      </c>
      <c r="T296" s="32"/>
    </row>
    <row r="297" spans="1:20" ht="20.100000000000001" customHeight="1">
      <c r="A297" s="22" t="s">
        <v>21</v>
      </c>
      <c r="B297" s="20">
        <v>294</v>
      </c>
      <c r="C297" s="57">
        <f>IF(COUNTBLANK(H296)=1,(C296*Config.!$D$12)+C296,(H296*Config.!$D$12)+H296)</f>
        <v>337.63736167828688</v>
      </c>
      <c r="D297" s="57">
        <f t="shared" si="22"/>
        <v>6.6203404250644553</v>
      </c>
      <c r="E297" s="67"/>
      <c r="F297" s="68" t="str">
        <f t="shared" si="20"/>
        <v>-</v>
      </c>
      <c r="G297" s="12" t="str">
        <f>IF(COUNTBLANK(H297)=1,IF(C297&lt;=Config.!$D$10,"meta","nops"),"")</f>
        <v>nops</v>
      </c>
      <c r="H297" s="58"/>
      <c r="I297" s="59" t="str">
        <f t="shared" si="23"/>
        <v/>
      </c>
      <c r="J297" s="59" t="str">
        <f t="shared" si="21"/>
        <v/>
      </c>
      <c r="K297" s="53" t="str">
        <f t="shared" si="24"/>
        <v/>
      </c>
      <c r="R297" s="27">
        <f>IF(COUNTBLANK(T296)=1,(R296*Config.!$D$12)+R296,(T296*Config.!$D$12)+T296)</f>
        <v>337.63736167828688</v>
      </c>
      <c r="S297" s="28" t="str">
        <f>IF(COUNTBLANK(T297)=1,IF(R297&lt;=Config.!$D$10,"meta","nops"),"")</f>
        <v>nops</v>
      </c>
      <c r="T297" s="32"/>
    </row>
    <row r="298" spans="1:20" ht="20.100000000000001" customHeight="1">
      <c r="A298" s="22" t="s">
        <v>21</v>
      </c>
      <c r="B298" s="20">
        <v>295</v>
      </c>
      <c r="C298" s="57">
        <f>IF(COUNTBLANK(H297)=1,(C297*Config.!$D$12)+C297,(H297*Config.!$D$12)+H297)</f>
        <v>344.39010891185262</v>
      </c>
      <c r="D298" s="57">
        <f t="shared" si="22"/>
        <v>6.7527472335657421</v>
      </c>
      <c r="E298" s="67"/>
      <c r="F298" s="68" t="str">
        <f t="shared" si="20"/>
        <v>-</v>
      </c>
      <c r="G298" s="12" t="str">
        <f>IF(COUNTBLANK(H298)=1,IF(C298&lt;=Config.!$D$10,"meta","nops"),"")</f>
        <v>nops</v>
      </c>
      <c r="H298" s="58"/>
      <c r="I298" s="59" t="str">
        <f t="shared" si="23"/>
        <v/>
      </c>
      <c r="J298" s="59" t="str">
        <f t="shared" si="21"/>
        <v/>
      </c>
      <c r="K298" s="53" t="str">
        <f t="shared" si="24"/>
        <v/>
      </c>
      <c r="R298" s="27">
        <f>IF(COUNTBLANK(T297)=1,(R297*Config.!$D$12)+R297,(T297*Config.!$D$12)+T297)</f>
        <v>344.39010891185262</v>
      </c>
      <c r="S298" s="28" t="str">
        <f>IF(COUNTBLANK(T298)=1,IF(R298&lt;=Config.!$D$10,"meta","nops"),"")</f>
        <v>nops</v>
      </c>
      <c r="T298" s="32"/>
    </row>
    <row r="299" spans="1:20" ht="20.100000000000001" customHeight="1">
      <c r="A299" s="22" t="s">
        <v>21</v>
      </c>
      <c r="B299" s="20">
        <v>296</v>
      </c>
      <c r="C299" s="57">
        <f>IF(COUNTBLANK(H298)=1,(C298*Config.!$D$12)+C298,(H298*Config.!$D$12)+H298)</f>
        <v>351.27791109008967</v>
      </c>
      <c r="D299" s="57">
        <f t="shared" si="22"/>
        <v>6.8878021782370524</v>
      </c>
      <c r="E299" s="67"/>
      <c r="F299" s="68" t="str">
        <f t="shared" si="20"/>
        <v>-</v>
      </c>
      <c r="G299" s="12" t="str">
        <f>IF(COUNTBLANK(H299)=1,IF(C299&lt;=Config.!$D$10,"meta","nops"),"")</f>
        <v>nops</v>
      </c>
      <c r="H299" s="58"/>
      <c r="I299" s="59" t="str">
        <f t="shared" si="23"/>
        <v/>
      </c>
      <c r="J299" s="59" t="str">
        <f t="shared" si="21"/>
        <v/>
      </c>
      <c r="K299" s="53" t="str">
        <f t="shared" si="24"/>
        <v/>
      </c>
      <c r="R299" s="27">
        <f>IF(COUNTBLANK(T298)=1,(R298*Config.!$D$12)+R298,(T298*Config.!$D$12)+T298)</f>
        <v>351.27791109008967</v>
      </c>
      <c r="S299" s="28" t="str">
        <f>IF(COUNTBLANK(T299)=1,IF(R299&lt;=Config.!$D$10,"meta","nops"),"")</f>
        <v>nops</v>
      </c>
      <c r="T299" s="32"/>
    </row>
    <row r="300" spans="1:20" ht="20.100000000000001" customHeight="1">
      <c r="A300" s="22" t="s">
        <v>21</v>
      </c>
      <c r="B300" s="20">
        <v>297</v>
      </c>
      <c r="C300" s="57">
        <f>IF(COUNTBLANK(H299)=1,(C299*Config.!$D$12)+C299,(H299*Config.!$D$12)+H299)</f>
        <v>358.30346931189149</v>
      </c>
      <c r="D300" s="57">
        <f t="shared" si="22"/>
        <v>7.0255582218018162</v>
      </c>
      <c r="E300" s="67"/>
      <c r="F300" s="68" t="str">
        <f t="shared" si="20"/>
        <v>-</v>
      </c>
      <c r="G300" s="12" t="str">
        <f>IF(COUNTBLANK(H300)=1,IF(C300&lt;=Config.!$D$10,"meta","nops"),"")</f>
        <v>nops</v>
      </c>
      <c r="H300" s="58"/>
      <c r="I300" s="59" t="str">
        <f t="shared" si="23"/>
        <v/>
      </c>
      <c r="J300" s="59" t="str">
        <f t="shared" si="21"/>
        <v/>
      </c>
      <c r="K300" s="53" t="str">
        <f t="shared" si="24"/>
        <v/>
      </c>
      <c r="R300" s="27">
        <f>IF(COUNTBLANK(T299)=1,(R299*Config.!$D$12)+R299,(T299*Config.!$D$12)+T299)</f>
        <v>358.30346931189149</v>
      </c>
      <c r="S300" s="28" t="str">
        <f>IF(COUNTBLANK(T300)=1,IF(R300&lt;=Config.!$D$10,"meta","nops"),"")</f>
        <v>nops</v>
      </c>
      <c r="T300" s="32"/>
    </row>
    <row r="301" spans="1:20" ht="20.100000000000001" customHeight="1">
      <c r="A301" s="22" t="s">
        <v>21</v>
      </c>
      <c r="B301" s="20">
        <v>298</v>
      </c>
      <c r="C301" s="57">
        <f>IF(COUNTBLANK(H300)=1,(C300*Config.!$D$12)+C300,(H300*Config.!$D$12)+H300)</f>
        <v>365.46953869812933</v>
      </c>
      <c r="D301" s="57">
        <f t="shared" si="22"/>
        <v>7.1660693862378366</v>
      </c>
      <c r="E301" s="67"/>
      <c r="F301" s="68" t="str">
        <f t="shared" si="20"/>
        <v>-</v>
      </c>
      <c r="G301" s="12" t="str">
        <f>IF(COUNTBLANK(H301)=1,IF(C301&lt;=Config.!$D$10,"meta","nops"),"")</f>
        <v>nops</v>
      </c>
      <c r="H301" s="58"/>
      <c r="I301" s="59" t="str">
        <f t="shared" si="23"/>
        <v/>
      </c>
      <c r="J301" s="59" t="str">
        <f t="shared" si="21"/>
        <v/>
      </c>
      <c r="K301" s="53" t="str">
        <f t="shared" si="24"/>
        <v/>
      </c>
      <c r="R301" s="27">
        <f>IF(COUNTBLANK(T300)=1,(R300*Config.!$D$12)+R300,(T300*Config.!$D$12)+T300)</f>
        <v>365.46953869812933</v>
      </c>
      <c r="S301" s="28" t="str">
        <f>IF(COUNTBLANK(T301)=1,IF(R301&lt;=Config.!$D$10,"meta","nops"),"")</f>
        <v>nops</v>
      </c>
      <c r="T301" s="32"/>
    </row>
    <row r="302" spans="1:20" ht="20.100000000000001" customHeight="1">
      <c r="A302" s="22" t="s">
        <v>21</v>
      </c>
      <c r="B302" s="20">
        <v>299</v>
      </c>
      <c r="C302" s="57">
        <f>IF(COUNTBLANK(H301)=1,(C301*Config.!$D$12)+C301,(H301*Config.!$D$12)+H301)</f>
        <v>372.77892947209193</v>
      </c>
      <c r="D302" s="57">
        <f t="shared" si="22"/>
        <v>7.3093907739626047</v>
      </c>
      <c r="E302" s="67"/>
      <c r="F302" s="68" t="str">
        <f t="shared" si="20"/>
        <v>-</v>
      </c>
      <c r="G302" s="12" t="str">
        <f>IF(COUNTBLANK(H302)=1,IF(C302&lt;=Config.!$D$10,"meta","nops"),"")</f>
        <v>nops</v>
      </c>
      <c r="H302" s="58"/>
      <c r="I302" s="59" t="str">
        <f t="shared" si="23"/>
        <v/>
      </c>
      <c r="J302" s="59" t="str">
        <f t="shared" si="21"/>
        <v/>
      </c>
      <c r="K302" s="53" t="str">
        <f t="shared" si="24"/>
        <v/>
      </c>
      <c r="R302" s="27">
        <f>IF(COUNTBLANK(T301)=1,(R301*Config.!$D$12)+R301,(T301*Config.!$D$12)+T301)</f>
        <v>372.77892947209193</v>
      </c>
      <c r="S302" s="28" t="str">
        <f>IF(COUNTBLANK(T302)=1,IF(R302&lt;=Config.!$D$10,"meta","nops"),"")</f>
        <v>nops</v>
      </c>
      <c r="T302" s="32"/>
    </row>
    <row r="303" spans="1:20" ht="20.100000000000001" customHeight="1">
      <c r="A303" s="22" t="s">
        <v>21</v>
      </c>
      <c r="B303" s="20">
        <v>300</v>
      </c>
      <c r="C303" s="57">
        <f>IF(COUNTBLANK(H302)=1,(C302*Config.!$D$12)+C302,(H302*Config.!$D$12)+H302)</f>
        <v>380.23450806153375</v>
      </c>
      <c r="D303" s="57">
        <f t="shared" si="22"/>
        <v>7.4555785894418136</v>
      </c>
      <c r="E303" s="67"/>
      <c r="F303" s="68" t="str">
        <f t="shared" si="20"/>
        <v>-</v>
      </c>
      <c r="G303" s="12" t="str">
        <f>IF(COUNTBLANK(H303)=1,IF(C303&lt;=Config.!$D$10,"meta","nops"),"")</f>
        <v>nops</v>
      </c>
      <c r="H303" s="58"/>
      <c r="I303" s="59" t="str">
        <f t="shared" si="23"/>
        <v/>
      </c>
      <c r="J303" s="59" t="str">
        <f t="shared" si="21"/>
        <v/>
      </c>
      <c r="K303" s="53" t="str">
        <f t="shared" si="24"/>
        <v/>
      </c>
      <c r="R303" s="27">
        <f>IF(COUNTBLANK(T302)=1,(R302*Config.!$D$12)+R302,(T302*Config.!$D$12)+T302)</f>
        <v>380.23450806153375</v>
      </c>
      <c r="S303" s="28" t="str">
        <f>IF(COUNTBLANK(T303)=1,IF(R303&lt;=Config.!$D$10,"meta","nops"),"")</f>
        <v>nops</v>
      </c>
      <c r="T303" s="32"/>
    </row>
    <row r="304" spans="1:20" ht="20.100000000000001" customHeight="1">
      <c r="A304" s="22" t="s">
        <v>21</v>
      </c>
      <c r="B304" s="20">
        <v>301</v>
      </c>
      <c r="C304" s="57">
        <f>IF(COUNTBLANK(H303)=1,(C303*Config.!$D$12)+C303,(H303*Config.!$D$12)+H303)</f>
        <v>387.83919822276442</v>
      </c>
      <c r="D304" s="57">
        <f t="shared" si="22"/>
        <v>7.6046901612306783</v>
      </c>
      <c r="E304" s="67"/>
      <c r="F304" s="68" t="str">
        <f t="shared" si="20"/>
        <v>-</v>
      </c>
      <c r="G304" s="12" t="str">
        <f>IF(COUNTBLANK(H304)=1,IF(C304&lt;=Config.!$D$10,"meta","nops"),"")</f>
        <v>nops</v>
      </c>
      <c r="H304" s="58"/>
      <c r="I304" s="59" t="str">
        <f t="shared" si="23"/>
        <v/>
      </c>
      <c r="J304" s="59" t="str">
        <f t="shared" si="21"/>
        <v/>
      </c>
      <c r="K304" s="53" t="str">
        <f t="shared" si="24"/>
        <v/>
      </c>
      <c r="R304" s="27">
        <f>IF(COUNTBLANK(T303)=1,(R303*Config.!$D$12)+R303,(T303*Config.!$D$12)+T303)</f>
        <v>387.83919822276442</v>
      </c>
      <c r="S304" s="28" t="str">
        <f>IF(COUNTBLANK(T304)=1,IF(R304&lt;=Config.!$D$10,"meta","nops"),"")</f>
        <v>nops</v>
      </c>
      <c r="T304" s="32"/>
    </row>
    <row r="305" spans="1:20" ht="20.100000000000001" customHeight="1">
      <c r="A305" s="22" t="s">
        <v>21</v>
      </c>
      <c r="B305" s="20">
        <v>302</v>
      </c>
      <c r="C305" s="57">
        <f>IF(COUNTBLANK(H304)=1,(C304*Config.!$D$12)+C304,(H304*Config.!$D$12)+H304)</f>
        <v>395.5959821872197</v>
      </c>
      <c r="D305" s="57">
        <f t="shared" si="22"/>
        <v>7.7567839644552805</v>
      </c>
      <c r="E305" s="67"/>
      <c r="F305" s="68" t="str">
        <f t="shared" si="20"/>
        <v>-</v>
      </c>
      <c r="G305" s="12" t="str">
        <f>IF(COUNTBLANK(H305)=1,IF(C305&lt;=Config.!$D$10,"meta","nops"),"")</f>
        <v>nops</v>
      </c>
      <c r="H305" s="58"/>
      <c r="I305" s="59" t="str">
        <f t="shared" si="23"/>
        <v/>
      </c>
      <c r="J305" s="59" t="str">
        <f t="shared" si="21"/>
        <v/>
      </c>
      <c r="K305" s="53" t="str">
        <f t="shared" si="24"/>
        <v/>
      </c>
      <c r="R305" s="27">
        <f>IF(COUNTBLANK(T304)=1,(R304*Config.!$D$12)+R304,(T304*Config.!$D$12)+T304)</f>
        <v>395.5959821872197</v>
      </c>
      <c r="S305" s="28" t="str">
        <f>IF(COUNTBLANK(T305)=1,IF(R305&lt;=Config.!$D$10,"meta","nops"),"")</f>
        <v>nops</v>
      </c>
      <c r="T305" s="32"/>
    </row>
    <row r="306" spans="1:20" ht="20.100000000000001" customHeight="1">
      <c r="A306" s="22" t="s">
        <v>21</v>
      </c>
      <c r="B306" s="20">
        <v>303</v>
      </c>
      <c r="C306" s="57">
        <f>IF(COUNTBLANK(H305)=1,(C305*Config.!$D$12)+C305,(H305*Config.!$D$12)+H305)</f>
        <v>403.5079018309641</v>
      </c>
      <c r="D306" s="57">
        <f t="shared" si="22"/>
        <v>7.9119196437443975</v>
      </c>
      <c r="E306" s="67"/>
      <c r="F306" s="68" t="str">
        <f t="shared" si="20"/>
        <v>-</v>
      </c>
      <c r="G306" s="12" t="str">
        <f>IF(COUNTBLANK(H306)=1,IF(C306&lt;=Config.!$D$10,"meta","nops"),"")</f>
        <v>nops</v>
      </c>
      <c r="H306" s="58"/>
      <c r="I306" s="59" t="str">
        <f t="shared" si="23"/>
        <v/>
      </c>
      <c r="J306" s="59" t="str">
        <f t="shared" si="21"/>
        <v/>
      </c>
      <c r="K306" s="53" t="str">
        <f t="shared" si="24"/>
        <v/>
      </c>
      <c r="R306" s="27">
        <f>IF(COUNTBLANK(T305)=1,(R305*Config.!$D$12)+R305,(T305*Config.!$D$12)+T305)</f>
        <v>403.5079018309641</v>
      </c>
      <c r="S306" s="28" t="str">
        <f>IF(COUNTBLANK(T306)=1,IF(R306&lt;=Config.!$D$10,"meta","nops"),"")</f>
        <v>nops</v>
      </c>
      <c r="T306" s="32"/>
    </row>
    <row r="307" spans="1:20" ht="20.100000000000001" customHeight="1">
      <c r="A307" s="22" t="s">
        <v>21</v>
      </c>
      <c r="B307" s="20">
        <v>304</v>
      </c>
      <c r="C307" s="57">
        <f>IF(COUNTBLANK(H306)=1,(C306*Config.!$D$12)+C306,(H306*Config.!$D$12)+H306)</f>
        <v>411.57805986758336</v>
      </c>
      <c r="D307" s="57">
        <f t="shared" si="22"/>
        <v>8.0701580366192616</v>
      </c>
      <c r="E307" s="67"/>
      <c r="F307" s="68" t="str">
        <f t="shared" si="20"/>
        <v>-</v>
      </c>
      <c r="G307" s="12" t="str">
        <f>IF(COUNTBLANK(H307)=1,IF(C307&lt;=Config.!$D$10,"meta","nops"),"")</f>
        <v>nops</v>
      </c>
      <c r="H307" s="58"/>
      <c r="I307" s="59" t="str">
        <f t="shared" si="23"/>
        <v/>
      </c>
      <c r="J307" s="59" t="str">
        <f t="shared" si="21"/>
        <v/>
      </c>
      <c r="K307" s="53" t="str">
        <f t="shared" si="24"/>
        <v/>
      </c>
      <c r="R307" s="27">
        <f>IF(COUNTBLANK(T306)=1,(R306*Config.!$D$12)+R306,(T306*Config.!$D$12)+T306)</f>
        <v>411.57805986758336</v>
      </c>
      <c r="S307" s="28" t="str">
        <f>IF(COUNTBLANK(T307)=1,IF(R307&lt;=Config.!$D$10,"meta","nops"),"")</f>
        <v>nops</v>
      </c>
      <c r="T307" s="32"/>
    </row>
    <row r="308" spans="1:20" ht="20.100000000000001" customHeight="1">
      <c r="A308" s="22" t="s">
        <v>21</v>
      </c>
      <c r="B308" s="20">
        <v>305</v>
      </c>
      <c r="C308" s="57">
        <f>IF(COUNTBLANK(H307)=1,(C307*Config.!$D$12)+C307,(H307*Config.!$D$12)+H307)</f>
        <v>419.80962106493502</v>
      </c>
      <c r="D308" s="57">
        <f t="shared" si="22"/>
        <v>8.2315611973516525</v>
      </c>
      <c r="E308" s="67"/>
      <c r="F308" s="68" t="str">
        <f t="shared" si="20"/>
        <v>-</v>
      </c>
      <c r="G308" s="12" t="str">
        <f>IF(COUNTBLANK(H308)=1,IF(C308&lt;=Config.!$D$10,"meta","nops"),"")</f>
        <v>nops</v>
      </c>
      <c r="H308" s="58"/>
      <c r="I308" s="59" t="str">
        <f t="shared" si="23"/>
        <v/>
      </c>
      <c r="J308" s="59" t="str">
        <f t="shared" si="21"/>
        <v/>
      </c>
      <c r="K308" s="53" t="str">
        <f t="shared" si="24"/>
        <v/>
      </c>
      <c r="R308" s="27">
        <f>IF(COUNTBLANK(T307)=1,(R307*Config.!$D$12)+R307,(T307*Config.!$D$12)+T307)</f>
        <v>419.80962106493502</v>
      </c>
      <c r="S308" s="28" t="str">
        <f>IF(COUNTBLANK(T308)=1,IF(R308&lt;=Config.!$D$10,"meta","nops"),"")</f>
        <v>nops</v>
      </c>
      <c r="T308" s="32"/>
    </row>
    <row r="309" spans="1:20" ht="20.100000000000001" customHeight="1">
      <c r="A309" s="22" t="s">
        <v>21</v>
      </c>
      <c r="B309" s="20">
        <v>306</v>
      </c>
      <c r="C309" s="57">
        <f>IF(COUNTBLANK(H308)=1,(C308*Config.!$D$12)+C308,(H308*Config.!$D$12)+H308)</f>
        <v>428.20581348623369</v>
      </c>
      <c r="D309" s="57">
        <f t="shared" si="22"/>
        <v>8.3961924212986787</v>
      </c>
      <c r="E309" s="67"/>
      <c r="F309" s="68" t="str">
        <f t="shared" si="20"/>
        <v>-</v>
      </c>
      <c r="G309" s="12" t="str">
        <f>IF(COUNTBLANK(H309)=1,IF(C309&lt;=Config.!$D$10,"meta","nops"),"")</f>
        <v>nops</v>
      </c>
      <c r="H309" s="58"/>
      <c r="I309" s="59" t="str">
        <f t="shared" si="23"/>
        <v/>
      </c>
      <c r="J309" s="59" t="str">
        <f t="shared" si="21"/>
        <v/>
      </c>
      <c r="K309" s="53" t="str">
        <f t="shared" si="24"/>
        <v/>
      </c>
      <c r="R309" s="27">
        <f>IF(COUNTBLANK(T308)=1,(R308*Config.!$D$12)+R308,(T308*Config.!$D$12)+T308)</f>
        <v>428.20581348623369</v>
      </c>
      <c r="S309" s="28" t="str">
        <f>IF(COUNTBLANK(T309)=1,IF(R309&lt;=Config.!$D$10,"meta","nops"),"")</f>
        <v>nops</v>
      </c>
      <c r="T309" s="32"/>
    </row>
    <row r="310" spans="1:20" ht="20.100000000000001" customHeight="1">
      <c r="A310" s="22" t="s">
        <v>21</v>
      </c>
      <c r="B310" s="20">
        <v>307</v>
      </c>
      <c r="C310" s="57">
        <f>IF(COUNTBLANK(H309)=1,(C309*Config.!$D$12)+C309,(H309*Config.!$D$12)+H309)</f>
        <v>436.76992975595834</v>
      </c>
      <c r="D310" s="57">
        <f t="shared" si="22"/>
        <v>8.56411626972465</v>
      </c>
      <c r="E310" s="67"/>
      <c r="F310" s="68" t="str">
        <f t="shared" si="20"/>
        <v>-</v>
      </c>
      <c r="G310" s="12" t="str">
        <f>IF(COUNTBLANK(H310)=1,IF(C310&lt;=Config.!$D$10,"meta","nops"),"")</f>
        <v>nops</v>
      </c>
      <c r="H310" s="58"/>
      <c r="I310" s="59" t="str">
        <f t="shared" si="23"/>
        <v/>
      </c>
      <c r="J310" s="59" t="str">
        <f t="shared" si="21"/>
        <v/>
      </c>
      <c r="K310" s="53" t="str">
        <f t="shared" si="24"/>
        <v/>
      </c>
      <c r="R310" s="27">
        <f>IF(COUNTBLANK(T309)=1,(R309*Config.!$D$12)+R309,(T309*Config.!$D$12)+T309)</f>
        <v>436.76992975595834</v>
      </c>
      <c r="S310" s="28" t="str">
        <f>IF(COUNTBLANK(T310)=1,IF(R310&lt;=Config.!$D$10,"meta","nops"),"")</f>
        <v>nops</v>
      </c>
      <c r="T310" s="32"/>
    </row>
    <row r="311" spans="1:20" ht="20.100000000000001" customHeight="1">
      <c r="A311" s="22" t="s">
        <v>21</v>
      </c>
      <c r="B311" s="20">
        <v>308</v>
      </c>
      <c r="C311" s="57">
        <f>IF(COUNTBLANK(H310)=1,(C310*Config.!$D$12)+C310,(H310*Config.!$D$12)+H310)</f>
        <v>445.50532835107754</v>
      </c>
      <c r="D311" s="57">
        <f t="shared" si="22"/>
        <v>8.735398595119193</v>
      </c>
      <c r="E311" s="67"/>
      <c r="F311" s="68" t="str">
        <f t="shared" si="20"/>
        <v>-</v>
      </c>
      <c r="G311" s="12" t="str">
        <f>IF(COUNTBLANK(H311)=1,IF(C311&lt;=Config.!$D$10,"meta","nops"),"")</f>
        <v>nops</v>
      </c>
      <c r="H311" s="58"/>
      <c r="I311" s="59" t="str">
        <f t="shared" si="23"/>
        <v/>
      </c>
      <c r="J311" s="59" t="str">
        <f t="shared" si="21"/>
        <v/>
      </c>
      <c r="K311" s="53" t="str">
        <f t="shared" si="24"/>
        <v/>
      </c>
      <c r="R311" s="27">
        <f>IF(COUNTBLANK(T310)=1,(R310*Config.!$D$12)+R310,(T310*Config.!$D$12)+T310)</f>
        <v>445.50532835107754</v>
      </c>
      <c r="S311" s="28" t="str">
        <f>IF(COUNTBLANK(T311)=1,IF(R311&lt;=Config.!$D$10,"meta","nops"),"")</f>
        <v>nops</v>
      </c>
      <c r="T311" s="32"/>
    </row>
    <row r="312" spans="1:20" ht="20.100000000000001" customHeight="1">
      <c r="A312" s="22" t="s">
        <v>21</v>
      </c>
      <c r="B312" s="20">
        <v>309</v>
      </c>
      <c r="C312" s="57">
        <f>IF(COUNTBLANK(H311)=1,(C311*Config.!$D$12)+C311,(H311*Config.!$D$12)+H311)</f>
        <v>454.41543491809909</v>
      </c>
      <c r="D312" s="57">
        <f t="shared" si="22"/>
        <v>8.9101065670215576</v>
      </c>
      <c r="E312" s="67"/>
      <c r="F312" s="68" t="str">
        <f t="shared" si="20"/>
        <v>-</v>
      </c>
      <c r="G312" s="12" t="str">
        <f>IF(COUNTBLANK(H312)=1,IF(C312&lt;=Config.!$D$10,"meta","nops"),"")</f>
        <v>nops</v>
      </c>
      <c r="H312" s="58"/>
      <c r="I312" s="59" t="str">
        <f t="shared" si="23"/>
        <v/>
      </c>
      <c r="J312" s="59" t="str">
        <f t="shared" si="21"/>
        <v/>
      </c>
      <c r="K312" s="53" t="str">
        <f t="shared" si="24"/>
        <v/>
      </c>
      <c r="R312" s="27">
        <f>IF(COUNTBLANK(T311)=1,(R311*Config.!$D$12)+R311,(T311*Config.!$D$12)+T311)</f>
        <v>454.41543491809909</v>
      </c>
      <c r="S312" s="28" t="str">
        <f>IF(COUNTBLANK(T312)=1,IF(R312&lt;=Config.!$D$10,"meta","nops"),"")</f>
        <v>nops</v>
      </c>
      <c r="T312" s="32"/>
    </row>
    <row r="313" spans="1:20" ht="20.100000000000001" customHeight="1">
      <c r="A313" s="22" t="s">
        <v>21</v>
      </c>
      <c r="B313" s="20">
        <v>310</v>
      </c>
      <c r="C313" s="57">
        <f>IF(COUNTBLANK(H312)=1,(C312*Config.!$D$12)+C312,(H312*Config.!$D$12)+H312)</f>
        <v>463.50374361646107</v>
      </c>
      <c r="D313" s="57">
        <f t="shared" si="22"/>
        <v>9.0883086983619705</v>
      </c>
      <c r="E313" s="67"/>
      <c r="F313" s="68" t="str">
        <f t="shared" si="20"/>
        <v>-</v>
      </c>
      <c r="G313" s="12" t="str">
        <f>IF(COUNTBLANK(H313)=1,IF(C313&lt;=Config.!$D$10,"meta","nops"),"")</f>
        <v>nops</v>
      </c>
      <c r="H313" s="58"/>
      <c r="I313" s="59" t="str">
        <f t="shared" si="23"/>
        <v/>
      </c>
      <c r="J313" s="59" t="str">
        <f t="shared" si="21"/>
        <v/>
      </c>
      <c r="K313" s="53" t="str">
        <f t="shared" si="24"/>
        <v/>
      </c>
      <c r="R313" s="27">
        <f>IF(COUNTBLANK(T312)=1,(R312*Config.!$D$12)+R312,(T312*Config.!$D$12)+T312)</f>
        <v>463.50374361646107</v>
      </c>
      <c r="S313" s="28" t="str">
        <f>IF(COUNTBLANK(T313)=1,IF(R313&lt;=Config.!$D$10,"meta","nops"),"")</f>
        <v>nops</v>
      </c>
      <c r="T313" s="32"/>
    </row>
    <row r="314" spans="1:20" ht="20.100000000000001" customHeight="1">
      <c r="A314" s="22" t="s">
        <v>21</v>
      </c>
      <c r="B314" s="20">
        <v>311</v>
      </c>
      <c r="C314" s="57">
        <f>IF(COUNTBLANK(H313)=1,(C313*Config.!$D$12)+C313,(H313*Config.!$D$12)+H313)</f>
        <v>472.77381848879031</v>
      </c>
      <c r="D314" s="57">
        <f t="shared" si="22"/>
        <v>9.2700748723292463</v>
      </c>
      <c r="E314" s="67"/>
      <c r="F314" s="68" t="str">
        <f t="shared" si="20"/>
        <v>-</v>
      </c>
      <c r="G314" s="12" t="str">
        <f>IF(COUNTBLANK(H314)=1,IF(C314&lt;=Config.!$D$10,"meta","nops"),"")</f>
        <v>nops</v>
      </c>
      <c r="H314" s="58"/>
      <c r="I314" s="59" t="str">
        <f t="shared" si="23"/>
        <v/>
      </c>
      <c r="J314" s="59" t="str">
        <f t="shared" si="21"/>
        <v/>
      </c>
      <c r="K314" s="53" t="str">
        <f t="shared" si="24"/>
        <v/>
      </c>
      <c r="R314" s="27">
        <f>IF(COUNTBLANK(T313)=1,(R313*Config.!$D$12)+R313,(T313*Config.!$D$12)+T313)</f>
        <v>472.77381848879031</v>
      </c>
      <c r="S314" s="28" t="str">
        <f>IF(COUNTBLANK(T314)=1,IF(R314&lt;=Config.!$D$10,"meta","nops"),"")</f>
        <v>nops</v>
      </c>
      <c r="T314" s="32"/>
    </row>
    <row r="315" spans="1:20" ht="20.100000000000001" customHeight="1">
      <c r="A315" s="22" t="s">
        <v>21</v>
      </c>
      <c r="B315" s="20">
        <v>312</v>
      </c>
      <c r="C315" s="57">
        <f>IF(COUNTBLANK(H314)=1,(C314*Config.!$D$12)+C314,(H314*Config.!$D$12)+H314)</f>
        <v>482.22929485856611</v>
      </c>
      <c r="D315" s="57">
        <f t="shared" si="22"/>
        <v>9.4554763697757949</v>
      </c>
      <c r="E315" s="67"/>
      <c r="F315" s="68" t="str">
        <f t="shared" si="20"/>
        <v>-</v>
      </c>
      <c r="G315" s="12" t="str">
        <f>IF(COUNTBLANK(H315)=1,IF(C315&lt;=Config.!$D$10,"meta","nops"),"")</f>
        <v>nops</v>
      </c>
      <c r="H315" s="58"/>
      <c r="I315" s="59" t="str">
        <f t="shared" si="23"/>
        <v/>
      </c>
      <c r="J315" s="59" t="str">
        <f t="shared" si="21"/>
        <v/>
      </c>
      <c r="K315" s="53" t="str">
        <f t="shared" si="24"/>
        <v/>
      </c>
      <c r="R315" s="27">
        <f>IF(COUNTBLANK(T314)=1,(R314*Config.!$D$12)+R314,(T314*Config.!$D$12)+T314)</f>
        <v>482.22929485856611</v>
      </c>
      <c r="S315" s="28" t="str">
        <f>IF(COUNTBLANK(T315)=1,IF(R315&lt;=Config.!$D$10,"meta","nops"),"")</f>
        <v>nops</v>
      </c>
      <c r="T315" s="32"/>
    </row>
    <row r="316" spans="1:20" ht="20.100000000000001" customHeight="1">
      <c r="A316" s="22" t="s">
        <v>21</v>
      </c>
      <c r="B316" s="20">
        <v>313</v>
      </c>
      <c r="C316" s="57">
        <f>IF(COUNTBLANK(H315)=1,(C315*Config.!$D$12)+C315,(H315*Config.!$D$12)+H315)</f>
        <v>491.87388075573745</v>
      </c>
      <c r="D316" s="57">
        <f t="shared" si="22"/>
        <v>9.6445858971713392</v>
      </c>
      <c r="E316" s="67"/>
      <c r="F316" s="68" t="str">
        <f t="shared" si="20"/>
        <v>-</v>
      </c>
      <c r="G316" s="12" t="str">
        <f>IF(COUNTBLANK(H316)=1,IF(C316&lt;=Config.!$D$10,"meta","nops"),"")</f>
        <v>nops</v>
      </c>
      <c r="H316" s="58"/>
      <c r="I316" s="59" t="str">
        <f t="shared" si="23"/>
        <v/>
      </c>
      <c r="J316" s="59" t="str">
        <f t="shared" si="21"/>
        <v/>
      </c>
      <c r="K316" s="53" t="str">
        <f t="shared" si="24"/>
        <v/>
      </c>
      <c r="R316" s="27">
        <f>IF(COUNTBLANK(T315)=1,(R315*Config.!$D$12)+R315,(T315*Config.!$D$12)+T315)</f>
        <v>491.87388075573745</v>
      </c>
      <c r="S316" s="28" t="str">
        <f>IF(COUNTBLANK(T316)=1,IF(R316&lt;=Config.!$D$10,"meta","nops"),"")</f>
        <v>nops</v>
      </c>
      <c r="T316" s="32"/>
    </row>
    <row r="317" spans="1:20" ht="20.100000000000001" customHeight="1">
      <c r="A317" s="22" t="s">
        <v>21</v>
      </c>
      <c r="B317" s="20">
        <v>314</v>
      </c>
      <c r="C317" s="57">
        <f>IF(COUNTBLANK(H316)=1,(C316*Config.!$D$12)+C316,(H316*Config.!$D$12)+H316)</f>
        <v>501.71135837085217</v>
      </c>
      <c r="D317" s="57">
        <f t="shared" si="22"/>
        <v>9.8374776151147216</v>
      </c>
      <c r="E317" s="67"/>
      <c r="F317" s="68" t="str">
        <f t="shared" si="20"/>
        <v>-</v>
      </c>
      <c r="G317" s="12" t="str">
        <f>IF(COUNTBLANK(H317)=1,IF(C317&lt;=Config.!$D$10,"meta","nops"),"")</f>
        <v>nops</v>
      </c>
      <c r="H317" s="58"/>
      <c r="I317" s="59" t="str">
        <f t="shared" si="23"/>
        <v/>
      </c>
      <c r="J317" s="59" t="str">
        <f t="shared" si="21"/>
        <v/>
      </c>
      <c r="K317" s="53" t="str">
        <f t="shared" si="24"/>
        <v/>
      </c>
      <c r="R317" s="27">
        <f>IF(COUNTBLANK(T316)=1,(R316*Config.!$D$12)+R316,(T316*Config.!$D$12)+T316)</f>
        <v>501.71135837085217</v>
      </c>
      <c r="S317" s="28" t="str">
        <f>IF(COUNTBLANK(T317)=1,IF(R317&lt;=Config.!$D$10,"meta","nops"),"")</f>
        <v>nops</v>
      </c>
      <c r="T317" s="32"/>
    </row>
    <row r="318" spans="1:20" ht="20.100000000000001" customHeight="1">
      <c r="A318" s="22" t="s">
        <v>21</v>
      </c>
      <c r="B318" s="20">
        <v>315</v>
      </c>
      <c r="C318" s="57">
        <f>IF(COUNTBLANK(H317)=1,(C317*Config.!$D$12)+C317,(H317*Config.!$D$12)+H317)</f>
        <v>511.74558553826921</v>
      </c>
      <c r="D318" s="57">
        <f t="shared" si="22"/>
        <v>10.034227167417043</v>
      </c>
      <c r="E318" s="67"/>
      <c r="F318" s="68" t="str">
        <f t="shared" si="20"/>
        <v>-</v>
      </c>
      <c r="G318" s="12" t="str">
        <f>IF(COUNTBLANK(H318)=1,IF(C318&lt;=Config.!$D$10,"meta","nops"),"")</f>
        <v>nops</v>
      </c>
      <c r="H318" s="58"/>
      <c r="I318" s="59" t="str">
        <f t="shared" si="23"/>
        <v/>
      </c>
      <c r="J318" s="59" t="str">
        <f t="shared" si="21"/>
        <v/>
      </c>
      <c r="K318" s="53" t="str">
        <f t="shared" si="24"/>
        <v/>
      </c>
      <c r="R318" s="27">
        <f>IF(COUNTBLANK(T317)=1,(R317*Config.!$D$12)+R317,(T317*Config.!$D$12)+T317)</f>
        <v>511.74558553826921</v>
      </c>
      <c r="S318" s="28" t="str">
        <f>IF(COUNTBLANK(T318)=1,IF(R318&lt;=Config.!$D$10,"meta","nops"),"")</f>
        <v>nops</v>
      </c>
      <c r="T318" s="32"/>
    </row>
    <row r="319" spans="1:20" ht="20.100000000000001" customHeight="1">
      <c r="A319" s="22" t="s">
        <v>21</v>
      </c>
      <c r="B319" s="20">
        <v>316</v>
      </c>
      <c r="C319" s="57">
        <f>IF(COUNTBLANK(H318)=1,(C318*Config.!$D$12)+C318,(H318*Config.!$D$12)+H318)</f>
        <v>521.98049724903456</v>
      </c>
      <c r="D319" s="57">
        <f t="shared" si="22"/>
        <v>10.234911710765346</v>
      </c>
      <c r="E319" s="67"/>
      <c r="F319" s="68" t="str">
        <f t="shared" si="20"/>
        <v>-</v>
      </c>
      <c r="G319" s="12" t="str">
        <f>IF(COUNTBLANK(H319)=1,IF(C319&lt;=Config.!$D$10,"meta","nops"),"")</f>
        <v>nops</v>
      </c>
      <c r="H319" s="58"/>
      <c r="I319" s="59" t="str">
        <f t="shared" si="23"/>
        <v/>
      </c>
      <c r="J319" s="59" t="str">
        <f t="shared" si="21"/>
        <v/>
      </c>
      <c r="K319" s="53" t="str">
        <f t="shared" si="24"/>
        <v/>
      </c>
      <c r="R319" s="27">
        <f>IF(COUNTBLANK(T318)=1,(R318*Config.!$D$12)+R318,(T318*Config.!$D$12)+T318)</f>
        <v>521.98049724903456</v>
      </c>
      <c r="S319" s="28" t="str">
        <f>IF(COUNTBLANK(T319)=1,IF(R319&lt;=Config.!$D$10,"meta","nops"),"")</f>
        <v>nops</v>
      </c>
      <c r="T319" s="32"/>
    </row>
    <row r="320" spans="1:20" ht="20.100000000000001" customHeight="1">
      <c r="A320" s="22" t="s">
        <v>21</v>
      </c>
      <c r="B320" s="20">
        <v>317</v>
      </c>
      <c r="C320" s="57">
        <f>IF(COUNTBLANK(H319)=1,(C319*Config.!$D$12)+C319,(H319*Config.!$D$12)+H319)</f>
        <v>532.42010719401526</v>
      </c>
      <c r="D320" s="57">
        <f t="shared" si="22"/>
        <v>10.439609944980702</v>
      </c>
      <c r="E320" s="67"/>
      <c r="F320" s="68" t="str">
        <f t="shared" si="20"/>
        <v>-</v>
      </c>
      <c r="G320" s="12" t="str">
        <f>IF(COUNTBLANK(H320)=1,IF(C320&lt;=Config.!$D$10,"meta","nops"),"")</f>
        <v>nops</v>
      </c>
      <c r="H320" s="58"/>
      <c r="I320" s="59" t="str">
        <f t="shared" si="23"/>
        <v/>
      </c>
      <c r="J320" s="59" t="str">
        <f t="shared" si="21"/>
        <v/>
      </c>
      <c r="K320" s="53" t="str">
        <f t="shared" si="24"/>
        <v/>
      </c>
      <c r="R320" s="27">
        <f>IF(COUNTBLANK(T319)=1,(R319*Config.!$D$12)+R319,(T319*Config.!$D$12)+T319)</f>
        <v>532.42010719401526</v>
      </c>
      <c r="S320" s="28" t="str">
        <f>IF(COUNTBLANK(T320)=1,IF(R320&lt;=Config.!$D$10,"meta","nops"),"")</f>
        <v>nops</v>
      </c>
      <c r="T320" s="32"/>
    </row>
    <row r="321" spans="1:20" ht="20.100000000000001" customHeight="1">
      <c r="A321" s="22" t="s">
        <v>21</v>
      </c>
      <c r="B321" s="20">
        <v>318</v>
      </c>
      <c r="C321" s="57">
        <f>IF(COUNTBLANK(H320)=1,(C320*Config.!$D$12)+C320,(H320*Config.!$D$12)+H320)</f>
        <v>543.06850933789553</v>
      </c>
      <c r="D321" s="57">
        <f t="shared" si="22"/>
        <v>10.648402143880276</v>
      </c>
      <c r="E321" s="67"/>
      <c r="F321" s="68" t="str">
        <f t="shared" si="20"/>
        <v>-</v>
      </c>
      <c r="G321" s="12" t="str">
        <f>IF(COUNTBLANK(H321)=1,IF(C321&lt;=Config.!$D$10,"meta","nops"),"")</f>
        <v>nops</v>
      </c>
      <c r="H321" s="58"/>
      <c r="I321" s="59" t="str">
        <f t="shared" si="23"/>
        <v/>
      </c>
      <c r="J321" s="59" t="str">
        <f t="shared" si="21"/>
        <v/>
      </c>
      <c r="K321" s="53" t="str">
        <f t="shared" si="24"/>
        <v/>
      </c>
      <c r="R321" s="27">
        <f>IF(COUNTBLANK(T320)=1,(R320*Config.!$D$12)+R320,(T320*Config.!$D$12)+T320)</f>
        <v>543.06850933789553</v>
      </c>
      <c r="S321" s="28" t="str">
        <f>IF(COUNTBLANK(T321)=1,IF(R321&lt;=Config.!$D$10,"meta","nops"),"")</f>
        <v>nops</v>
      </c>
      <c r="T321" s="32"/>
    </row>
    <row r="322" spans="1:20" ht="20.100000000000001" customHeight="1">
      <c r="A322" s="22" t="s">
        <v>21</v>
      </c>
      <c r="B322" s="20">
        <v>319</v>
      </c>
      <c r="C322" s="57">
        <f>IF(COUNTBLANK(H321)=1,(C321*Config.!$D$12)+C321,(H321*Config.!$D$12)+H321)</f>
        <v>553.92987952465342</v>
      </c>
      <c r="D322" s="57">
        <f t="shared" si="22"/>
        <v>10.861370186757881</v>
      </c>
      <c r="E322" s="67"/>
      <c r="F322" s="68" t="str">
        <f t="shared" si="20"/>
        <v>-</v>
      </c>
      <c r="G322" s="12" t="str">
        <f>IF(COUNTBLANK(H322)=1,IF(C322&lt;=Config.!$D$10,"meta","nops"),"")</f>
        <v>nops</v>
      </c>
      <c r="H322" s="58"/>
      <c r="I322" s="59" t="str">
        <f t="shared" si="23"/>
        <v/>
      </c>
      <c r="J322" s="59" t="str">
        <f t="shared" si="21"/>
        <v/>
      </c>
      <c r="K322" s="53" t="str">
        <f t="shared" si="24"/>
        <v/>
      </c>
      <c r="R322" s="27">
        <f>IF(COUNTBLANK(T321)=1,(R321*Config.!$D$12)+R321,(T321*Config.!$D$12)+T321)</f>
        <v>553.92987952465342</v>
      </c>
      <c r="S322" s="28" t="str">
        <f>IF(COUNTBLANK(T322)=1,IF(R322&lt;=Config.!$D$10,"meta","nops"),"")</f>
        <v>nops</v>
      </c>
      <c r="T322" s="32"/>
    </row>
    <row r="323" spans="1:20" ht="20.100000000000001" customHeight="1">
      <c r="A323" s="22" t="s">
        <v>21</v>
      </c>
      <c r="B323" s="20">
        <v>320</v>
      </c>
      <c r="C323" s="57">
        <f>IF(COUNTBLANK(H322)=1,(C322*Config.!$D$12)+C322,(H322*Config.!$D$12)+H322)</f>
        <v>565.00847711514643</v>
      </c>
      <c r="D323" s="57">
        <f t="shared" si="22"/>
        <v>11.078597590493018</v>
      </c>
      <c r="E323" s="67"/>
      <c r="F323" s="68" t="str">
        <f t="shared" si="20"/>
        <v>-</v>
      </c>
      <c r="G323" s="12" t="str">
        <f>IF(COUNTBLANK(H323)=1,IF(C323&lt;=Config.!$D$10,"meta","nops"),"")</f>
        <v>nops</v>
      </c>
      <c r="H323" s="58"/>
      <c r="I323" s="59" t="str">
        <f t="shared" si="23"/>
        <v/>
      </c>
      <c r="J323" s="59" t="str">
        <f t="shared" si="21"/>
        <v/>
      </c>
      <c r="K323" s="53" t="str">
        <f t="shared" si="24"/>
        <v/>
      </c>
      <c r="R323" s="27">
        <f>IF(COUNTBLANK(T322)=1,(R322*Config.!$D$12)+R322,(T322*Config.!$D$12)+T322)</f>
        <v>565.00847711514643</v>
      </c>
      <c r="S323" s="28" t="str">
        <f>IF(COUNTBLANK(T323)=1,IF(R323&lt;=Config.!$D$10,"meta","nops"),"")</f>
        <v>nops</v>
      </c>
      <c r="T323" s="32"/>
    </row>
    <row r="324" spans="1:20" ht="20.100000000000001" customHeight="1">
      <c r="A324" s="22" t="s">
        <v>21</v>
      </c>
      <c r="B324" s="20">
        <v>321</v>
      </c>
      <c r="C324" s="57">
        <f>IF(COUNTBLANK(H323)=1,(C323*Config.!$D$12)+C323,(H323*Config.!$D$12)+H323)</f>
        <v>576.30864665744934</v>
      </c>
      <c r="D324" s="57">
        <f t="shared" si="22"/>
        <v>11.30016954230291</v>
      </c>
      <c r="E324" s="67"/>
      <c r="F324" s="68" t="str">
        <f t="shared" si="20"/>
        <v>-</v>
      </c>
      <c r="G324" s="12" t="str">
        <f>IF(COUNTBLANK(H324)=1,IF(C324&lt;=Config.!$D$10,"meta","nops"),"")</f>
        <v>nops</v>
      </c>
      <c r="H324" s="58"/>
      <c r="I324" s="59" t="str">
        <f t="shared" si="23"/>
        <v/>
      </c>
      <c r="J324" s="59" t="str">
        <f t="shared" si="21"/>
        <v/>
      </c>
      <c r="K324" s="53" t="str">
        <f t="shared" si="24"/>
        <v/>
      </c>
      <c r="R324" s="27">
        <f>IF(COUNTBLANK(T323)=1,(R323*Config.!$D$12)+R323,(T323*Config.!$D$12)+T323)</f>
        <v>576.30864665744934</v>
      </c>
      <c r="S324" s="28" t="str">
        <f>IF(COUNTBLANK(T324)=1,IF(R324&lt;=Config.!$D$10,"meta","nops"),"")</f>
        <v>nops</v>
      </c>
      <c r="T324" s="32"/>
    </row>
    <row r="325" spans="1:20" ht="20.100000000000001" customHeight="1">
      <c r="A325" s="22" t="s">
        <v>21</v>
      </c>
      <c r="B325" s="20">
        <v>322</v>
      </c>
      <c r="C325" s="57">
        <f>IF(COUNTBLANK(H324)=1,(C324*Config.!$D$12)+C324,(H324*Config.!$D$12)+H324)</f>
        <v>587.83481959059839</v>
      </c>
      <c r="D325" s="57">
        <f t="shared" si="22"/>
        <v>11.526172933149041</v>
      </c>
      <c r="E325" s="67"/>
      <c r="F325" s="68" t="str">
        <f t="shared" ref="F325:F368" si="25">IF(COUNTBLANK(E325)=0,(D325/E325)/$E$3,"-")</f>
        <v>-</v>
      </c>
      <c r="G325" s="12" t="str">
        <f>IF(COUNTBLANK(H325)=1,IF(C325&lt;=Config.!$D$10,"meta","nops"),"")</f>
        <v>nops</v>
      </c>
      <c r="H325" s="58"/>
      <c r="I325" s="59" t="str">
        <f t="shared" si="23"/>
        <v/>
      </c>
      <c r="J325" s="59" t="str">
        <f t="shared" ref="J325:J368" si="26">IF(I325="","",I325-D325)</f>
        <v/>
      </c>
      <c r="K325" s="53" t="str">
        <f t="shared" si="24"/>
        <v/>
      </c>
      <c r="R325" s="27">
        <f>IF(COUNTBLANK(T324)=1,(R324*Config.!$D$12)+R324,(T324*Config.!$D$12)+T324)</f>
        <v>587.83481959059839</v>
      </c>
      <c r="S325" s="28" t="str">
        <f>IF(COUNTBLANK(T325)=1,IF(R325&lt;=Config.!$D$10,"meta","nops"),"")</f>
        <v>nops</v>
      </c>
      <c r="T325" s="32"/>
    </row>
    <row r="326" spans="1:20" ht="20.100000000000001" customHeight="1">
      <c r="A326" s="22" t="s">
        <v>21</v>
      </c>
      <c r="B326" s="20">
        <v>323</v>
      </c>
      <c r="C326" s="57">
        <f>IF(COUNTBLANK(H325)=1,(C325*Config.!$D$12)+C325,(H325*Config.!$D$12)+H325)</f>
        <v>599.59151598241033</v>
      </c>
      <c r="D326" s="57">
        <f t="shared" ref="D326:D368" si="27">IF(COUNTBLANK(H325)=1,C326-C325,C326-H325)</f>
        <v>11.756696391811943</v>
      </c>
      <c r="E326" s="67"/>
      <c r="F326" s="68" t="str">
        <f t="shared" si="25"/>
        <v>-</v>
      </c>
      <c r="G326" s="12" t="str">
        <f>IF(COUNTBLANK(H326)=1,IF(C326&lt;=Config.!$D$10,"meta","nops"),"")</f>
        <v>nops</v>
      </c>
      <c r="H326" s="58"/>
      <c r="I326" s="59" t="str">
        <f t="shared" ref="I326:I368" si="28">IF(COUNTBLANK(H326)=1,"",H326-H325)</f>
        <v/>
      </c>
      <c r="J326" s="59" t="str">
        <f t="shared" si="26"/>
        <v/>
      </c>
      <c r="K326" s="53" t="str">
        <f t="shared" ref="K326:K368" si="29">IF(COUNTBLANK(H326)=1,"",(H326-H325)/H325)</f>
        <v/>
      </c>
      <c r="R326" s="27">
        <f>IF(COUNTBLANK(T325)=1,(R325*Config.!$D$12)+R325,(T325*Config.!$D$12)+T325)</f>
        <v>599.59151598241033</v>
      </c>
      <c r="S326" s="28" t="str">
        <f>IF(COUNTBLANK(T326)=1,IF(R326&lt;=Config.!$D$10,"meta","nops"),"")</f>
        <v>nops</v>
      </c>
      <c r="T326" s="32"/>
    </row>
    <row r="327" spans="1:20" ht="20.100000000000001" customHeight="1">
      <c r="A327" s="22" t="s">
        <v>21</v>
      </c>
      <c r="B327" s="20">
        <v>324</v>
      </c>
      <c r="C327" s="57">
        <f>IF(COUNTBLANK(H326)=1,(C326*Config.!$D$12)+C326,(H326*Config.!$D$12)+H326)</f>
        <v>611.58334630205854</v>
      </c>
      <c r="D327" s="57">
        <f t="shared" si="27"/>
        <v>11.991830319648216</v>
      </c>
      <c r="E327" s="67"/>
      <c r="F327" s="68" t="str">
        <f t="shared" si="25"/>
        <v>-</v>
      </c>
      <c r="G327" s="12" t="str">
        <f>IF(COUNTBLANK(H327)=1,IF(C327&lt;=Config.!$D$10,"meta","nops"),"")</f>
        <v>nops</v>
      </c>
      <c r="H327" s="58"/>
      <c r="I327" s="59" t="str">
        <f t="shared" si="28"/>
        <v/>
      </c>
      <c r="J327" s="59" t="str">
        <f t="shared" si="26"/>
        <v/>
      </c>
      <c r="K327" s="53" t="str">
        <f t="shared" si="29"/>
        <v/>
      </c>
      <c r="R327" s="27">
        <f>IF(COUNTBLANK(T326)=1,(R326*Config.!$D$12)+R326,(T326*Config.!$D$12)+T326)</f>
        <v>611.58334630205854</v>
      </c>
      <c r="S327" s="28" t="str">
        <f>IF(COUNTBLANK(T327)=1,IF(R327&lt;=Config.!$D$10,"meta","nops"),"")</f>
        <v>nops</v>
      </c>
      <c r="T327" s="32"/>
    </row>
    <row r="328" spans="1:20" ht="20.100000000000001" customHeight="1">
      <c r="A328" s="22" t="s">
        <v>21</v>
      </c>
      <c r="B328" s="20">
        <v>325</v>
      </c>
      <c r="C328" s="57">
        <f>IF(COUNTBLANK(H327)=1,(C327*Config.!$D$12)+C327,(H327*Config.!$D$12)+H327)</f>
        <v>623.8150132280997</v>
      </c>
      <c r="D328" s="57">
        <f t="shared" si="27"/>
        <v>12.231666926041157</v>
      </c>
      <c r="E328" s="67"/>
      <c r="F328" s="68" t="str">
        <f t="shared" si="25"/>
        <v>-</v>
      </c>
      <c r="G328" s="12" t="str">
        <f>IF(COUNTBLANK(H328)=1,IF(C328&lt;=Config.!$D$10,"meta","nops"),"")</f>
        <v>nops</v>
      </c>
      <c r="H328" s="58"/>
      <c r="I328" s="59" t="str">
        <f t="shared" si="28"/>
        <v/>
      </c>
      <c r="J328" s="59" t="str">
        <f t="shared" si="26"/>
        <v/>
      </c>
      <c r="K328" s="53" t="str">
        <f t="shared" si="29"/>
        <v/>
      </c>
      <c r="R328" s="27">
        <f>IF(COUNTBLANK(T327)=1,(R327*Config.!$D$12)+R327,(T327*Config.!$D$12)+T327)</f>
        <v>623.8150132280997</v>
      </c>
      <c r="S328" s="28" t="str">
        <f>IF(COUNTBLANK(T328)=1,IF(R328&lt;=Config.!$D$10,"meta","nops"),"")</f>
        <v>nops</v>
      </c>
      <c r="T328" s="32"/>
    </row>
    <row r="329" spans="1:20" ht="20.100000000000001" customHeight="1">
      <c r="A329" s="22" t="s">
        <v>21</v>
      </c>
      <c r="B329" s="20">
        <v>326</v>
      </c>
      <c r="C329" s="57">
        <f>IF(COUNTBLANK(H328)=1,(C328*Config.!$D$12)+C328,(H328*Config.!$D$12)+H328)</f>
        <v>636.29131349266174</v>
      </c>
      <c r="D329" s="57">
        <f t="shared" si="27"/>
        <v>12.476300264562042</v>
      </c>
      <c r="E329" s="67"/>
      <c r="F329" s="68" t="str">
        <f t="shared" si="25"/>
        <v>-</v>
      </c>
      <c r="G329" s="12" t="str">
        <f>IF(COUNTBLANK(H329)=1,IF(C329&lt;=Config.!$D$10,"meta","nops"),"")</f>
        <v>nops</v>
      </c>
      <c r="H329" s="58"/>
      <c r="I329" s="59" t="str">
        <f t="shared" si="28"/>
        <v/>
      </c>
      <c r="J329" s="59" t="str">
        <f t="shared" si="26"/>
        <v/>
      </c>
      <c r="K329" s="53" t="str">
        <f t="shared" si="29"/>
        <v/>
      </c>
      <c r="R329" s="27">
        <f>IF(COUNTBLANK(T328)=1,(R328*Config.!$D$12)+R328,(T328*Config.!$D$12)+T328)</f>
        <v>636.29131349266174</v>
      </c>
      <c r="S329" s="28" t="str">
        <f>IF(COUNTBLANK(T329)=1,IF(R329&lt;=Config.!$D$10,"meta","nops"),"")</f>
        <v>nops</v>
      </c>
      <c r="T329" s="32"/>
    </row>
    <row r="330" spans="1:20" ht="20.100000000000001" customHeight="1">
      <c r="A330" s="22" t="s">
        <v>21</v>
      </c>
      <c r="B330" s="20">
        <v>327</v>
      </c>
      <c r="C330" s="57">
        <f>IF(COUNTBLANK(H329)=1,(C329*Config.!$D$12)+C329,(H329*Config.!$D$12)+H329)</f>
        <v>649.01713976251494</v>
      </c>
      <c r="D330" s="57">
        <f t="shared" si="27"/>
        <v>12.725826269853201</v>
      </c>
      <c r="E330" s="67"/>
      <c r="F330" s="68" t="str">
        <f t="shared" si="25"/>
        <v>-</v>
      </c>
      <c r="G330" s="12" t="str">
        <f>IF(COUNTBLANK(H330)=1,IF(C330&lt;=Config.!$D$10,"meta","nops"),"")</f>
        <v>nops</v>
      </c>
      <c r="H330" s="58"/>
      <c r="I330" s="59" t="str">
        <f t="shared" si="28"/>
        <v/>
      </c>
      <c r="J330" s="59" t="str">
        <f t="shared" si="26"/>
        <v/>
      </c>
      <c r="K330" s="53" t="str">
        <f t="shared" si="29"/>
        <v/>
      </c>
      <c r="R330" s="27">
        <f>IF(COUNTBLANK(T329)=1,(R329*Config.!$D$12)+R329,(T329*Config.!$D$12)+T329)</f>
        <v>649.01713976251494</v>
      </c>
      <c r="S330" s="28" t="str">
        <f>IF(COUNTBLANK(T330)=1,IF(R330&lt;=Config.!$D$10,"meta","nops"),"")</f>
        <v>nops</v>
      </c>
      <c r="T330" s="32"/>
    </row>
    <row r="331" spans="1:20" ht="20.100000000000001" customHeight="1">
      <c r="A331" s="22" t="s">
        <v>21</v>
      </c>
      <c r="B331" s="20">
        <v>328</v>
      </c>
      <c r="C331" s="57">
        <f>IF(COUNTBLANK(H330)=1,(C330*Config.!$D$12)+C330,(H330*Config.!$D$12)+H330)</f>
        <v>661.99748255776524</v>
      </c>
      <c r="D331" s="57">
        <f t="shared" si="27"/>
        <v>12.980342795250294</v>
      </c>
      <c r="E331" s="67"/>
      <c r="F331" s="68" t="str">
        <f t="shared" si="25"/>
        <v>-</v>
      </c>
      <c r="G331" s="12" t="str">
        <f>IF(COUNTBLANK(H331)=1,IF(C331&lt;=Config.!$D$10,"meta","nops"),"")</f>
        <v>nops</v>
      </c>
      <c r="H331" s="58"/>
      <c r="I331" s="59" t="str">
        <f t="shared" si="28"/>
        <v/>
      </c>
      <c r="J331" s="59" t="str">
        <f t="shared" si="26"/>
        <v/>
      </c>
      <c r="K331" s="53" t="str">
        <f t="shared" si="29"/>
        <v/>
      </c>
      <c r="R331" s="27">
        <f>IF(COUNTBLANK(T330)=1,(R330*Config.!$D$12)+R330,(T330*Config.!$D$12)+T330)</f>
        <v>661.99748255776524</v>
      </c>
      <c r="S331" s="28" t="str">
        <f>IF(COUNTBLANK(T331)=1,IF(R331&lt;=Config.!$D$10,"meta","nops"),"")</f>
        <v>nops</v>
      </c>
      <c r="T331" s="32"/>
    </row>
    <row r="332" spans="1:20" ht="20.100000000000001" customHeight="1">
      <c r="A332" s="22" t="s">
        <v>21</v>
      </c>
      <c r="B332" s="20">
        <v>329</v>
      </c>
      <c r="C332" s="57">
        <f>IF(COUNTBLANK(H331)=1,(C331*Config.!$D$12)+C331,(H331*Config.!$D$12)+H331)</f>
        <v>675.2374322089205</v>
      </c>
      <c r="D332" s="57">
        <f t="shared" si="27"/>
        <v>13.239949651155257</v>
      </c>
      <c r="E332" s="67"/>
      <c r="F332" s="68" t="str">
        <f t="shared" si="25"/>
        <v>-</v>
      </c>
      <c r="G332" s="12" t="str">
        <f>IF(COUNTBLANK(H332)=1,IF(C332&lt;=Config.!$D$10,"meta","nops"),"")</f>
        <v>nops</v>
      </c>
      <c r="H332" s="58"/>
      <c r="I332" s="59" t="str">
        <f t="shared" si="28"/>
        <v/>
      </c>
      <c r="J332" s="59" t="str">
        <f t="shared" si="26"/>
        <v/>
      </c>
      <c r="K332" s="53" t="str">
        <f t="shared" si="29"/>
        <v/>
      </c>
      <c r="R332" s="27">
        <f>IF(COUNTBLANK(T331)=1,(R331*Config.!$D$12)+R331,(T331*Config.!$D$12)+T331)</f>
        <v>675.2374322089205</v>
      </c>
      <c r="S332" s="28" t="str">
        <f>IF(COUNTBLANK(T332)=1,IF(R332&lt;=Config.!$D$10,"meta","nops"),"")</f>
        <v>nops</v>
      </c>
      <c r="T332" s="32"/>
    </row>
    <row r="333" spans="1:20" ht="20.100000000000001" customHeight="1">
      <c r="A333" s="22" t="s">
        <v>21</v>
      </c>
      <c r="B333" s="20">
        <v>330</v>
      </c>
      <c r="C333" s="57">
        <f>IF(COUNTBLANK(H332)=1,(C332*Config.!$D$12)+C332,(H332*Config.!$D$12)+H332)</f>
        <v>688.74218085309894</v>
      </c>
      <c r="D333" s="57">
        <f t="shared" si="27"/>
        <v>13.504748644178449</v>
      </c>
      <c r="E333" s="67"/>
      <c r="F333" s="68" t="str">
        <f t="shared" si="25"/>
        <v>-</v>
      </c>
      <c r="G333" s="12" t="str">
        <f>IF(COUNTBLANK(H333)=1,IF(C333&lt;=Config.!$D$10,"meta","nops"),"")</f>
        <v>nops</v>
      </c>
      <c r="H333" s="58"/>
      <c r="I333" s="59" t="str">
        <f t="shared" si="28"/>
        <v/>
      </c>
      <c r="J333" s="59" t="str">
        <f t="shared" si="26"/>
        <v/>
      </c>
      <c r="K333" s="53" t="str">
        <f t="shared" si="29"/>
        <v/>
      </c>
      <c r="R333" s="27">
        <f>IF(COUNTBLANK(T332)=1,(R332*Config.!$D$12)+R332,(T332*Config.!$D$12)+T332)</f>
        <v>688.74218085309894</v>
      </c>
      <c r="S333" s="28" t="str">
        <f>IF(COUNTBLANK(T333)=1,IF(R333&lt;=Config.!$D$10,"meta","nops"),"")</f>
        <v>nops</v>
      </c>
      <c r="T333" s="32"/>
    </row>
    <row r="334" spans="1:20" ht="20.100000000000001" customHeight="1">
      <c r="A334" s="22" t="s">
        <v>21</v>
      </c>
      <c r="B334" s="20">
        <v>331</v>
      </c>
      <c r="C334" s="57">
        <f>IF(COUNTBLANK(H333)=1,(C333*Config.!$D$12)+C333,(H333*Config.!$D$12)+H333)</f>
        <v>702.51702447016089</v>
      </c>
      <c r="D334" s="57">
        <f t="shared" si="27"/>
        <v>13.774843617061947</v>
      </c>
      <c r="E334" s="67"/>
      <c r="F334" s="68" t="str">
        <f t="shared" si="25"/>
        <v>-</v>
      </c>
      <c r="G334" s="12" t="str">
        <f>IF(COUNTBLANK(H334)=1,IF(C334&lt;=Config.!$D$10,"meta","nops"),"")</f>
        <v>nops</v>
      </c>
      <c r="H334" s="58"/>
      <c r="I334" s="59" t="str">
        <f t="shared" si="28"/>
        <v/>
      </c>
      <c r="J334" s="59" t="str">
        <f t="shared" si="26"/>
        <v/>
      </c>
      <c r="K334" s="53" t="str">
        <f t="shared" si="29"/>
        <v/>
      </c>
      <c r="R334" s="27">
        <f>IF(COUNTBLANK(T333)=1,(R333*Config.!$D$12)+R333,(T333*Config.!$D$12)+T333)</f>
        <v>702.51702447016089</v>
      </c>
      <c r="S334" s="28" t="str">
        <f>IF(COUNTBLANK(T334)=1,IF(R334&lt;=Config.!$D$10,"meta","nops"),"")</f>
        <v>nops</v>
      </c>
      <c r="T334" s="32"/>
    </row>
    <row r="335" spans="1:20" ht="20.100000000000001" customHeight="1">
      <c r="A335" s="22" t="s">
        <v>21</v>
      </c>
      <c r="B335" s="20">
        <v>332</v>
      </c>
      <c r="C335" s="57">
        <f>IF(COUNTBLANK(H334)=1,(C334*Config.!$D$12)+C334,(H334*Config.!$D$12)+H334)</f>
        <v>716.56736495956409</v>
      </c>
      <c r="D335" s="57">
        <f t="shared" si="27"/>
        <v>14.050340489403197</v>
      </c>
      <c r="E335" s="67"/>
      <c r="F335" s="68" t="str">
        <f t="shared" si="25"/>
        <v>-</v>
      </c>
      <c r="G335" s="12" t="str">
        <f>IF(COUNTBLANK(H335)=1,IF(C335&lt;=Config.!$D$10,"meta","nops"),"")</f>
        <v>nops</v>
      </c>
      <c r="H335" s="58"/>
      <c r="I335" s="59" t="str">
        <f t="shared" si="28"/>
        <v/>
      </c>
      <c r="J335" s="59" t="str">
        <f t="shared" si="26"/>
        <v/>
      </c>
      <c r="K335" s="53" t="str">
        <f t="shared" si="29"/>
        <v/>
      </c>
      <c r="R335" s="27">
        <f>IF(COUNTBLANK(T334)=1,(R334*Config.!$D$12)+R334,(T334*Config.!$D$12)+T334)</f>
        <v>716.56736495956409</v>
      </c>
      <c r="S335" s="28" t="str">
        <f>IF(COUNTBLANK(T335)=1,IF(R335&lt;=Config.!$D$10,"meta","nops"),"")</f>
        <v>nops</v>
      </c>
      <c r="T335" s="32"/>
    </row>
    <row r="336" spans="1:20" ht="20.100000000000001" customHeight="1">
      <c r="A336" s="22" t="s">
        <v>21</v>
      </c>
      <c r="B336" s="20">
        <v>333</v>
      </c>
      <c r="C336" s="57">
        <f>IF(COUNTBLANK(H335)=1,(C335*Config.!$D$12)+C335,(H335*Config.!$D$12)+H335)</f>
        <v>730.89871225875538</v>
      </c>
      <c r="D336" s="57">
        <f t="shared" si="27"/>
        <v>14.331347299191293</v>
      </c>
      <c r="E336" s="67"/>
      <c r="F336" s="68" t="str">
        <f t="shared" si="25"/>
        <v>-</v>
      </c>
      <c r="G336" s="12" t="str">
        <f>IF(COUNTBLANK(H336)=1,IF(C336&lt;=Config.!$D$10,"meta","nops"),"")</f>
        <v>nops</v>
      </c>
      <c r="H336" s="58"/>
      <c r="I336" s="59" t="str">
        <f t="shared" si="28"/>
        <v/>
      </c>
      <c r="J336" s="59" t="str">
        <f t="shared" si="26"/>
        <v/>
      </c>
      <c r="K336" s="53" t="str">
        <f t="shared" si="29"/>
        <v/>
      </c>
      <c r="R336" s="27">
        <f>IF(COUNTBLANK(T335)=1,(R335*Config.!$D$12)+R335,(T335*Config.!$D$12)+T335)</f>
        <v>730.89871225875538</v>
      </c>
      <c r="S336" s="28" t="str">
        <f>IF(COUNTBLANK(T336)=1,IF(R336&lt;=Config.!$D$10,"meta","nops"),"")</f>
        <v>nops</v>
      </c>
      <c r="T336" s="32"/>
    </row>
    <row r="337" spans="1:20" ht="20.100000000000001" customHeight="1">
      <c r="A337" s="22" t="s">
        <v>21</v>
      </c>
      <c r="B337" s="20">
        <v>334</v>
      </c>
      <c r="C337" s="57">
        <f>IF(COUNTBLANK(H336)=1,(C336*Config.!$D$12)+C336,(H336*Config.!$D$12)+H336)</f>
        <v>745.51668650393049</v>
      </c>
      <c r="D337" s="57">
        <f t="shared" si="27"/>
        <v>14.617974245175105</v>
      </c>
      <c r="E337" s="67"/>
      <c r="F337" s="68" t="str">
        <f t="shared" si="25"/>
        <v>-</v>
      </c>
      <c r="G337" s="12" t="str">
        <f>IF(COUNTBLANK(H337)=1,IF(C337&lt;=Config.!$D$10,"meta","nops"),"")</f>
        <v>nops</v>
      </c>
      <c r="H337" s="58"/>
      <c r="I337" s="59" t="str">
        <f t="shared" si="28"/>
        <v/>
      </c>
      <c r="J337" s="59" t="str">
        <f t="shared" si="26"/>
        <v/>
      </c>
      <c r="K337" s="53" t="str">
        <f t="shared" si="29"/>
        <v/>
      </c>
      <c r="R337" s="27">
        <f>IF(COUNTBLANK(T336)=1,(R336*Config.!$D$12)+R336,(T336*Config.!$D$12)+T336)</f>
        <v>745.51668650393049</v>
      </c>
      <c r="S337" s="28" t="str">
        <f>IF(COUNTBLANK(T337)=1,IF(R337&lt;=Config.!$D$10,"meta","nops"),"")</f>
        <v>nops</v>
      </c>
      <c r="T337" s="32"/>
    </row>
    <row r="338" spans="1:20" ht="20.100000000000001" customHeight="1">
      <c r="A338" s="22" t="s">
        <v>21</v>
      </c>
      <c r="B338" s="20">
        <v>335</v>
      </c>
      <c r="C338" s="57">
        <f>IF(COUNTBLANK(H337)=1,(C337*Config.!$D$12)+C337,(H337*Config.!$D$12)+H337)</f>
        <v>760.42702023400909</v>
      </c>
      <c r="D338" s="57">
        <f t="shared" si="27"/>
        <v>14.910333730078605</v>
      </c>
      <c r="E338" s="67"/>
      <c r="F338" s="68" t="str">
        <f t="shared" si="25"/>
        <v>-</v>
      </c>
      <c r="G338" s="12" t="str">
        <f>IF(COUNTBLANK(H338)=1,IF(C338&lt;=Config.!$D$10,"meta","nops"),"")</f>
        <v>nops</v>
      </c>
      <c r="H338" s="58"/>
      <c r="I338" s="59" t="str">
        <f t="shared" si="28"/>
        <v/>
      </c>
      <c r="J338" s="59" t="str">
        <f t="shared" si="26"/>
        <v/>
      </c>
      <c r="K338" s="53" t="str">
        <f t="shared" si="29"/>
        <v/>
      </c>
      <c r="R338" s="27">
        <f>IF(COUNTBLANK(T337)=1,(R337*Config.!$D$12)+R337,(T337*Config.!$D$12)+T337)</f>
        <v>760.42702023400909</v>
      </c>
      <c r="S338" s="28" t="str">
        <f>IF(COUNTBLANK(T338)=1,IF(R338&lt;=Config.!$D$10,"meta","nops"),"")</f>
        <v>nops</v>
      </c>
      <c r="T338" s="32"/>
    </row>
    <row r="339" spans="1:20" ht="20.100000000000001" customHeight="1">
      <c r="A339" s="22" t="s">
        <v>21</v>
      </c>
      <c r="B339" s="20">
        <v>336</v>
      </c>
      <c r="C339" s="57">
        <f>IF(COUNTBLANK(H338)=1,(C338*Config.!$D$12)+C338,(H338*Config.!$D$12)+H338)</f>
        <v>775.6355606386893</v>
      </c>
      <c r="D339" s="57">
        <f t="shared" si="27"/>
        <v>15.208540404680207</v>
      </c>
      <c r="E339" s="67"/>
      <c r="F339" s="68" t="str">
        <f t="shared" si="25"/>
        <v>-</v>
      </c>
      <c r="G339" s="12" t="str">
        <f>IF(COUNTBLANK(H339)=1,IF(C339&lt;=Config.!$D$10,"meta","nops"),"")</f>
        <v>nops</v>
      </c>
      <c r="H339" s="58"/>
      <c r="I339" s="59" t="str">
        <f t="shared" si="28"/>
        <v/>
      </c>
      <c r="J339" s="59" t="str">
        <f t="shared" si="26"/>
        <v/>
      </c>
      <c r="K339" s="53" t="str">
        <f t="shared" si="29"/>
        <v/>
      </c>
      <c r="R339" s="27">
        <f>IF(COUNTBLANK(T338)=1,(R338*Config.!$D$12)+R338,(T338*Config.!$D$12)+T338)</f>
        <v>775.6355606386893</v>
      </c>
      <c r="S339" s="28" t="str">
        <f>IF(COUNTBLANK(T339)=1,IF(R339&lt;=Config.!$D$10,"meta","nops"),"")</f>
        <v>nops</v>
      </c>
      <c r="T339" s="32"/>
    </row>
    <row r="340" spans="1:20" ht="20.100000000000001" customHeight="1">
      <c r="A340" s="22" t="s">
        <v>21</v>
      </c>
      <c r="B340" s="20">
        <v>337</v>
      </c>
      <c r="C340" s="57">
        <f>IF(COUNTBLANK(H339)=1,(C339*Config.!$D$12)+C339,(H339*Config.!$D$12)+H339)</f>
        <v>791.14827185146305</v>
      </c>
      <c r="D340" s="57">
        <f t="shared" si="27"/>
        <v>15.512711212773752</v>
      </c>
      <c r="E340" s="67"/>
      <c r="F340" s="68" t="str">
        <f t="shared" si="25"/>
        <v>-</v>
      </c>
      <c r="G340" s="12" t="str">
        <f>IF(COUNTBLANK(H340)=1,IF(C340&lt;=Config.!$D$10,"meta","nops"),"")</f>
        <v>nops</v>
      </c>
      <c r="H340" s="58"/>
      <c r="I340" s="59" t="str">
        <f t="shared" si="28"/>
        <v/>
      </c>
      <c r="J340" s="59" t="str">
        <f t="shared" si="26"/>
        <v/>
      </c>
      <c r="K340" s="53" t="str">
        <f t="shared" si="29"/>
        <v/>
      </c>
      <c r="R340" s="27">
        <f>IF(COUNTBLANK(T339)=1,(R339*Config.!$D$12)+R339,(T339*Config.!$D$12)+T339)</f>
        <v>791.14827185146305</v>
      </c>
      <c r="S340" s="28" t="str">
        <f>IF(COUNTBLANK(T340)=1,IF(R340&lt;=Config.!$D$10,"meta","nops"),"")</f>
        <v>nops</v>
      </c>
      <c r="T340" s="32"/>
    </row>
    <row r="341" spans="1:20" ht="20.100000000000001" customHeight="1">
      <c r="A341" s="22" t="s">
        <v>21</v>
      </c>
      <c r="B341" s="20">
        <v>338</v>
      </c>
      <c r="C341" s="57">
        <f>IF(COUNTBLANK(H340)=1,(C340*Config.!$D$12)+C340,(H340*Config.!$D$12)+H340)</f>
        <v>806.97123728849226</v>
      </c>
      <c r="D341" s="57">
        <f t="shared" si="27"/>
        <v>15.822965437029211</v>
      </c>
      <c r="E341" s="67"/>
      <c r="F341" s="68" t="str">
        <f t="shared" si="25"/>
        <v>-</v>
      </c>
      <c r="G341" s="12" t="str">
        <f>IF(COUNTBLANK(H341)=1,IF(C341&lt;=Config.!$D$10,"meta","nops"),"")</f>
        <v>nops</v>
      </c>
      <c r="H341" s="58"/>
      <c r="I341" s="59" t="str">
        <f t="shared" si="28"/>
        <v/>
      </c>
      <c r="J341" s="59" t="str">
        <f t="shared" si="26"/>
        <v/>
      </c>
      <c r="K341" s="53" t="str">
        <f t="shared" si="29"/>
        <v/>
      </c>
      <c r="R341" s="27">
        <f>IF(COUNTBLANK(T340)=1,(R340*Config.!$D$12)+R340,(T340*Config.!$D$12)+T340)</f>
        <v>806.97123728849226</v>
      </c>
      <c r="S341" s="28" t="str">
        <f>IF(COUNTBLANK(T341)=1,IF(R341&lt;=Config.!$D$10,"meta","nops"),"")</f>
        <v>nops</v>
      </c>
      <c r="T341" s="32"/>
    </row>
    <row r="342" spans="1:20" ht="20.100000000000001" customHeight="1">
      <c r="A342" s="22" t="s">
        <v>21</v>
      </c>
      <c r="B342" s="20">
        <v>339</v>
      </c>
      <c r="C342" s="57">
        <f>IF(COUNTBLANK(H341)=1,(C341*Config.!$D$12)+C341,(H341*Config.!$D$12)+H341)</f>
        <v>823.11066203426208</v>
      </c>
      <c r="D342" s="57">
        <f t="shared" si="27"/>
        <v>16.139424745769816</v>
      </c>
      <c r="E342" s="67"/>
      <c r="F342" s="68" t="str">
        <f t="shared" si="25"/>
        <v>-</v>
      </c>
      <c r="G342" s="12" t="str">
        <f>IF(COUNTBLANK(H342)=1,IF(C342&lt;=Config.!$D$10,"meta","nops"),"")</f>
        <v>nops</v>
      </c>
      <c r="H342" s="58"/>
      <c r="I342" s="59" t="str">
        <f t="shared" si="28"/>
        <v/>
      </c>
      <c r="J342" s="59" t="str">
        <f t="shared" si="26"/>
        <v/>
      </c>
      <c r="K342" s="53" t="str">
        <f t="shared" si="29"/>
        <v/>
      </c>
      <c r="R342" s="27">
        <f>IF(COUNTBLANK(T341)=1,(R341*Config.!$D$12)+R341,(T341*Config.!$D$12)+T341)</f>
        <v>823.11066203426208</v>
      </c>
      <c r="S342" s="28" t="str">
        <f>IF(COUNTBLANK(T342)=1,IF(R342&lt;=Config.!$D$10,"meta","nops"),"")</f>
        <v>nops</v>
      </c>
      <c r="T342" s="32"/>
    </row>
    <row r="343" spans="1:20" ht="20.100000000000001" customHeight="1">
      <c r="A343" s="22" t="s">
        <v>21</v>
      </c>
      <c r="B343" s="20">
        <v>340</v>
      </c>
      <c r="C343" s="57">
        <f>IF(COUNTBLANK(H342)=1,(C342*Config.!$D$12)+C342,(H342*Config.!$D$12)+H342)</f>
        <v>839.57287527494736</v>
      </c>
      <c r="D343" s="57">
        <f t="shared" si="27"/>
        <v>16.462213240685287</v>
      </c>
      <c r="E343" s="67"/>
      <c r="F343" s="68" t="str">
        <f t="shared" si="25"/>
        <v>-</v>
      </c>
      <c r="G343" s="12" t="str">
        <f>IF(COUNTBLANK(H343)=1,IF(C343&lt;=Config.!$D$10,"meta","nops"),"")</f>
        <v>nops</v>
      </c>
      <c r="H343" s="58"/>
      <c r="I343" s="59" t="str">
        <f t="shared" si="28"/>
        <v/>
      </c>
      <c r="J343" s="59" t="str">
        <f t="shared" si="26"/>
        <v/>
      </c>
      <c r="K343" s="53" t="str">
        <f t="shared" si="29"/>
        <v/>
      </c>
      <c r="R343" s="27">
        <f>IF(COUNTBLANK(T342)=1,(R342*Config.!$D$12)+R342,(T342*Config.!$D$12)+T342)</f>
        <v>839.57287527494736</v>
      </c>
      <c r="S343" s="28" t="str">
        <f>IF(COUNTBLANK(T343)=1,IF(R343&lt;=Config.!$D$10,"meta","nops"),"")</f>
        <v>nops</v>
      </c>
      <c r="T343" s="32"/>
    </row>
    <row r="344" spans="1:20" ht="20.100000000000001" customHeight="1">
      <c r="A344" s="22" t="s">
        <v>21</v>
      </c>
      <c r="B344" s="20">
        <v>341</v>
      </c>
      <c r="C344" s="57">
        <f>IF(COUNTBLANK(H343)=1,(C343*Config.!$D$12)+C343,(H343*Config.!$D$12)+H343)</f>
        <v>856.36433278044626</v>
      </c>
      <c r="D344" s="57">
        <f t="shared" si="27"/>
        <v>16.791457505498897</v>
      </c>
      <c r="E344" s="67"/>
      <c r="F344" s="68" t="str">
        <f t="shared" si="25"/>
        <v>-</v>
      </c>
      <c r="G344" s="12" t="str">
        <f>IF(COUNTBLANK(H344)=1,IF(C344&lt;=Config.!$D$10,"meta","nops"),"")</f>
        <v>nops</v>
      </c>
      <c r="H344" s="58"/>
      <c r="I344" s="59" t="str">
        <f t="shared" si="28"/>
        <v/>
      </c>
      <c r="J344" s="59" t="str">
        <f t="shared" si="26"/>
        <v/>
      </c>
      <c r="K344" s="53" t="str">
        <f t="shared" si="29"/>
        <v/>
      </c>
      <c r="R344" s="27">
        <f>IF(COUNTBLANK(T343)=1,(R343*Config.!$D$12)+R343,(T343*Config.!$D$12)+T343)</f>
        <v>856.36433278044626</v>
      </c>
      <c r="S344" s="28" t="str">
        <f>IF(COUNTBLANK(T344)=1,IF(R344&lt;=Config.!$D$10,"meta","nops"),"")</f>
        <v>nops</v>
      </c>
      <c r="T344" s="32"/>
    </row>
    <row r="345" spans="1:20" ht="20.100000000000001" customHeight="1">
      <c r="A345" s="22" t="s">
        <v>21</v>
      </c>
      <c r="B345" s="20">
        <v>342</v>
      </c>
      <c r="C345" s="57">
        <f>IF(COUNTBLANK(H344)=1,(C344*Config.!$D$12)+C344,(H344*Config.!$D$12)+H344)</f>
        <v>873.4916194360552</v>
      </c>
      <c r="D345" s="57">
        <f t="shared" si="27"/>
        <v>17.127286655608941</v>
      </c>
      <c r="E345" s="67"/>
      <c r="F345" s="68" t="str">
        <f t="shared" si="25"/>
        <v>-</v>
      </c>
      <c r="G345" s="12" t="str">
        <f>IF(COUNTBLANK(H345)=1,IF(C345&lt;=Config.!$D$10,"meta","nops"),"")</f>
        <v>nops</v>
      </c>
      <c r="H345" s="58"/>
      <c r="I345" s="59" t="str">
        <f t="shared" si="28"/>
        <v/>
      </c>
      <c r="J345" s="59" t="str">
        <f t="shared" si="26"/>
        <v/>
      </c>
      <c r="K345" s="53" t="str">
        <f t="shared" si="29"/>
        <v/>
      </c>
      <c r="R345" s="27">
        <f>IF(COUNTBLANK(T344)=1,(R344*Config.!$D$12)+R344,(T344*Config.!$D$12)+T344)</f>
        <v>873.4916194360552</v>
      </c>
      <c r="S345" s="28" t="str">
        <f>IF(COUNTBLANK(T345)=1,IF(R345&lt;=Config.!$D$10,"meta","nops"),"")</f>
        <v>nops</v>
      </c>
      <c r="T345" s="32"/>
    </row>
    <row r="346" spans="1:20" ht="20.100000000000001" customHeight="1">
      <c r="A346" s="22" t="s">
        <v>21</v>
      </c>
      <c r="B346" s="20">
        <v>343</v>
      </c>
      <c r="C346" s="57">
        <f>IF(COUNTBLANK(H345)=1,(C345*Config.!$D$12)+C345,(H345*Config.!$D$12)+H345)</f>
        <v>890.9614518247763</v>
      </c>
      <c r="D346" s="57">
        <f t="shared" si="27"/>
        <v>17.469832388721102</v>
      </c>
      <c r="E346" s="67"/>
      <c r="F346" s="68" t="str">
        <f t="shared" si="25"/>
        <v>-</v>
      </c>
      <c r="G346" s="12" t="str">
        <f>IF(COUNTBLANK(H346)=1,IF(C346&lt;=Config.!$D$10,"meta","nops"),"")</f>
        <v>nops</v>
      </c>
      <c r="H346" s="58"/>
      <c r="I346" s="59" t="str">
        <f t="shared" si="28"/>
        <v/>
      </c>
      <c r="J346" s="59" t="str">
        <f t="shared" si="26"/>
        <v/>
      </c>
      <c r="K346" s="53" t="str">
        <f t="shared" si="29"/>
        <v/>
      </c>
      <c r="R346" s="27">
        <f>IF(COUNTBLANK(T345)=1,(R345*Config.!$D$12)+R345,(T345*Config.!$D$12)+T345)</f>
        <v>890.9614518247763</v>
      </c>
      <c r="S346" s="28" t="str">
        <f>IF(COUNTBLANK(T346)=1,IF(R346&lt;=Config.!$D$10,"meta","nops"),"")</f>
        <v>nops</v>
      </c>
      <c r="T346" s="32"/>
    </row>
    <row r="347" spans="1:20" ht="20.100000000000001" customHeight="1">
      <c r="A347" s="22" t="s">
        <v>21</v>
      </c>
      <c r="B347" s="20">
        <v>344</v>
      </c>
      <c r="C347" s="57">
        <f>IF(COUNTBLANK(H346)=1,(C346*Config.!$D$12)+C346,(H346*Config.!$D$12)+H346)</f>
        <v>908.78068086127178</v>
      </c>
      <c r="D347" s="57">
        <f t="shared" si="27"/>
        <v>17.819229036495472</v>
      </c>
      <c r="E347" s="67"/>
      <c r="F347" s="68" t="str">
        <f t="shared" si="25"/>
        <v>-</v>
      </c>
      <c r="G347" s="12" t="str">
        <f>IF(COUNTBLANK(H347)=1,IF(C347&lt;=Config.!$D$10,"meta","nops"),"")</f>
        <v>nops</v>
      </c>
      <c r="H347" s="58"/>
      <c r="I347" s="59" t="str">
        <f t="shared" si="28"/>
        <v/>
      </c>
      <c r="J347" s="59" t="str">
        <f t="shared" si="26"/>
        <v/>
      </c>
      <c r="K347" s="53" t="str">
        <f t="shared" si="29"/>
        <v/>
      </c>
      <c r="R347" s="27">
        <f>IF(COUNTBLANK(T346)=1,(R346*Config.!$D$12)+R346,(T346*Config.!$D$12)+T346)</f>
        <v>908.78068086127178</v>
      </c>
      <c r="S347" s="28" t="str">
        <f>IF(COUNTBLANK(T347)=1,IF(R347&lt;=Config.!$D$10,"meta","nops"),"")</f>
        <v>nops</v>
      </c>
      <c r="T347" s="32"/>
    </row>
    <row r="348" spans="1:20" ht="20.100000000000001" customHeight="1">
      <c r="A348" s="22" t="s">
        <v>21</v>
      </c>
      <c r="B348" s="20">
        <v>345</v>
      </c>
      <c r="C348" s="57">
        <f>IF(COUNTBLANK(H347)=1,(C347*Config.!$D$12)+C347,(H347*Config.!$D$12)+H347)</f>
        <v>926.95629447849717</v>
      </c>
      <c r="D348" s="57">
        <f t="shared" si="27"/>
        <v>18.175613617225395</v>
      </c>
      <c r="E348" s="67"/>
      <c r="F348" s="68" t="str">
        <f t="shared" si="25"/>
        <v>-</v>
      </c>
      <c r="G348" s="12" t="str">
        <f>IF(COUNTBLANK(H348)=1,IF(C348&lt;=Config.!$D$10,"meta","nops"),"")</f>
        <v>nops</v>
      </c>
      <c r="H348" s="58"/>
      <c r="I348" s="59" t="str">
        <f t="shared" si="28"/>
        <v/>
      </c>
      <c r="J348" s="59" t="str">
        <f t="shared" si="26"/>
        <v/>
      </c>
      <c r="K348" s="53" t="str">
        <f t="shared" si="29"/>
        <v/>
      </c>
      <c r="R348" s="27">
        <f>IF(COUNTBLANK(T347)=1,(R347*Config.!$D$12)+R347,(T347*Config.!$D$12)+T347)</f>
        <v>926.95629447849717</v>
      </c>
      <c r="S348" s="28" t="str">
        <f>IF(COUNTBLANK(T348)=1,IF(R348&lt;=Config.!$D$10,"meta","nops"),"")</f>
        <v>nops</v>
      </c>
      <c r="T348" s="32"/>
    </row>
    <row r="349" spans="1:20" ht="20.100000000000001" customHeight="1">
      <c r="A349" s="22" t="s">
        <v>21</v>
      </c>
      <c r="B349" s="20">
        <v>346</v>
      </c>
      <c r="C349" s="57">
        <f>IF(COUNTBLANK(H348)=1,(C348*Config.!$D$12)+C348,(H348*Config.!$D$12)+H348)</f>
        <v>945.49542036806713</v>
      </c>
      <c r="D349" s="57">
        <f t="shared" si="27"/>
        <v>18.539125889569959</v>
      </c>
      <c r="E349" s="67"/>
      <c r="F349" s="68" t="str">
        <f t="shared" si="25"/>
        <v>-</v>
      </c>
      <c r="G349" s="12" t="str">
        <f>IF(COUNTBLANK(H349)=1,IF(C349&lt;=Config.!$D$10,"meta","nops"),"")</f>
        <v>nops</v>
      </c>
      <c r="H349" s="58"/>
      <c r="I349" s="59" t="str">
        <f t="shared" si="28"/>
        <v/>
      </c>
      <c r="J349" s="59" t="str">
        <f t="shared" si="26"/>
        <v/>
      </c>
      <c r="K349" s="53" t="str">
        <f t="shared" si="29"/>
        <v/>
      </c>
      <c r="R349" s="27">
        <f>IF(COUNTBLANK(T348)=1,(R348*Config.!$D$12)+R348,(T348*Config.!$D$12)+T348)</f>
        <v>945.49542036806713</v>
      </c>
      <c r="S349" s="28" t="str">
        <f>IF(COUNTBLANK(T349)=1,IF(R349&lt;=Config.!$D$10,"meta","nops"),"")</f>
        <v>nops</v>
      </c>
      <c r="T349" s="32"/>
    </row>
    <row r="350" spans="1:20" ht="20.100000000000001" customHeight="1">
      <c r="A350" s="22" t="s">
        <v>21</v>
      </c>
      <c r="B350" s="20">
        <v>347</v>
      </c>
      <c r="C350" s="57">
        <f>IF(COUNTBLANK(H349)=1,(C349*Config.!$D$12)+C349,(H349*Config.!$D$12)+H349)</f>
        <v>964.40532877542842</v>
      </c>
      <c r="D350" s="57">
        <f t="shared" si="27"/>
        <v>18.909908407361286</v>
      </c>
      <c r="E350" s="67"/>
      <c r="F350" s="68" t="str">
        <f t="shared" si="25"/>
        <v>-</v>
      </c>
      <c r="G350" s="12" t="str">
        <f>IF(COUNTBLANK(H350)=1,IF(C350&lt;=Config.!$D$10,"meta","nops"),"")</f>
        <v>nops</v>
      </c>
      <c r="H350" s="58"/>
      <c r="I350" s="59" t="str">
        <f t="shared" si="28"/>
        <v/>
      </c>
      <c r="J350" s="59" t="str">
        <f t="shared" si="26"/>
        <v/>
      </c>
      <c r="K350" s="53" t="str">
        <f t="shared" si="29"/>
        <v/>
      </c>
      <c r="R350" s="27">
        <f>IF(COUNTBLANK(T349)=1,(R349*Config.!$D$12)+R349,(T349*Config.!$D$12)+T349)</f>
        <v>964.40532877542842</v>
      </c>
      <c r="S350" s="28" t="str">
        <f>IF(COUNTBLANK(T350)=1,IF(R350&lt;=Config.!$D$10,"meta","nops"),"")</f>
        <v>nops</v>
      </c>
      <c r="T350" s="32"/>
    </row>
    <row r="351" spans="1:20" ht="20.100000000000001" customHeight="1">
      <c r="A351" s="22" t="s">
        <v>21</v>
      </c>
      <c r="B351" s="20">
        <v>348</v>
      </c>
      <c r="C351" s="57">
        <f>IF(COUNTBLANK(H350)=1,(C350*Config.!$D$12)+C350,(H350*Config.!$D$12)+H350)</f>
        <v>983.69343535093697</v>
      </c>
      <c r="D351" s="57">
        <f t="shared" si="27"/>
        <v>19.28810657550855</v>
      </c>
      <c r="E351" s="67"/>
      <c r="F351" s="68" t="str">
        <f t="shared" si="25"/>
        <v>-</v>
      </c>
      <c r="G351" s="12" t="str">
        <f>IF(COUNTBLANK(H351)=1,IF(C351&lt;=Config.!$D$10,"meta","nops"),"")</f>
        <v>nops</v>
      </c>
      <c r="H351" s="58"/>
      <c r="I351" s="59" t="str">
        <f t="shared" si="28"/>
        <v/>
      </c>
      <c r="J351" s="59" t="str">
        <f t="shared" si="26"/>
        <v/>
      </c>
      <c r="K351" s="53" t="str">
        <f t="shared" si="29"/>
        <v/>
      </c>
      <c r="R351" s="27">
        <f>IF(COUNTBLANK(T350)=1,(R350*Config.!$D$12)+R350,(T350*Config.!$D$12)+T350)</f>
        <v>983.69343535093697</v>
      </c>
      <c r="S351" s="28" t="str">
        <f>IF(COUNTBLANK(T351)=1,IF(R351&lt;=Config.!$D$10,"meta","nops"),"")</f>
        <v>nops</v>
      </c>
      <c r="T351" s="32"/>
    </row>
    <row r="352" spans="1:20" ht="20.100000000000001" customHeight="1">
      <c r="A352" s="22" t="s">
        <v>21</v>
      </c>
      <c r="B352" s="20">
        <v>349</v>
      </c>
      <c r="C352" s="57">
        <f>IF(COUNTBLANK(H351)=1,(C351*Config.!$D$12)+C351,(H351*Config.!$D$12)+H351)</f>
        <v>1003.3673040579557</v>
      </c>
      <c r="D352" s="57">
        <f t="shared" si="27"/>
        <v>19.673868707018755</v>
      </c>
      <c r="E352" s="67"/>
      <c r="F352" s="68" t="str">
        <f t="shared" si="25"/>
        <v>-</v>
      </c>
      <c r="G352" s="12" t="str">
        <f>IF(COUNTBLANK(H352)=1,IF(C352&lt;=Config.!$D$10,"meta","nops"),"")</f>
        <v>nops</v>
      </c>
      <c r="H352" s="58"/>
      <c r="I352" s="59" t="str">
        <f t="shared" si="28"/>
        <v/>
      </c>
      <c r="J352" s="59" t="str">
        <f t="shared" si="26"/>
        <v/>
      </c>
      <c r="K352" s="53" t="str">
        <f t="shared" si="29"/>
        <v/>
      </c>
      <c r="R352" s="27">
        <f>IF(COUNTBLANK(T351)=1,(R351*Config.!$D$12)+R351,(T351*Config.!$D$12)+T351)</f>
        <v>1003.3673040579557</v>
      </c>
      <c r="S352" s="28" t="str">
        <f>IF(COUNTBLANK(T352)=1,IF(R352&lt;=Config.!$D$10,"meta","nops"),"")</f>
        <v>nops</v>
      </c>
      <c r="T352" s="32"/>
    </row>
    <row r="353" spans="1:20" ht="20.100000000000001" customHeight="1">
      <c r="A353" s="22" t="s">
        <v>21</v>
      </c>
      <c r="B353" s="20">
        <v>350</v>
      </c>
      <c r="C353" s="57">
        <f>IF(COUNTBLANK(H352)=1,(C352*Config.!$D$12)+C352,(H352*Config.!$D$12)+H352)</f>
        <v>1023.4346501391149</v>
      </c>
      <c r="D353" s="57">
        <f t="shared" si="27"/>
        <v>20.067346081159144</v>
      </c>
      <c r="E353" s="67"/>
      <c r="F353" s="68" t="str">
        <f t="shared" si="25"/>
        <v>-</v>
      </c>
      <c r="G353" s="12" t="str">
        <f>IF(COUNTBLANK(H353)=1,IF(C353&lt;=Config.!$D$10,"meta","nops"),"")</f>
        <v>nops</v>
      </c>
      <c r="H353" s="58"/>
      <c r="I353" s="59" t="str">
        <f t="shared" si="28"/>
        <v/>
      </c>
      <c r="J353" s="59" t="str">
        <f t="shared" si="26"/>
        <v/>
      </c>
      <c r="K353" s="53" t="str">
        <f t="shared" si="29"/>
        <v/>
      </c>
      <c r="R353" s="27">
        <f>IF(COUNTBLANK(T352)=1,(R352*Config.!$D$12)+R352,(T352*Config.!$D$12)+T352)</f>
        <v>1023.4346501391149</v>
      </c>
      <c r="S353" s="28" t="str">
        <f>IF(COUNTBLANK(T353)=1,IF(R353&lt;=Config.!$D$10,"meta","nops"),"")</f>
        <v>nops</v>
      </c>
      <c r="T353" s="32"/>
    </row>
    <row r="354" spans="1:20" ht="20.100000000000001" customHeight="1">
      <c r="A354" s="22" t="s">
        <v>21</v>
      </c>
      <c r="B354" s="20">
        <v>351</v>
      </c>
      <c r="C354" s="57">
        <f>IF(COUNTBLANK(H353)=1,(C353*Config.!$D$12)+C353,(H353*Config.!$D$12)+H353)</f>
        <v>1043.9033431418973</v>
      </c>
      <c r="D354" s="57">
        <f t="shared" si="27"/>
        <v>20.468693002782402</v>
      </c>
      <c r="E354" s="67"/>
      <c r="F354" s="68" t="str">
        <f t="shared" si="25"/>
        <v>-</v>
      </c>
      <c r="G354" s="12" t="str">
        <f>IF(COUNTBLANK(H354)=1,IF(C354&lt;=Config.!$D$10,"meta","nops"),"")</f>
        <v>nops</v>
      </c>
      <c r="H354" s="58"/>
      <c r="I354" s="59" t="str">
        <f t="shared" si="28"/>
        <v/>
      </c>
      <c r="J354" s="59" t="str">
        <f t="shared" si="26"/>
        <v/>
      </c>
      <c r="K354" s="53" t="str">
        <f t="shared" si="29"/>
        <v/>
      </c>
      <c r="R354" s="27">
        <f>IF(COUNTBLANK(T353)=1,(R353*Config.!$D$12)+R353,(T353*Config.!$D$12)+T353)</f>
        <v>1043.9033431418973</v>
      </c>
      <c r="S354" s="28" t="str">
        <f>IF(COUNTBLANK(T354)=1,IF(R354&lt;=Config.!$D$10,"meta","nops"),"")</f>
        <v>nops</v>
      </c>
      <c r="T354" s="32"/>
    </row>
    <row r="355" spans="1:20" ht="20.100000000000001" customHeight="1">
      <c r="A355" s="22" t="s">
        <v>21</v>
      </c>
      <c r="B355" s="20">
        <v>352</v>
      </c>
      <c r="C355" s="57">
        <f>IF(COUNTBLANK(H354)=1,(C354*Config.!$D$12)+C354,(H354*Config.!$D$12)+H354)</f>
        <v>1064.7814100047351</v>
      </c>
      <c r="D355" s="57">
        <f t="shared" si="27"/>
        <v>20.878066862837841</v>
      </c>
      <c r="E355" s="67"/>
      <c r="F355" s="68" t="str">
        <f t="shared" si="25"/>
        <v>-</v>
      </c>
      <c r="G355" s="12" t="str">
        <f>IF(COUNTBLANK(H355)=1,IF(C355&lt;=Config.!$D$10,"meta","nops"),"")</f>
        <v>nops</v>
      </c>
      <c r="H355" s="58"/>
      <c r="I355" s="59" t="str">
        <f t="shared" si="28"/>
        <v/>
      </c>
      <c r="J355" s="59" t="str">
        <f t="shared" si="26"/>
        <v/>
      </c>
      <c r="K355" s="53" t="str">
        <f t="shared" si="29"/>
        <v/>
      </c>
      <c r="R355" s="27">
        <f>IF(COUNTBLANK(T354)=1,(R354*Config.!$D$12)+R354,(T354*Config.!$D$12)+T354)</f>
        <v>1064.7814100047351</v>
      </c>
      <c r="S355" s="28" t="str">
        <f>IF(COUNTBLANK(T355)=1,IF(R355&lt;=Config.!$D$10,"meta","nops"),"")</f>
        <v>nops</v>
      </c>
      <c r="T355" s="32"/>
    </row>
    <row r="356" spans="1:20" ht="20.100000000000001" customHeight="1">
      <c r="A356" s="22" t="s">
        <v>21</v>
      </c>
      <c r="B356" s="20">
        <v>353</v>
      </c>
      <c r="C356" s="57">
        <f>IF(COUNTBLANK(H355)=1,(C355*Config.!$D$12)+C355,(H355*Config.!$D$12)+H355)</f>
        <v>1086.0770382048297</v>
      </c>
      <c r="D356" s="57">
        <f t="shared" si="27"/>
        <v>21.295628200094598</v>
      </c>
      <c r="E356" s="67"/>
      <c r="F356" s="68" t="str">
        <f t="shared" si="25"/>
        <v>-</v>
      </c>
      <c r="G356" s="12" t="str">
        <f>IF(COUNTBLANK(H356)=1,IF(C356&lt;=Config.!$D$10,"meta","nops"),"")</f>
        <v>nops</v>
      </c>
      <c r="H356" s="58"/>
      <c r="I356" s="59" t="str">
        <f t="shared" si="28"/>
        <v/>
      </c>
      <c r="J356" s="59" t="str">
        <f t="shared" si="26"/>
        <v/>
      </c>
      <c r="K356" s="53" t="str">
        <f t="shared" si="29"/>
        <v/>
      </c>
      <c r="R356" s="27">
        <f>IF(COUNTBLANK(T355)=1,(R355*Config.!$D$12)+R355,(T355*Config.!$D$12)+T355)</f>
        <v>1086.0770382048297</v>
      </c>
      <c r="S356" s="28" t="str">
        <f>IF(COUNTBLANK(T356)=1,IF(R356&lt;=Config.!$D$10,"meta","nops"),"")</f>
        <v>nops</v>
      </c>
      <c r="T356" s="32"/>
    </row>
    <row r="357" spans="1:20" ht="20.100000000000001" customHeight="1">
      <c r="A357" s="22" t="s">
        <v>21</v>
      </c>
      <c r="B357" s="20">
        <v>354</v>
      </c>
      <c r="C357" s="57">
        <f>IF(COUNTBLANK(H356)=1,(C356*Config.!$D$12)+C356,(H356*Config.!$D$12)+H356)</f>
        <v>1107.7985789689262</v>
      </c>
      <c r="D357" s="57">
        <f t="shared" si="27"/>
        <v>21.721540764096517</v>
      </c>
      <c r="E357" s="67"/>
      <c r="F357" s="68" t="str">
        <f t="shared" si="25"/>
        <v>-</v>
      </c>
      <c r="G357" s="12" t="str">
        <f>IF(COUNTBLANK(H357)=1,IF(C357&lt;=Config.!$D$10,"meta","nops"),"")</f>
        <v>nops</v>
      </c>
      <c r="H357" s="58"/>
      <c r="I357" s="59" t="str">
        <f t="shared" si="28"/>
        <v/>
      </c>
      <c r="J357" s="59" t="str">
        <f t="shared" si="26"/>
        <v/>
      </c>
      <c r="K357" s="53" t="str">
        <f t="shared" si="29"/>
        <v/>
      </c>
      <c r="R357" s="27">
        <f>IF(COUNTBLANK(T356)=1,(R356*Config.!$D$12)+R356,(T356*Config.!$D$12)+T356)</f>
        <v>1107.7985789689262</v>
      </c>
      <c r="S357" s="28" t="str">
        <f>IF(COUNTBLANK(T357)=1,IF(R357&lt;=Config.!$D$10,"meta","nops"),"")</f>
        <v>nops</v>
      </c>
      <c r="T357" s="32"/>
    </row>
    <row r="358" spans="1:20" ht="20.100000000000001" customHeight="1">
      <c r="A358" s="22" t="s">
        <v>21</v>
      </c>
      <c r="B358" s="20">
        <v>355</v>
      </c>
      <c r="C358" s="57">
        <f>IF(COUNTBLANK(H357)=1,(C357*Config.!$D$12)+C357,(H357*Config.!$D$12)+H357)</f>
        <v>1129.9545505483047</v>
      </c>
      <c r="D358" s="57">
        <f t="shared" si="27"/>
        <v>22.155971579378502</v>
      </c>
      <c r="E358" s="67"/>
      <c r="F358" s="68" t="str">
        <f t="shared" si="25"/>
        <v>-</v>
      </c>
      <c r="G358" s="12" t="str">
        <f>IF(COUNTBLANK(H358)=1,IF(C358&lt;=Config.!$D$10,"meta","nops"),"")</f>
        <v>nops</v>
      </c>
      <c r="H358" s="58"/>
      <c r="I358" s="59" t="str">
        <f t="shared" si="28"/>
        <v/>
      </c>
      <c r="J358" s="59" t="str">
        <f t="shared" si="26"/>
        <v/>
      </c>
      <c r="K358" s="53" t="str">
        <f t="shared" si="29"/>
        <v/>
      </c>
      <c r="R358" s="27">
        <f>IF(COUNTBLANK(T357)=1,(R357*Config.!$D$12)+R357,(T357*Config.!$D$12)+T357)</f>
        <v>1129.9545505483047</v>
      </c>
      <c r="S358" s="28" t="str">
        <f>IF(COUNTBLANK(T358)=1,IF(R358&lt;=Config.!$D$10,"meta","nops"),"")</f>
        <v>nops</v>
      </c>
      <c r="T358" s="32"/>
    </row>
    <row r="359" spans="1:20" ht="20.100000000000001" customHeight="1">
      <c r="A359" s="22" t="s">
        <v>21</v>
      </c>
      <c r="B359" s="20">
        <v>356</v>
      </c>
      <c r="C359" s="57">
        <f>IF(COUNTBLANK(H358)=1,(C358*Config.!$D$12)+C358,(H358*Config.!$D$12)+H358)</f>
        <v>1152.5536415592708</v>
      </c>
      <c r="D359" s="57">
        <f t="shared" si="27"/>
        <v>22.599091010966049</v>
      </c>
      <c r="E359" s="67"/>
      <c r="F359" s="68" t="str">
        <f t="shared" si="25"/>
        <v>-</v>
      </c>
      <c r="G359" s="12" t="str">
        <f>IF(COUNTBLANK(H359)=1,IF(C359&lt;=Config.!$D$10,"meta","nops"),"")</f>
        <v>nops</v>
      </c>
      <c r="H359" s="58"/>
      <c r="I359" s="59" t="str">
        <f t="shared" si="28"/>
        <v/>
      </c>
      <c r="J359" s="59" t="str">
        <f t="shared" si="26"/>
        <v/>
      </c>
      <c r="K359" s="53" t="str">
        <f t="shared" si="29"/>
        <v/>
      </c>
      <c r="R359" s="27">
        <f>IF(COUNTBLANK(T358)=1,(R358*Config.!$D$12)+R358,(T358*Config.!$D$12)+T358)</f>
        <v>1152.5536415592708</v>
      </c>
      <c r="S359" s="28" t="str">
        <f>IF(COUNTBLANK(T359)=1,IF(R359&lt;=Config.!$D$10,"meta","nops"),"")</f>
        <v>nops</v>
      </c>
      <c r="T359" s="32"/>
    </row>
    <row r="360" spans="1:20" ht="20.100000000000001" customHeight="1">
      <c r="A360" s="22" t="s">
        <v>21</v>
      </c>
      <c r="B360" s="20">
        <v>357</v>
      </c>
      <c r="C360" s="57">
        <f>IF(COUNTBLANK(H359)=1,(C359*Config.!$D$12)+C359,(H359*Config.!$D$12)+H359)</f>
        <v>1175.6047143904561</v>
      </c>
      <c r="D360" s="57">
        <f t="shared" si="27"/>
        <v>23.051072831185365</v>
      </c>
      <c r="E360" s="67"/>
      <c r="F360" s="68" t="str">
        <f t="shared" si="25"/>
        <v>-</v>
      </c>
      <c r="G360" s="12" t="str">
        <f>IF(COUNTBLANK(H360)=1,IF(C360&lt;=Config.!$D$10,"meta","nops"),"")</f>
        <v>nops</v>
      </c>
      <c r="H360" s="58"/>
      <c r="I360" s="59" t="str">
        <f t="shared" si="28"/>
        <v/>
      </c>
      <c r="J360" s="59" t="str">
        <f t="shared" si="26"/>
        <v/>
      </c>
      <c r="K360" s="53" t="str">
        <f t="shared" si="29"/>
        <v/>
      </c>
      <c r="R360" s="27">
        <f>IF(COUNTBLANK(T359)=1,(R359*Config.!$D$12)+R359,(T359*Config.!$D$12)+T359)</f>
        <v>1175.6047143904561</v>
      </c>
      <c r="S360" s="28" t="str">
        <f>IF(COUNTBLANK(T360)=1,IF(R360&lt;=Config.!$D$10,"meta","nops"),"")</f>
        <v>nops</v>
      </c>
      <c r="T360" s="32"/>
    </row>
    <row r="361" spans="1:20" ht="20.100000000000001" customHeight="1">
      <c r="A361" s="22" t="s">
        <v>21</v>
      </c>
      <c r="B361" s="20">
        <v>358</v>
      </c>
      <c r="C361" s="57">
        <f>IF(COUNTBLANK(H360)=1,(C360*Config.!$D$12)+C360,(H360*Config.!$D$12)+H360)</f>
        <v>1199.1168086782652</v>
      </c>
      <c r="D361" s="57">
        <f t="shared" si="27"/>
        <v>23.512094287809077</v>
      </c>
      <c r="E361" s="67"/>
      <c r="F361" s="68" t="str">
        <f t="shared" si="25"/>
        <v>-</v>
      </c>
      <c r="G361" s="12" t="str">
        <f>IF(COUNTBLANK(H361)=1,IF(C361&lt;=Config.!$D$10,"meta","nops"),"")</f>
        <v>nops</v>
      </c>
      <c r="H361" s="58"/>
      <c r="I361" s="59" t="str">
        <f t="shared" si="28"/>
        <v/>
      </c>
      <c r="J361" s="59" t="str">
        <f t="shared" si="26"/>
        <v/>
      </c>
      <c r="K361" s="53" t="str">
        <f t="shared" si="29"/>
        <v/>
      </c>
      <c r="R361" s="27">
        <f>IF(COUNTBLANK(T360)=1,(R360*Config.!$D$12)+R360,(T360*Config.!$D$12)+T360)</f>
        <v>1199.1168086782652</v>
      </c>
      <c r="S361" s="28" t="str">
        <f>IF(COUNTBLANK(T361)=1,IF(R361&lt;=Config.!$D$10,"meta","nops"),"")</f>
        <v>nops</v>
      </c>
      <c r="T361" s="32"/>
    </row>
    <row r="362" spans="1:20" ht="20.100000000000001" customHeight="1">
      <c r="A362" s="22" t="s">
        <v>21</v>
      </c>
      <c r="B362" s="20">
        <v>359</v>
      </c>
      <c r="C362" s="57">
        <f>IF(COUNTBLANK(H361)=1,(C361*Config.!$D$12)+C361,(H361*Config.!$D$12)+H361)</f>
        <v>1223.0991448518305</v>
      </c>
      <c r="D362" s="57">
        <f t="shared" si="27"/>
        <v>23.982336173565272</v>
      </c>
      <c r="E362" s="67"/>
      <c r="F362" s="68" t="str">
        <f t="shared" si="25"/>
        <v>-</v>
      </c>
      <c r="G362" s="12" t="str">
        <f>IF(COUNTBLANK(H362)=1,IF(C362&lt;=Config.!$D$10,"meta","nops"),"")</f>
        <v>nops</v>
      </c>
      <c r="H362" s="58"/>
      <c r="I362" s="59" t="str">
        <f t="shared" si="28"/>
        <v/>
      </c>
      <c r="J362" s="59" t="str">
        <f t="shared" si="26"/>
        <v/>
      </c>
      <c r="K362" s="53" t="str">
        <f t="shared" si="29"/>
        <v/>
      </c>
      <c r="R362" s="27">
        <f>IF(COUNTBLANK(T361)=1,(R361*Config.!$D$12)+R361,(T361*Config.!$D$12)+T361)</f>
        <v>1223.0991448518305</v>
      </c>
      <c r="S362" s="28" t="str">
        <f>IF(COUNTBLANK(T362)=1,IF(R362&lt;=Config.!$D$10,"meta","nops"),"")</f>
        <v>nops</v>
      </c>
      <c r="T362" s="32"/>
    </row>
    <row r="363" spans="1:20" ht="20.100000000000001" customHeight="1">
      <c r="A363" s="22" t="s">
        <v>21</v>
      </c>
      <c r="B363" s="20">
        <v>360</v>
      </c>
      <c r="C363" s="57">
        <f>IF(COUNTBLANK(H362)=1,(C362*Config.!$D$12)+C362,(H362*Config.!$D$12)+H362)</f>
        <v>1247.5611277488672</v>
      </c>
      <c r="D363" s="57">
        <f t="shared" si="27"/>
        <v>24.461982897036705</v>
      </c>
      <c r="E363" s="67"/>
      <c r="F363" s="68" t="str">
        <f t="shared" si="25"/>
        <v>-</v>
      </c>
      <c r="G363" s="12" t="str">
        <f>IF(COUNTBLANK(H363)=1,IF(C363&lt;=Config.!$D$10,"meta","nops"),"")</f>
        <v>nops</v>
      </c>
      <c r="H363" s="58"/>
      <c r="I363" s="59" t="str">
        <f t="shared" si="28"/>
        <v/>
      </c>
      <c r="J363" s="59" t="str">
        <f t="shared" si="26"/>
        <v/>
      </c>
      <c r="K363" s="53" t="str">
        <f t="shared" si="29"/>
        <v/>
      </c>
      <c r="R363" s="27">
        <f>IF(COUNTBLANK(T362)=1,(R362*Config.!$D$12)+R362,(T362*Config.!$D$12)+T362)</f>
        <v>1247.5611277488672</v>
      </c>
      <c r="S363" s="28" t="str">
        <f>IF(COUNTBLANK(T363)=1,IF(R363&lt;=Config.!$D$10,"meta","nops"),"")</f>
        <v>nops</v>
      </c>
      <c r="T363" s="32"/>
    </row>
    <row r="364" spans="1:20" ht="20.100000000000001" customHeight="1">
      <c r="A364" s="22" t="s">
        <v>21</v>
      </c>
      <c r="B364" s="20">
        <v>361</v>
      </c>
      <c r="C364" s="57">
        <f>IF(COUNTBLANK(H363)=1,(C363*Config.!$D$12)+C363,(H363*Config.!$D$12)+H363)</f>
        <v>1272.5123503038446</v>
      </c>
      <c r="D364" s="57">
        <f t="shared" si="27"/>
        <v>24.951222554977448</v>
      </c>
      <c r="E364" s="67"/>
      <c r="F364" s="68" t="str">
        <f t="shared" si="25"/>
        <v>-</v>
      </c>
      <c r="G364" s="12" t="str">
        <f>IF(COUNTBLANK(H364)=1,IF(C364&lt;=Config.!$D$10,"meta","nops"),"")</f>
        <v>nops</v>
      </c>
      <c r="H364" s="58"/>
      <c r="I364" s="59" t="str">
        <f t="shared" si="28"/>
        <v/>
      </c>
      <c r="J364" s="59" t="str">
        <f t="shared" si="26"/>
        <v/>
      </c>
      <c r="K364" s="53" t="str">
        <f t="shared" si="29"/>
        <v/>
      </c>
      <c r="R364" s="27">
        <f>IF(COUNTBLANK(T363)=1,(R363*Config.!$D$12)+R363,(T363*Config.!$D$12)+T363)</f>
        <v>1272.5123503038446</v>
      </c>
      <c r="S364" s="28" t="str">
        <f>IF(COUNTBLANK(T364)=1,IF(R364&lt;=Config.!$D$10,"meta","nops"),"")</f>
        <v>nops</v>
      </c>
      <c r="T364" s="32"/>
    </row>
    <row r="365" spans="1:20" ht="20.100000000000001" customHeight="1">
      <c r="A365" s="22" t="s">
        <v>21</v>
      </c>
      <c r="B365" s="20">
        <v>362</v>
      </c>
      <c r="C365" s="57">
        <f>IF(COUNTBLANK(H364)=1,(C364*Config.!$D$12)+C364,(H364*Config.!$D$12)+H364)</f>
        <v>1297.9625973099214</v>
      </c>
      <c r="D365" s="57">
        <f t="shared" si="27"/>
        <v>25.450247006076779</v>
      </c>
      <c r="E365" s="67"/>
      <c r="F365" s="68" t="str">
        <f t="shared" si="25"/>
        <v>-</v>
      </c>
      <c r="G365" s="12" t="str">
        <f>IF(COUNTBLANK(H365)=1,IF(C365&lt;=Config.!$D$10,"meta","nops"),"")</f>
        <v>nops</v>
      </c>
      <c r="H365" s="58"/>
      <c r="I365" s="59" t="str">
        <f t="shared" si="28"/>
        <v/>
      </c>
      <c r="J365" s="59" t="str">
        <f t="shared" si="26"/>
        <v/>
      </c>
      <c r="K365" s="53" t="str">
        <f t="shared" si="29"/>
        <v/>
      </c>
      <c r="R365" s="27">
        <f>IF(COUNTBLANK(T364)=1,(R364*Config.!$D$12)+R364,(T364*Config.!$D$12)+T364)</f>
        <v>1297.9625973099214</v>
      </c>
      <c r="S365" s="28" t="str">
        <f>IF(COUNTBLANK(T365)=1,IF(R365&lt;=Config.!$D$10,"meta","nops"),"")</f>
        <v>nops</v>
      </c>
      <c r="T365" s="32"/>
    </row>
    <row r="366" spans="1:20" ht="20.100000000000001" customHeight="1">
      <c r="A366" s="22" t="s">
        <v>21</v>
      </c>
      <c r="B366" s="20">
        <v>363</v>
      </c>
      <c r="C366" s="57">
        <f>IF(COUNTBLANK(H365)=1,(C365*Config.!$D$12)+C365,(H365*Config.!$D$12)+H365)</f>
        <v>1323.9218492561199</v>
      </c>
      <c r="D366" s="57">
        <f t="shared" si="27"/>
        <v>25.959251946198492</v>
      </c>
      <c r="E366" s="67"/>
      <c r="F366" s="68" t="str">
        <f t="shared" si="25"/>
        <v>-</v>
      </c>
      <c r="G366" s="12" t="str">
        <f>IF(COUNTBLANK(H366)=1,IF(C366&lt;=Config.!$D$10,"meta","nops"),"")</f>
        <v>nops</v>
      </c>
      <c r="H366" s="58"/>
      <c r="I366" s="59" t="str">
        <f t="shared" si="28"/>
        <v/>
      </c>
      <c r="J366" s="59" t="str">
        <f t="shared" si="26"/>
        <v/>
      </c>
      <c r="K366" s="53" t="str">
        <f t="shared" si="29"/>
        <v/>
      </c>
      <c r="R366" s="27">
        <f>IF(COUNTBLANK(T365)=1,(R365*Config.!$D$12)+R365,(T365*Config.!$D$12)+T365)</f>
        <v>1323.9218492561199</v>
      </c>
      <c r="S366" s="28" t="str">
        <f>IF(COUNTBLANK(T366)=1,IF(R366&lt;=Config.!$D$10,"meta","nops"),"")</f>
        <v>nops</v>
      </c>
      <c r="T366" s="32"/>
    </row>
    <row r="367" spans="1:20" ht="20.100000000000001" customHeight="1">
      <c r="A367" s="22" t="s">
        <v>21</v>
      </c>
      <c r="B367" s="20">
        <v>364</v>
      </c>
      <c r="C367" s="57">
        <f>IF(COUNTBLANK(H366)=1,(C366*Config.!$D$12)+C366,(H366*Config.!$D$12)+H366)</f>
        <v>1350.4002862412424</v>
      </c>
      <c r="D367" s="57">
        <f t="shared" si="27"/>
        <v>26.478436985122471</v>
      </c>
      <c r="E367" s="67"/>
      <c r="F367" s="68" t="str">
        <f t="shared" si="25"/>
        <v>-</v>
      </c>
      <c r="G367" s="12" t="str">
        <f>IF(COUNTBLANK(H367)=1,IF(C367&lt;=Config.!$D$10,"meta","nops"),"")</f>
        <v>nops</v>
      </c>
      <c r="H367" s="58"/>
      <c r="I367" s="59" t="str">
        <f t="shared" si="28"/>
        <v/>
      </c>
      <c r="J367" s="59" t="str">
        <f t="shared" si="26"/>
        <v/>
      </c>
      <c r="K367" s="53" t="str">
        <f t="shared" si="29"/>
        <v/>
      </c>
      <c r="R367" s="27">
        <f>IF(COUNTBLANK(T366)=1,(R366*Config.!$D$12)+R366,(T366*Config.!$D$12)+T366)</f>
        <v>1350.4002862412424</v>
      </c>
      <c r="S367" s="28" t="str">
        <f>IF(COUNTBLANK(T367)=1,IF(R367&lt;=Config.!$D$10,"meta","nops"),"")</f>
        <v>nops</v>
      </c>
      <c r="T367" s="32"/>
    </row>
    <row r="368" spans="1:20" ht="20.100000000000001" customHeight="1">
      <c r="A368" s="22" t="s">
        <v>21</v>
      </c>
      <c r="B368" s="20">
        <v>365</v>
      </c>
      <c r="C368" s="57">
        <f>IF(COUNTBLANK(H367)=1,(C367*Config.!$D$12)+C367,(H367*Config.!$D$12)+H367)</f>
        <v>1377.4082919660673</v>
      </c>
      <c r="D368" s="57">
        <f t="shared" si="27"/>
        <v>27.008005724824898</v>
      </c>
      <c r="E368" s="67"/>
      <c r="F368" s="68" t="str">
        <f t="shared" si="25"/>
        <v>-</v>
      </c>
      <c r="G368" s="12" t="str">
        <f>IF(COUNTBLANK(H368)=1,IF(C368&lt;=Config.!$D$10,"meta","nops"),"")</f>
        <v>nops</v>
      </c>
      <c r="H368" s="58"/>
      <c r="I368" s="59" t="str">
        <f t="shared" si="28"/>
        <v/>
      </c>
      <c r="J368" s="59" t="str">
        <f t="shared" si="26"/>
        <v/>
      </c>
      <c r="K368" s="53" t="str">
        <f t="shared" si="29"/>
        <v/>
      </c>
      <c r="R368" s="27">
        <f>IF(COUNTBLANK(T367)=1,(R367*Config.!$D$12)+R367,(T367*Config.!$D$12)+T367)</f>
        <v>1377.4082919660673</v>
      </c>
      <c r="S368" s="28" t="str">
        <f>IF(COUNTBLANK(T368)=1,IF(R368&lt;=Config.!$D$10,"meta","nops"),"")</f>
        <v>nops</v>
      </c>
      <c r="T368" s="32"/>
    </row>
  </sheetData>
  <sheetProtection sheet="1" objects="1" scenarios="1" formatCells="0" formatColumns="0" insertColumns="0" insertRows="0" deleteColumns="0" deleteRows="0" selectLockedCells="1"/>
  <mergeCells count="9">
    <mergeCell ref="M9:O9"/>
    <mergeCell ref="N6:N7"/>
    <mergeCell ref="O6:O7"/>
    <mergeCell ref="B2:B3"/>
    <mergeCell ref="H2:K2"/>
    <mergeCell ref="M2:O2"/>
    <mergeCell ref="M5:O5"/>
    <mergeCell ref="C2:D2"/>
    <mergeCell ref="E2:F2"/>
  </mergeCells>
  <conditionalFormatting sqref="K1 K4:K1048576">
    <cfRule type="cellIs" dxfId="12" priority="15" operator="greaterThanOrEqual">
      <formula>0.01</formula>
    </cfRule>
  </conditionalFormatting>
  <conditionalFormatting sqref="I4:I368">
    <cfRule type="cellIs" dxfId="11" priority="14" operator="greaterThanOrEqual">
      <formula>0.01</formula>
    </cfRule>
  </conditionalFormatting>
  <conditionalFormatting sqref="J4:J368">
    <cfRule type="cellIs" dxfId="10" priority="13" operator="greaterThanOrEqual">
      <formula>0.01</formula>
    </cfRule>
  </conditionalFormatting>
  <conditionalFormatting sqref="C4">
    <cfRule type="expression" dxfId="9" priority="12">
      <formula>AND(COUNTBLANK(H4)=1,COUNTBLANK(H3)=0)</formula>
    </cfRule>
  </conditionalFormatting>
  <conditionalFormatting sqref="C5:C368">
    <cfRule type="expression" dxfId="8" priority="11">
      <formula>AND(COUNTBLANK(H5)=1,COUNTBLANK(H4)=0)</formula>
    </cfRule>
  </conditionalFormatting>
  <conditionalFormatting sqref="B4:B368">
    <cfRule type="expression" dxfId="7" priority="9">
      <formula>AND(COUNTBLANK(H4)=1,COUNTBLANK(H3)=0)</formula>
    </cfRule>
  </conditionalFormatting>
  <conditionalFormatting sqref="A4:A368">
    <cfRule type="expression" dxfId="6" priority="8">
      <formula>AND(COUNTBLANK(H4)=1,COUNTBLANK(H3)=0)</formula>
    </cfRule>
  </conditionalFormatting>
  <conditionalFormatting sqref="D4">
    <cfRule type="expression" dxfId="5" priority="7">
      <formula>AND(COUNTBLANK(H4)=1,COUNTBLANK(H3)=0)</formula>
    </cfRule>
  </conditionalFormatting>
  <conditionalFormatting sqref="D5:D368">
    <cfRule type="expression" dxfId="4" priority="6">
      <formula>AND(COUNTBLANK(H5)=1,COUNTBLANK(H4)=0)</formula>
    </cfRule>
  </conditionalFormatting>
  <conditionalFormatting sqref="M6:M7">
    <cfRule type="cellIs" dxfId="3" priority="5" operator="lessThan">
      <formula>0</formula>
    </cfRule>
  </conditionalFormatting>
  <conditionalFormatting sqref="R4">
    <cfRule type="expression" dxfId="2" priority="3">
      <formula>AND(COUNTBLANK(W4)=1,COUNTBLANK(W3)=0)</formula>
    </cfRule>
  </conditionalFormatting>
  <conditionalFormatting sqref="R5:R368">
    <cfRule type="expression" dxfId="1" priority="2">
      <formula>AND(COUNTBLANK(W5)=1,COUNTBLANK(W4)=0)</formula>
    </cfRule>
  </conditionalFormatting>
  <conditionalFormatting sqref="M10">
    <cfRule type="cellIs" dxfId="0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Config.</vt:lpstr>
      <vt:lpstr>gerenciamento</vt:lpstr>
    </vt:vector>
  </TitlesOfParts>
  <Company>AE-NEA-CM001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Thiberio Cezar Moraes Da Silva</dc:creator>
  <cp:lastModifiedBy>Andre_</cp:lastModifiedBy>
  <dcterms:created xsi:type="dcterms:W3CDTF">2019-01-23T21:03:15Z</dcterms:created>
  <dcterms:modified xsi:type="dcterms:W3CDTF">2021-06-18T14:29:26Z</dcterms:modified>
</cp:coreProperties>
</file>