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ras\Desktop\"/>
    </mc:Choice>
  </mc:AlternateContent>
  <xr:revisionPtr revIDLastSave="0" documentId="13_ncr:1_{BF66E303-E944-4258-9B8E-19CD2580F33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Config." sheetId="1" r:id="rId1"/>
    <sheet name="Gráfico1" sheetId="3" state="hidden" r:id="rId2"/>
    <sheet name="Gerenciamento" sheetId="2" r:id="rId3"/>
  </sheets>
  <definedNames>
    <definedName name="moeda_plan365">L4C3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68" i="2" l="1"/>
  <c r="I368" i="2"/>
  <c r="J368" i="2" s="1"/>
  <c r="K367" i="2"/>
  <c r="I367" i="2"/>
  <c r="J367" i="2" s="1"/>
  <c r="K366" i="2"/>
  <c r="I366" i="2"/>
  <c r="J366" i="2" s="1"/>
  <c r="K365" i="2"/>
  <c r="I365" i="2"/>
  <c r="J365" i="2" s="1"/>
  <c r="K364" i="2"/>
  <c r="I364" i="2"/>
  <c r="J364" i="2" s="1"/>
  <c r="K363" i="2"/>
  <c r="I363" i="2"/>
  <c r="J363" i="2" s="1"/>
  <c r="K362" i="2"/>
  <c r="I362" i="2"/>
  <c r="J362" i="2" s="1"/>
  <c r="K361" i="2"/>
  <c r="I361" i="2"/>
  <c r="J361" i="2" s="1"/>
  <c r="K360" i="2"/>
  <c r="I360" i="2"/>
  <c r="J360" i="2" s="1"/>
  <c r="K359" i="2"/>
  <c r="I359" i="2"/>
  <c r="J359" i="2" s="1"/>
  <c r="K358" i="2"/>
  <c r="I358" i="2"/>
  <c r="J358" i="2" s="1"/>
  <c r="K357" i="2"/>
  <c r="I357" i="2"/>
  <c r="J357" i="2" s="1"/>
  <c r="K356" i="2"/>
  <c r="I356" i="2"/>
  <c r="J356" i="2" s="1"/>
  <c r="K355" i="2"/>
  <c r="I355" i="2"/>
  <c r="J355" i="2" s="1"/>
  <c r="K354" i="2"/>
  <c r="I354" i="2"/>
  <c r="J354" i="2" s="1"/>
  <c r="K353" i="2"/>
  <c r="I353" i="2"/>
  <c r="J353" i="2" s="1"/>
  <c r="K352" i="2"/>
  <c r="I352" i="2"/>
  <c r="J352" i="2" s="1"/>
  <c r="K351" i="2"/>
  <c r="I351" i="2"/>
  <c r="J351" i="2" s="1"/>
  <c r="K350" i="2"/>
  <c r="I350" i="2"/>
  <c r="J350" i="2" s="1"/>
  <c r="K349" i="2"/>
  <c r="I349" i="2"/>
  <c r="J349" i="2" s="1"/>
  <c r="K348" i="2"/>
  <c r="I348" i="2"/>
  <c r="J348" i="2" s="1"/>
  <c r="K347" i="2"/>
  <c r="I347" i="2"/>
  <c r="J347" i="2" s="1"/>
  <c r="K346" i="2"/>
  <c r="I346" i="2"/>
  <c r="J346" i="2" s="1"/>
  <c r="K345" i="2"/>
  <c r="I345" i="2"/>
  <c r="J345" i="2" s="1"/>
  <c r="K344" i="2"/>
  <c r="I344" i="2"/>
  <c r="J344" i="2" s="1"/>
  <c r="K343" i="2"/>
  <c r="I343" i="2"/>
  <c r="J343" i="2" s="1"/>
  <c r="K342" i="2"/>
  <c r="I342" i="2"/>
  <c r="J342" i="2" s="1"/>
  <c r="K341" i="2"/>
  <c r="I341" i="2"/>
  <c r="J341" i="2" s="1"/>
  <c r="K340" i="2"/>
  <c r="I340" i="2"/>
  <c r="J340" i="2" s="1"/>
  <c r="K339" i="2"/>
  <c r="I339" i="2"/>
  <c r="J339" i="2" s="1"/>
  <c r="K338" i="2"/>
  <c r="I338" i="2"/>
  <c r="J338" i="2" s="1"/>
  <c r="K337" i="2"/>
  <c r="I337" i="2"/>
  <c r="J337" i="2" s="1"/>
  <c r="K336" i="2"/>
  <c r="I336" i="2"/>
  <c r="J336" i="2" s="1"/>
  <c r="K335" i="2"/>
  <c r="I335" i="2"/>
  <c r="J335" i="2" s="1"/>
  <c r="K334" i="2"/>
  <c r="J334" i="2"/>
  <c r="I334" i="2"/>
  <c r="K333" i="2"/>
  <c r="I333" i="2"/>
  <c r="J333" i="2" s="1"/>
  <c r="K332" i="2"/>
  <c r="I332" i="2"/>
  <c r="J332" i="2" s="1"/>
  <c r="K331" i="2"/>
  <c r="I331" i="2"/>
  <c r="J331" i="2" s="1"/>
  <c r="K330" i="2"/>
  <c r="I330" i="2"/>
  <c r="J330" i="2" s="1"/>
  <c r="K329" i="2"/>
  <c r="I329" i="2"/>
  <c r="J329" i="2" s="1"/>
  <c r="K328" i="2"/>
  <c r="I328" i="2"/>
  <c r="J328" i="2" s="1"/>
  <c r="K327" i="2"/>
  <c r="I327" i="2"/>
  <c r="J327" i="2" s="1"/>
  <c r="K326" i="2"/>
  <c r="I326" i="2"/>
  <c r="J326" i="2" s="1"/>
  <c r="K325" i="2"/>
  <c r="I325" i="2"/>
  <c r="J325" i="2" s="1"/>
  <c r="K324" i="2"/>
  <c r="I324" i="2"/>
  <c r="J324" i="2" s="1"/>
  <c r="K323" i="2"/>
  <c r="I323" i="2"/>
  <c r="J323" i="2" s="1"/>
  <c r="K322" i="2"/>
  <c r="I322" i="2"/>
  <c r="J322" i="2" s="1"/>
  <c r="K321" i="2"/>
  <c r="I321" i="2"/>
  <c r="J321" i="2" s="1"/>
  <c r="K320" i="2"/>
  <c r="I320" i="2"/>
  <c r="J320" i="2" s="1"/>
  <c r="K319" i="2"/>
  <c r="I319" i="2"/>
  <c r="J319" i="2" s="1"/>
  <c r="K318" i="2"/>
  <c r="I318" i="2"/>
  <c r="J318" i="2" s="1"/>
  <c r="K317" i="2"/>
  <c r="I317" i="2"/>
  <c r="J317" i="2" s="1"/>
  <c r="K316" i="2"/>
  <c r="I316" i="2"/>
  <c r="J316" i="2" s="1"/>
  <c r="K315" i="2"/>
  <c r="I315" i="2"/>
  <c r="J315" i="2" s="1"/>
  <c r="K314" i="2"/>
  <c r="I314" i="2"/>
  <c r="J314" i="2" s="1"/>
  <c r="K313" i="2"/>
  <c r="I313" i="2"/>
  <c r="J313" i="2" s="1"/>
  <c r="K312" i="2"/>
  <c r="I312" i="2"/>
  <c r="J312" i="2" s="1"/>
  <c r="K311" i="2"/>
  <c r="I311" i="2"/>
  <c r="J311" i="2" s="1"/>
  <c r="K310" i="2"/>
  <c r="I310" i="2"/>
  <c r="J310" i="2" s="1"/>
  <c r="K309" i="2"/>
  <c r="I309" i="2"/>
  <c r="J309" i="2" s="1"/>
  <c r="K308" i="2"/>
  <c r="I308" i="2"/>
  <c r="J308" i="2" s="1"/>
  <c r="K307" i="2"/>
  <c r="I307" i="2"/>
  <c r="J307" i="2" s="1"/>
  <c r="K306" i="2"/>
  <c r="I306" i="2"/>
  <c r="J306" i="2" s="1"/>
  <c r="K305" i="2"/>
  <c r="I305" i="2"/>
  <c r="J305" i="2" s="1"/>
  <c r="K304" i="2"/>
  <c r="I304" i="2"/>
  <c r="J304" i="2" s="1"/>
  <c r="K303" i="2"/>
  <c r="I303" i="2"/>
  <c r="J303" i="2" s="1"/>
  <c r="K302" i="2"/>
  <c r="I302" i="2"/>
  <c r="J302" i="2" s="1"/>
  <c r="K301" i="2"/>
  <c r="I301" i="2"/>
  <c r="J301" i="2" s="1"/>
  <c r="K300" i="2"/>
  <c r="I300" i="2"/>
  <c r="J300" i="2" s="1"/>
  <c r="K299" i="2"/>
  <c r="I299" i="2"/>
  <c r="J299" i="2" s="1"/>
  <c r="K298" i="2"/>
  <c r="I298" i="2"/>
  <c r="J298" i="2" s="1"/>
  <c r="K297" i="2"/>
  <c r="I297" i="2"/>
  <c r="J297" i="2" s="1"/>
  <c r="K296" i="2"/>
  <c r="I296" i="2"/>
  <c r="J296" i="2" s="1"/>
  <c r="K295" i="2"/>
  <c r="I295" i="2"/>
  <c r="J295" i="2" s="1"/>
  <c r="K294" i="2"/>
  <c r="I294" i="2"/>
  <c r="J294" i="2" s="1"/>
  <c r="K293" i="2"/>
  <c r="I293" i="2"/>
  <c r="J293" i="2" s="1"/>
  <c r="K292" i="2"/>
  <c r="I292" i="2"/>
  <c r="J292" i="2" s="1"/>
  <c r="K291" i="2"/>
  <c r="I291" i="2"/>
  <c r="J291" i="2" s="1"/>
  <c r="K290" i="2"/>
  <c r="I290" i="2"/>
  <c r="J290" i="2" s="1"/>
  <c r="K289" i="2"/>
  <c r="I289" i="2"/>
  <c r="J289" i="2" s="1"/>
  <c r="K288" i="2"/>
  <c r="I288" i="2"/>
  <c r="J288" i="2" s="1"/>
  <c r="K287" i="2"/>
  <c r="I287" i="2"/>
  <c r="J287" i="2" s="1"/>
  <c r="K286" i="2"/>
  <c r="I286" i="2"/>
  <c r="J286" i="2" s="1"/>
  <c r="K285" i="2"/>
  <c r="I285" i="2"/>
  <c r="J285" i="2" s="1"/>
  <c r="K284" i="2"/>
  <c r="I284" i="2"/>
  <c r="J284" i="2" s="1"/>
  <c r="K283" i="2"/>
  <c r="I283" i="2"/>
  <c r="J283" i="2" s="1"/>
  <c r="K282" i="2"/>
  <c r="I282" i="2"/>
  <c r="J282" i="2" s="1"/>
  <c r="K281" i="2"/>
  <c r="I281" i="2"/>
  <c r="J281" i="2" s="1"/>
  <c r="K280" i="2"/>
  <c r="I280" i="2"/>
  <c r="J280" i="2" s="1"/>
  <c r="K279" i="2"/>
  <c r="I279" i="2"/>
  <c r="J279" i="2" s="1"/>
  <c r="K278" i="2"/>
  <c r="I278" i="2"/>
  <c r="J278" i="2" s="1"/>
  <c r="K277" i="2"/>
  <c r="I277" i="2"/>
  <c r="J277" i="2" s="1"/>
  <c r="K276" i="2"/>
  <c r="I276" i="2"/>
  <c r="J276" i="2" s="1"/>
  <c r="K275" i="2"/>
  <c r="I275" i="2"/>
  <c r="J275" i="2" s="1"/>
  <c r="K274" i="2"/>
  <c r="I274" i="2"/>
  <c r="J274" i="2" s="1"/>
  <c r="K273" i="2"/>
  <c r="I273" i="2"/>
  <c r="J273" i="2" s="1"/>
  <c r="K272" i="2"/>
  <c r="I272" i="2"/>
  <c r="J272" i="2" s="1"/>
  <c r="K271" i="2"/>
  <c r="I271" i="2"/>
  <c r="J271" i="2" s="1"/>
  <c r="K270" i="2"/>
  <c r="I270" i="2"/>
  <c r="J270" i="2" s="1"/>
  <c r="K269" i="2"/>
  <c r="I269" i="2"/>
  <c r="J269" i="2" s="1"/>
  <c r="K268" i="2"/>
  <c r="I268" i="2"/>
  <c r="J268" i="2" s="1"/>
  <c r="K267" i="2"/>
  <c r="I267" i="2"/>
  <c r="J267" i="2" s="1"/>
  <c r="K266" i="2"/>
  <c r="I266" i="2"/>
  <c r="J266" i="2" s="1"/>
  <c r="K265" i="2"/>
  <c r="I265" i="2"/>
  <c r="J265" i="2" s="1"/>
  <c r="K264" i="2"/>
  <c r="I264" i="2"/>
  <c r="J264" i="2" s="1"/>
  <c r="K263" i="2"/>
  <c r="I263" i="2"/>
  <c r="J263" i="2" s="1"/>
  <c r="K262" i="2"/>
  <c r="I262" i="2"/>
  <c r="J262" i="2" s="1"/>
  <c r="K261" i="2"/>
  <c r="I261" i="2"/>
  <c r="J261" i="2" s="1"/>
  <c r="K260" i="2"/>
  <c r="I260" i="2"/>
  <c r="J260" i="2" s="1"/>
  <c r="K259" i="2"/>
  <c r="I259" i="2"/>
  <c r="J259" i="2" s="1"/>
  <c r="K258" i="2"/>
  <c r="I258" i="2"/>
  <c r="J258" i="2" s="1"/>
  <c r="K257" i="2"/>
  <c r="I257" i="2"/>
  <c r="J257" i="2" s="1"/>
  <c r="K256" i="2"/>
  <c r="I256" i="2"/>
  <c r="J256" i="2" s="1"/>
  <c r="K255" i="2"/>
  <c r="I255" i="2"/>
  <c r="J255" i="2" s="1"/>
  <c r="K254" i="2"/>
  <c r="I254" i="2"/>
  <c r="J254" i="2" s="1"/>
  <c r="K253" i="2"/>
  <c r="J253" i="2"/>
  <c r="I253" i="2"/>
  <c r="K252" i="2"/>
  <c r="I252" i="2"/>
  <c r="J252" i="2" s="1"/>
  <c r="K251" i="2"/>
  <c r="I251" i="2"/>
  <c r="J251" i="2" s="1"/>
  <c r="K250" i="2"/>
  <c r="I250" i="2"/>
  <c r="J250" i="2" s="1"/>
  <c r="K249" i="2"/>
  <c r="I249" i="2"/>
  <c r="J249" i="2" s="1"/>
  <c r="K248" i="2"/>
  <c r="I248" i="2"/>
  <c r="J248" i="2" s="1"/>
  <c r="K247" i="2"/>
  <c r="I247" i="2"/>
  <c r="J247" i="2" s="1"/>
  <c r="K246" i="2"/>
  <c r="I246" i="2"/>
  <c r="J246" i="2" s="1"/>
  <c r="K245" i="2"/>
  <c r="I245" i="2"/>
  <c r="J245" i="2" s="1"/>
  <c r="K244" i="2"/>
  <c r="I244" i="2"/>
  <c r="J244" i="2" s="1"/>
  <c r="K243" i="2"/>
  <c r="I243" i="2"/>
  <c r="J243" i="2" s="1"/>
  <c r="K242" i="2"/>
  <c r="I242" i="2"/>
  <c r="J242" i="2" s="1"/>
  <c r="K241" i="2"/>
  <c r="I241" i="2"/>
  <c r="J241" i="2" s="1"/>
  <c r="K240" i="2"/>
  <c r="I240" i="2"/>
  <c r="J240" i="2" s="1"/>
  <c r="K239" i="2"/>
  <c r="I239" i="2"/>
  <c r="J239" i="2" s="1"/>
  <c r="K238" i="2"/>
  <c r="I238" i="2"/>
  <c r="J238" i="2" s="1"/>
  <c r="K237" i="2"/>
  <c r="I237" i="2"/>
  <c r="J237" i="2" s="1"/>
  <c r="K236" i="2"/>
  <c r="I236" i="2"/>
  <c r="J236" i="2" s="1"/>
  <c r="K235" i="2"/>
  <c r="I235" i="2"/>
  <c r="J235" i="2" s="1"/>
  <c r="K234" i="2"/>
  <c r="I234" i="2"/>
  <c r="J234" i="2" s="1"/>
  <c r="K233" i="2"/>
  <c r="I233" i="2"/>
  <c r="J233" i="2" s="1"/>
  <c r="K232" i="2"/>
  <c r="I232" i="2"/>
  <c r="J232" i="2" s="1"/>
  <c r="K231" i="2"/>
  <c r="I231" i="2"/>
  <c r="J231" i="2" s="1"/>
  <c r="K230" i="2"/>
  <c r="I230" i="2"/>
  <c r="J230" i="2" s="1"/>
  <c r="K229" i="2"/>
  <c r="I229" i="2"/>
  <c r="J229" i="2" s="1"/>
  <c r="K228" i="2"/>
  <c r="I228" i="2"/>
  <c r="J228" i="2" s="1"/>
  <c r="K227" i="2"/>
  <c r="I227" i="2"/>
  <c r="J227" i="2" s="1"/>
  <c r="K226" i="2"/>
  <c r="I226" i="2"/>
  <c r="J226" i="2" s="1"/>
  <c r="K225" i="2"/>
  <c r="I225" i="2"/>
  <c r="J225" i="2" s="1"/>
  <c r="K224" i="2"/>
  <c r="I224" i="2"/>
  <c r="J224" i="2" s="1"/>
  <c r="K223" i="2"/>
  <c r="I223" i="2"/>
  <c r="J223" i="2" s="1"/>
  <c r="K222" i="2"/>
  <c r="I222" i="2"/>
  <c r="J222" i="2" s="1"/>
  <c r="K221" i="2"/>
  <c r="I221" i="2"/>
  <c r="J221" i="2" s="1"/>
  <c r="K220" i="2"/>
  <c r="I220" i="2"/>
  <c r="J220" i="2" s="1"/>
  <c r="K219" i="2"/>
  <c r="I219" i="2"/>
  <c r="J219" i="2" s="1"/>
  <c r="K218" i="2"/>
  <c r="I218" i="2"/>
  <c r="J218" i="2" s="1"/>
  <c r="K217" i="2"/>
  <c r="I217" i="2"/>
  <c r="J217" i="2" s="1"/>
  <c r="K216" i="2"/>
  <c r="I216" i="2"/>
  <c r="J216" i="2" s="1"/>
  <c r="K215" i="2"/>
  <c r="I215" i="2"/>
  <c r="J215" i="2" s="1"/>
  <c r="K214" i="2"/>
  <c r="I214" i="2"/>
  <c r="J214" i="2" s="1"/>
  <c r="K213" i="2"/>
  <c r="I213" i="2"/>
  <c r="J213" i="2" s="1"/>
  <c r="K212" i="2"/>
  <c r="I212" i="2"/>
  <c r="J212" i="2" s="1"/>
  <c r="K211" i="2"/>
  <c r="I211" i="2"/>
  <c r="J211" i="2" s="1"/>
  <c r="K210" i="2"/>
  <c r="I210" i="2"/>
  <c r="J210" i="2" s="1"/>
  <c r="K209" i="2"/>
  <c r="I209" i="2"/>
  <c r="J209" i="2" s="1"/>
  <c r="K208" i="2"/>
  <c r="I208" i="2"/>
  <c r="J208" i="2" s="1"/>
  <c r="K207" i="2"/>
  <c r="I207" i="2"/>
  <c r="J207" i="2" s="1"/>
  <c r="K206" i="2"/>
  <c r="I206" i="2"/>
  <c r="J206" i="2" s="1"/>
  <c r="K205" i="2"/>
  <c r="I205" i="2"/>
  <c r="J205" i="2" s="1"/>
  <c r="K204" i="2"/>
  <c r="I204" i="2"/>
  <c r="J204" i="2" s="1"/>
  <c r="K203" i="2"/>
  <c r="I203" i="2"/>
  <c r="J203" i="2" s="1"/>
  <c r="K202" i="2"/>
  <c r="I202" i="2"/>
  <c r="J202" i="2" s="1"/>
  <c r="K201" i="2"/>
  <c r="I201" i="2"/>
  <c r="J201" i="2" s="1"/>
  <c r="K200" i="2"/>
  <c r="I200" i="2"/>
  <c r="J200" i="2" s="1"/>
  <c r="K199" i="2"/>
  <c r="I199" i="2"/>
  <c r="J199" i="2" s="1"/>
  <c r="K198" i="2"/>
  <c r="I198" i="2"/>
  <c r="J198" i="2" s="1"/>
  <c r="K197" i="2"/>
  <c r="I197" i="2"/>
  <c r="J197" i="2" s="1"/>
  <c r="K196" i="2"/>
  <c r="I196" i="2"/>
  <c r="J196" i="2" s="1"/>
  <c r="K195" i="2"/>
  <c r="I195" i="2"/>
  <c r="J195" i="2" s="1"/>
  <c r="K194" i="2"/>
  <c r="I194" i="2"/>
  <c r="J194" i="2" s="1"/>
  <c r="K193" i="2"/>
  <c r="I193" i="2"/>
  <c r="J193" i="2" s="1"/>
  <c r="K192" i="2"/>
  <c r="I192" i="2"/>
  <c r="J192" i="2" s="1"/>
  <c r="K191" i="2"/>
  <c r="I191" i="2"/>
  <c r="J191" i="2" s="1"/>
  <c r="K190" i="2"/>
  <c r="I190" i="2"/>
  <c r="J190" i="2" s="1"/>
  <c r="K189" i="2"/>
  <c r="J189" i="2"/>
  <c r="I189" i="2"/>
  <c r="K188" i="2"/>
  <c r="I188" i="2"/>
  <c r="J188" i="2" s="1"/>
  <c r="K187" i="2"/>
  <c r="I187" i="2"/>
  <c r="J187" i="2" s="1"/>
  <c r="K186" i="2"/>
  <c r="I186" i="2"/>
  <c r="J186" i="2" s="1"/>
  <c r="K185" i="2"/>
  <c r="I185" i="2"/>
  <c r="J185" i="2" s="1"/>
  <c r="K184" i="2"/>
  <c r="I184" i="2"/>
  <c r="J184" i="2" s="1"/>
  <c r="K183" i="2"/>
  <c r="I183" i="2"/>
  <c r="J183" i="2" s="1"/>
  <c r="K182" i="2"/>
  <c r="I182" i="2"/>
  <c r="J182" i="2" s="1"/>
  <c r="K181" i="2"/>
  <c r="I181" i="2"/>
  <c r="J181" i="2" s="1"/>
  <c r="K180" i="2"/>
  <c r="I180" i="2"/>
  <c r="J180" i="2" s="1"/>
  <c r="K179" i="2"/>
  <c r="I179" i="2"/>
  <c r="J179" i="2" s="1"/>
  <c r="K178" i="2"/>
  <c r="I178" i="2"/>
  <c r="J178" i="2" s="1"/>
  <c r="K177" i="2"/>
  <c r="I177" i="2"/>
  <c r="J177" i="2" s="1"/>
  <c r="K176" i="2"/>
  <c r="I176" i="2"/>
  <c r="J176" i="2" s="1"/>
  <c r="K175" i="2"/>
  <c r="I175" i="2"/>
  <c r="J175" i="2" s="1"/>
  <c r="K174" i="2"/>
  <c r="I174" i="2"/>
  <c r="J174" i="2" s="1"/>
  <c r="K173" i="2"/>
  <c r="I173" i="2"/>
  <c r="J173" i="2" s="1"/>
  <c r="K172" i="2"/>
  <c r="I172" i="2"/>
  <c r="J172" i="2" s="1"/>
  <c r="K171" i="2"/>
  <c r="I171" i="2"/>
  <c r="J171" i="2" s="1"/>
  <c r="K170" i="2"/>
  <c r="I170" i="2"/>
  <c r="J170" i="2" s="1"/>
  <c r="K169" i="2"/>
  <c r="I169" i="2"/>
  <c r="J169" i="2" s="1"/>
  <c r="K168" i="2"/>
  <c r="I168" i="2"/>
  <c r="J168" i="2" s="1"/>
  <c r="K167" i="2"/>
  <c r="I167" i="2"/>
  <c r="J167" i="2" s="1"/>
  <c r="K166" i="2"/>
  <c r="I166" i="2"/>
  <c r="J166" i="2" s="1"/>
  <c r="K165" i="2"/>
  <c r="I165" i="2"/>
  <c r="J165" i="2" s="1"/>
  <c r="K164" i="2"/>
  <c r="I164" i="2"/>
  <c r="J164" i="2" s="1"/>
  <c r="K163" i="2"/>
  <c r="I163" i="2"/>
  <c r="J163" i="2" s="1"/>
  <c r="K162" i="2"/>
  <c r="I162" i="2"/>
  <c r="J162" i="2" s="1"/>
  <c r="K161" i="2"/>
  <c r="I161" i="2"/>
  <c r="J161" i="2" s="1"/>
  <c r="K160" i="2"/>
  <c r="I160" i="2"/>
  <c r="J160" i="2" s="1"/>
  <c r="K159" i="2"/>
  <c r="I159" i="2"/>
  <c r="J159" i="2" s="1"/>
  <c r="K158" i="2"/>
  <c r="I158" i="2"/>
  <c r="J158" i="2" s="1"/>
  <c r="K157" i="2"/>
  <c r="I157" i="2"/>
  <c r="J157" i="2" s="1"/>
  <c r="K156" i="2"/>
  <c r="I156" i="2"/>
  <c r="J156" i="2" s="1"/>
  <c r="K155" i="2"/>
  <c r="I155" i="2"/>
  <c r="J155" i="2" s="1"/>
  <c r="K154" i="2"/>
  <c r="I154" i="2"/>
  <c r="J154" i="2" s="1"/>
  <c r="K153" i="2"/>
  <c r="I153" i="2"/>
  <c r="J153" i="2" s="1"/>
  <c r="K152" i="2"/>
  <c r="I152" i="2"/>
  <c r="J152" i="2" s="1"/>
  <c r="K151" i="2"/>
  <c r="I151" i="2"/>
  <c r="J151" i="2" s="1"/>
  <c r="K150" i="2"/>
  <c r="I150" i="2"/>
  <c r="J150" i="2" s="1"/>
  <c r="K149" i="2"/>
  <c r="I149" i="2"/>
  <c r="J149" i="2" s="1"/>
  <c r="K148" i="2"/>
  <c r="I148" i="2"/>
  <c r="J148" i="2" s="1"/>
  <c r="K147" i="2"/>
  <c r="J147" i="2"/>
  <c r="I147" i="2"/>
  <c r="K146" i="2"/>
  <c r="I146" i="2"/>
  <c r="J146" i="2" s="1"/>
  <c r="K145" i="2"/>
  <c r="I145" i="2"/>
  <c r="J145" i="2" s="1"/>
  <c r="K144" i="2"/>
  <c r="I144" i="2"/>
  <c r="J144" i="2" s="1"/>
  <c r="K143" i="2"/>
  <c r="I143" i="2"/>
  <c r="J143" i="2" s="1"/>
  <c r="K142" i="2"/>
  <c r="I142" i="2"/>
  <c r="J142" i="2" s="1"/>
  <c r="K141" i="2"/>
  <c r="I141" i="2"/>
  <c r="J141" i="2" s="1"/>
  <c r="K140" i="2"/>
  <c r="I140" i="2"/>
  <c r="J140" i="2" s="1"/>
  <c r="K139" i="2"/>
  <c r="I139" i="2"/>
  <c r="J139" i="2" s="1"/>
  <c r="K138" i="2"/>
  <c r="I138" i="2"/>
  <c r="J138" i="2" s="1"/>
  <c r="K137" i="2"/>
  <c r="I137" i="2"/>
  <c r="J137" i="2" s="1"/>
  <c r="K136" i="2"/>
  <c r="I136" i="2"/>
  <c r="J136" i="2" s="1"/>
  <c r="K135" i="2"/>
  <c r="I135" i="2"/>
  <c r="J135" i="2" s="1"/>
  <c r="K134" i="2"/>
  <c r="I134" i="2"/>
  <c r="J134" i="2" s="1"/>
  <c r="K133" i="2"/>
  <c r="I133" i="2"/>
  <c r="J133" i="2" s="1"/>
  <c r="K132" i="2"/>
  <c r="I132" i="2"/>
  <c r="J132" i="2" s="1"/>
  <c r="K131" i="2"/>
  <c r="I131" i="2"/>
  <c r="J131" i="2" s="1"/>
  <c r="K130" i="2"/>
  <c r="I130" i="2"/>
  <c r="J130" i="2" s="1"/>
  <c r="K129" i="2"/>
  <c r="I129" i="2"/>
  <c r="J129" i="2" s="1"/>
  <c r="K128" i="2"/>
  <c r="I128" i="2"/>
  <c r="J128" i="2" s="1"/>
  <c r="K127" i="2"/>
  <c r="I127" i="2"/>
  <c r="J127" i="2" s="1"/>
  <c r="K126" i="2"/>
  <c r="I126" i="2"/>
  <c r="J126" i="2" s="1"/>
  <c r="K125" i="2"/>
  <c r="I125" i="2"/>
  <c r="J125" i="2" s="1"/>
  <c r="K124" i="2"/>
  <c r="I124" i="2"/>
  <c r="J124" i="2" s="1"/>
  <c r="K123" i="2"/>
  <c r="I123" i="2"/>
  <c r="J123" i="2" s="1"/>
  <c r="K122" i="2"/>
  <c r="I122" i="2"/>
  <c r="J122" i="2" s="1"/>
  <c r="K121" i="2"/>
  <c r="I121" i="2"/>
  <c r="J121" i="2" s="1"/>
  <c r="K120" i="2"/>
  <c r="I120" i="2"/>
  <c r="J120" i="2" s="1"/>
  <c r="K119" i="2"/>
  <c r="I119" i="2"/>
  <c r="J119" i="2" s="1"/>
  <c r="K118" i="2"/>
  <c r="I118" i="2"/>
  <c r="J118" i="2" s="1"/>
  <c r="K117" i="2"/>
  <c r="I117" i="2"/>
  <c r="J117" i="2" s="1"/>
  <c r="K116" i="2"/>
  <c r="I116" i="2"/>
  <c r="J116" i="2" s="1"/>
  <c r="K115" i="2"/>
  <c r="I115" i="2"/>
  <c r="J115" i="2" s="1"/>
  <c r="K114" i="2"/>
  <c r="I114" i="2"/>
  <c r="J114" i="2" s="1"/>
  <c r="K113" i="2"/>
  <c r="I113" i="2"/>
  <c r="J113" i="2" s="1"/>
  <c r="K112" i="2"/>
  <c r="I112" i="2"/>
  <c r="J112" i="2" s="1"/>
  <c r="K111" i="2"/>
  <c r="I111" i="2"/>
  <c r="J111" i="2" s="1"/>
  <c r="K110" i="2"/>
  <c r="I110" i="2"/>
  <c r="J110" i="2" s="1"/>
  <c r="K109" i="2"/>
  <c r="I109" i="2"/>
  <c r="J109" i="2" s="1"/>
  <c r="K108" i="2"/>
  <c r="I108" i="2"/>
  <c r="J108" i="2" s="1"/>
  <c r="K107" i="2"/>
  <c r="I107" i="2"/>
  <c r="J107" i="2" s="1"/>
  <c r="K106" i="2"/>
  <c r="I106" i="2"/>
  <c r="J106" i="2" s="1"/>
  <c r="K105" i="2"/>
  <c r="I105" i="2"/>
  <c r="J105" i="2" s="1"/>
  <c r="K104" i="2"/>
  <c r="I104" i="2"/>
  <c r="J104" i="2" s="1"/>
  <c r="K103" i="2"/>
  <c r="I103" i="2"/>
  <c r="J103" i="2" s="1"/>
  <c r="K102" i="2"/>
  <c r="I102" i="2"/>
  <c r="J102" i="2" s="1"/>
  <c r="K101" i="2"/>
  <c r="I101" i="2"/>
  <c r="J101" i="2" s="1"/>
  <c r="K100" i="2"/>
  <c r="I100" i="2"/>
  <c r="J100" i="2" s="1"/>
  <c r="K99" i="2"/>
  <c r="I99" i="2"/>
  <c r="J99" i="2" s="1"/>
  <c r="K98" i="2"/>
  <c r="I98" i="2"/>
  <c r="J98" i="2" s="1"/>
  <c r="K97" i="2"/>
  <c r="I97" i="2"/>
  <c r="J97" i="2" s="1"/>
  <c r="K96" i="2"/>
  <c r="I96" i="2"/>
  <c r="J96" i="2" s="1"/>
  <c r="K95" i="2"/>
  <c r="I95" i="2"/>
  <c r="J95" i="2" s="1"/>
  <c r="K94" i="2"/>
  <c r="I94" i="2"/>
  <c r="J94" i="2" s="1"/>
  <c r="K93" i="2"/>
  <c r="I93" i="2"/>
  <c r="J93" i="2" s="1"/>
  <c r="K92" i="2"/>
  <c r="I92" i="2"/>
  <c r="J92" i="2" s="1"/>
  <c r="K91" i="2"/>
  <c r="I91" i="2"/>
  <c r="J91" i="2" s="1"/>
  <c r="K90" i="2"/>
  <c r="I90" i="2"/>
  <c r="J90" i="2" s="1"/>
  <c r="K89" i="2"/>
  <c r="I89" i="2"/>
  <c r="J89" i="2" s="1"/>
  <c r="K88" i="2"/>
  <c r="I88" i="2"/>
  <c r="J88" i="2" s="1"/>
  <c r="K87" i="2"/>
  <c r="I87" i="2"/>
  <c r="J87" i="2" s="1"/>
  <c r="K86" i="2"/>
  <c r="I86" i="2"/>
  <c r="J86" i="2" s="1"/>
  <c r="K85" i="2"/>
  <c r="I85" i="2"/>
  <c r="J85" i="2" s="1"/>
  <c r="K84" i="2"/>
  <c r="I84" i="2"/>
  <c r="J84" i="2" s="1"/>
  <c r="K83" i="2"/>
  <c r="I83" i="2"/>
  <c r="J83" i="2" s="1"/>
  <c r="K82" i="2"/>
  <c r="I82" i="2"/>
  <c r="J82" i="2" s="1"/>
  <c r="K81" i="2"/>
  <c r="I81" i="2"/>
  <c r="J81" i="2" s="1"/>
  <c r="K80" i="2"/>
  <c r="I80" i="2"/>
  <c r="J80" i="2" s="1"/>
  <c r="K79" i="2"/>
  <c r="I79" i="2"/>
  <c r="J79" i="2" s="1"/>
  <c r="K78" i="2"/>
  <c r="I78" i="2"/>
  <c r="J78" i="2" s="1"/>
  <c r="K77" i="2"/>
  <c r="I77" i="2"/>
  <c r="J77" i="2" s="1"/>
  <c r="K76" i="2"/>
  <c r="I76" i="2"/>
  <c r="J76" i="2" s="1"/>
  <c r="K75" i="2"/>
  <c r="I75" i="2"/>
  <c r="J75" i="2" s="1"/>
  <c r="K74" i="2"/>
  <c r="I74" i="2"/>
  <c r="J74" i="2" s="1"/>
  <c r="K73" i="2"/>
  <c r="I73" i="2"/>
  <c r="J73" i="2" s="1"/>
  <c r="K72" i="2"/>
  <c r="I72" i="2"/>
  <c r="J72" i="2" s="1"/>
  <c r="K71" i="2"/>
  <c r="I71" i="2"/>
  <c r="J71" i="2" s="1"/>
  <c r="K70" i="2"/>
  <c r="I70" i="2"/>
  <c r="J70" i="2" s="1"/>
  <c r="K69" i="2"/>
  <c r="J69" i="2"/>
  <c r="I69" i="2"/>
  <c r="K68" i="2"/>
  <c r="I68" i="2"/>
  <c r="J68" i="2" s="1"/>
  <c r="K67" i="2"/>
  <c r="I67" i="2"/>
  <c r="J67" i="2" s="1"/>
  <c r="K66" i="2"/>
  <c r="I66" i="2"/>
  <c r="J66" i="2" s="1"/>
  <c r="K65" i="2"/>
  <c r="I65" i="2"/>
  <c r="J65" i="2" s="1"/>
  <c r="K64" i="2"/>
  <c r="I64" i="2"/>
  <c r="J64" i="2" s="1"/>
  <c r="K63" i="2"/>
  <c r="I63" i="2"/>
  <c r="J63" i="2" s="1"/>
  <c r="K62" i="2"/>
  <c r="I62" i="2"/>
  <c r="J62" i="2" s="1"/>
  <c r="K61" i="2"/>
  <c r="I61" i="2"/>
  <c r="J61" i="2" s="1"/>
  <c r="K60" i="2"/>
  <c r="I60" i="2"/>
  <c r="J60" i="2" s="1"/>
  <c r="K59" i="2"/>
  <c r="I59" i="2"/>
  <c r="J59" i="2" s="1"/>
  <c r="K58" i="2"/>
  <c r="I58" i="2"/>
  <c r="J58" i="2" s="1"/>
  <c r="K57" i="2"/>
  <c r="I57" i="2"/>
  <c r="J57" i="2" s="1"/>
  <c r="K56" i="2"/>
  <c r="I56" i="2"/>
  <c r="J56" i="2" s="1"/>
  <c r="K55" i="2"/>
  <c r="I55" i="2"/>
  <c r="J55" i="2" s="1"/>
  <c r="K54" i="2"/>
  <c r="I54" i="2"/>
  <c r="J54" i="2" s="1"/>
  <c r="K53" i="2"/>
  <c r="I53" i="2"/>
  <c r="J53" i="2" s="1"/>
  <c r="K52" i="2"/>
  <c r="I52" i="2"/>
  <c r="J52" i="2" s="1"/>
  <c r="K51" i="2"/>
  <c r="I51" i="2"/>
  <c r="J51" i="2" s="1"/>
  <c r="K50" i="2"/>
  <c r="I50" i="2"/>
  <c r="J50" i="2" s="1"/>
  <c r="K49" i="2"/>
  <c r="I49" i="2"/>
  <c r="J49" i="2" s="1"/>
  <c r="K48" i="2"/>
  <c r="J48" i="2"/>
  <c r="I48" i="2"/>
  <c r="K47" i="2"/>
  <c r="I47" i="2"/>
  <c r="J47" i="2" s="1"/>
  <c r="K46" i="2"/>
  <c r="I46" i="2"/>
  <c r="J46" i="2" s="1"/>
  <c r="K45" i="2"/>
  <c r="I45" i="2"/>
  <c r="J45" i="2" s="1"/>
  <c r="K44" i="2"/>
  <c r="I44" i="2"/>
  <c r="J44" i="2" s="1"/>
  <c r="K43" i="2"/>
  <c r="I43" i="2"/>
  <c r="J43" i="2" s="1"/>
  <c r="K42" i="2"/>
  <c r="I42" i="2"/>
  <c r="K41" i="2"/>
  <c r="I41" i="2"/>
  <c r="K40" i="2"/>
  <c r="I40" i="2"/>
  <c r="K39" i="2"/>
  <c r="I39" i="2"/>
  <c r="K38" i="2"/>
  <c r="I38" i="2"/>
  <c r="K37" i="2"/>
  <c r="I37" i="2"/>
  <c r="K36" i="2"/>
  <c r="I36" i="2"/>
  <c r="K35" i="2"/>
  <c r="I35" i="2"/>
  <c r="K34" i="2"/>
  <c r="I34" i="2"/>
  <c r="K33" i="2"/>
  <c r="I33" i="2"/>
  <c r="K32" i="2"/>
  <c r="I32" i="2"/>
  <c r="K31" i="2"/>
  <c r="I31" i="2"/>
  <c r="K30" i="2"/>
  <c r="I30" i="2"/>
  <c r="K29" i="2"/>
  <c r="I29" i="2"/>
  <c r="K28" i="2"/>
  <c r="I28" i="2"/>
  <c r="K27" i="2"/>
  <c r="I27" i="2"/>
  <c r="K26" i="2"/>
  <c r="I26" i="2"/>
  <c r="K25" i="2"/>
  <c r="I25" i="2"/>
  <c r="K24" i="2"/>
  <c r="I24" i="2"/>
  <c r="K23" i="2"/>
  <c r="I23" i="2"/>
  <c r="K22" i="2"/>
  <c r="I22" i="2"/>
  <c r="K21" i="2"/>
  <c r="I21" i="2"/>
  <c r="K20" i="2"/>
  <c r="I20" i="2"/>
  <c r="K19" i="2"/>
  <c r="I19" i="2"/>
  <c r="K18" i="2"/>
  <c r="I18" i="2"/>
  <c r="K17" i="2"/>
  <c r="I17" i="2"/>
  <c r="K16" i="2"/>
  <c r="I16" i="2"/>
  <c r="K15" i="2"/>
  <c r="I15" i="2"/>
  <c r="K14" i="2"/>
  <c r="I14" i="2"/>
  <c r="K13" i="2"/>
  <c r="I13" i="2"/>
  <c r="K12" i="2"/>
  <c r="I12" i="2"/>
  <c r="K11" i="2"/>
  <c r="I11" i="2"/>
  <c r="K10" i="2"/>
  <c r="I10" i="2"/>
  <c r="K9" i="2"/>
  <c r="I9" i="2"/>
  <c r="K8" i="2"/>
  <c r="I8" i="2"/>
  <c r="K7" i="2"/>
  <c r="I7" i="2"/>
  <c r="K6" i="2"/>
  <c r="I6" i="2"/>
  <c r="K5" i="2"/>
  <c r="I5" i="2"/>
  <c r="K4" i="2"/>
  <c r="I4" i="2"/>
  <c r="C4" i="2"/>
  <c r="D4" i="2" s="1"/>
  <c r="F4" i="2" s="1"/>
  <c r="J4" i="2" l="1"/>
  <c r="O10" i="2"/>
  <c r="C5" i="2"/>
  <c r="C6" i="2" s="1"/>
  <c r="M7" i="2"/>
  <c r="M6" i="2" s="1"/>
  <c r="O6" i="2"/>
  <c r="G4" i="2"/>
  <c r="R4" i="2"/>
  <c r="R5" i="2" s="1"/>
  <c r="S5" i="2" s="1"/>
  <c r="D5" i="2" l="1"/>
  <c r="G5" i="2"/>
  <c r="G6" i="2"/>
  <c r="C7" i="2"/>
  <c r="D6" i="2"/>
  <c r="S4" i="2"/>
  <c r="R6" i="2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R311" i="2" s="1"/>
  <c r="R312" i="2" s="1"/>
  <c r="R313" i="2" s="1"/>
  <c r="R314" i="2" s="1"/>
  <c r="R315" i="2" s="1"/>
  <c r="R316" i="2" s="1"/>
  <c r="R317" i="2" s="1"/>
  <c r="R318" i="2" s="1"/>
  <c r="R319" i="2" s="1"/>
  <c r="R320" i="2" s="1"/>
  <c r="R321" i="2" s="1"/>
  <c r="R322" i="2" s="1"/>
  <c r="R323" i="2" s="1"/>
  <c r="R324" i="2" s="1"/>
  <c r="R325" i="2" s="1"/>
  <c r="R326" i="2" s="1"/>
  <c r="R327" i="2" s="1"/>
  <c r="R328" i="2" s="1"/>
  <c r="R329" i="2" s="1"/>
  <c r="R330" i="2" s="1"/>
  <c r="R331" i="2" s="1"/>
  <c r="R332" i="2" s="1"/>
  <c r="R333" i="2" s="1"/>
  <c r="R334" i="2" s="1"/>
  <c r="R335" i="2" s="1"/>
  <c r="R336" i="2" s="1"/>
  <c r="R337" i="2" s="1"/>
  <c r="R338" i="2" s="1"/>
  <c r="R339" i="2" s="1"/>
  <c r="R340" i="2" s="1"/>
  <c r="R341" i="2" s="1"/>
  <c r="R342" i="2" s="1"/>
  <c r="R343" i="2" s="1"/>
  <c r="R344" i="2" s="1"/>
  <c r="R345" i="2" s="1"/>
  <c r="R346" i="2" s="1"/>
  <c r="R347" i="2" s="1"/>
  <c r="R348" i="2" s="1"/>
  <c r="R349" i="2" s="1"/>
  <c r="R350" i="2" s="1"/>
  <c r="R351" i="2" s="1"/>
  <c r="R352" i="2" s="1"/>
  <c r="R353" i="2" s="1"/>
  <c r="R354" i="2" s="1"/>
  <c r="R355" i="2" s="1"/>
  <c r="R356" i="2" s="1"/>
  <c r="R357" i="2" s="1"/>
  <c r="R358" i="2" s="1"/>
  <c r="R359" i="2" s="1"/>
  <c r="R360" i="2" s="1"/>
  <c r="R361" i="2" s="1"/>
  <c r="R362" i="2" s="1"/>
  <c r="R363" i="2" s="1"/>
  <c r="R364" i="2" s="1"/>
  <c r="R365" i="2" s="1"/>
  <c r="R366" i="2" s="1"/>
  <c r="R367" i="2" s="1"/>
  <c r="R368" i="2" s="1"/>
  <c r="S368" i="2" s="1"/>
  <c r="F6" i="2" l="1"/>
  <c r="J6" i="2"/>
  <c r="F5" i="2"/>
  <c r="J5" i="2"/>
  <c r="C8" i="2"/>
  <c r="G7" i="2"/>
  <c r="D7" i="2"/>
  <c r="S12" i="2"/>
  <c r="S14" i="2"/>
  <c r="S48" i="2"/>
  <c r="S37" i="2"/>
  <c r="S24" i="2"/>
  <c r="S11" i="2"/>
  <c r="S8" i="2"/>
  <c r="S6" i="2"/>
  <c r="S20" i="2"/>
  <c r="S22" i="2"/>
  <c r="S28" i="2"/>
  <c r="S30" i="2"/>
  <c r="S17" i="2"/>
  <c r="S36" i="2"/>
  <c r="S7" i="2"/>
  <c r="S57" i="2"/>
  <c r="S13" i="2"/>
  <c r="S15" i="2"/>
  <c r="S27" i="2"/>
  <c r="S21" i="2"/>
  <c r="S31" i="2"/>
  <c r="S10" i="2"/>
  <c r="S92" i="2"/>
  <c r="S333" i="2"/>
  <c r="S205" i="2"/>
  <c r="S263" i="2"/>
  <c r="S112" i="2"/>
  <c r="S240" i="2"/>
  <c r="S275" i="2"/>
  <c r="S249" i="2"/>
  <c r="S339" i="2"/>
  <c r="S66" i="2"/>
  <c r="S83" i="2"/>
  <c r="S164" i="2"/>
  <c r="S149" i="2"/>
  <c r="S213" i="2"/>
  <c r="S94" i="2"/>
  <c r="S222" i="2"/>
  <c r="S350" i="2"/>
  <c r="S143" i="2"/>
  <c r="S271" i="2"/>
  <c r="S299" i="2"/>
  <c r="S56" i="2"/>
  <c r="S120" i="2"/>
  <c r="S184" i="2"/>
  <c r="S248" i="2"/>
  <c r="S312" i="2"/>
  <c r="S43" i="2"/>
  <c r="S323" i="2"/>
  <c r="S65" i="2"/>
  <c r="S129" i="2"/>
  <c r="S193" i="2"/>
  <c r="S257" i="2"/>
  <c r="S321" i="2"/>
  <c r="S51" i="2"/>
  <c r="S74" i="2"/>
  <c r="S138" i="2"/>
  <c r="S202" i="2"/>
  <c r="S266" i="2"/>
  <c r="S330" i="2"/>
  <c r="S99" i="2"/>
  <c r="S44" i="2"/>
  <c r="S108" i="2"/>
  <c r="S172" i="2"/>
  <c r="S236" i="2"/>
  <c r="S300" i="2"/>
  <c r="S364" i="2"/>
  <c r="S357" i="2"/>
  <c r="S29" i="2"/>
  <c r="S93" i="2"/>
  <c r="S157" i="2"/>
  <c r="S221" i="2"/>
  <c r="S309" i="2"/>
  <c r="S38" i="2"/>
  <c r="S102" i="2"/>
  <c r="S166" i="2"/>
  <c r="S230" i="2"/>
  <c r="S294" i="2"/>
  <c r="S358" i="2"/>
  <c r="S23" i="2"/>
  <c r="S87" i="2"/>
  <c r="S151" i="2"/>
  <c r="S215" i="2"/>
  <c r="S279" i="2"/>
  <c r="S343" i="2"/>
  <c r="S355" i="2"/>
  <c r="S64" i="2"/>
  <c r="S128" i="2"/>
  <c r="S192" i="2"/>
  <c r="S256" i="2"/>
  <c r="S320" i="2"/>
  <c r="S67" i="2"/>
  <c r="S9" i="2"/>
  <c r="S73" i="2"/>
  <c r="S137" i="2"/>
  <c r="S201" i="2"/>
  <c r="S265" i="2"/>
  <c r="S329" i="2"/>
  <c r="S75" i="2"/>
  <c r="S18" i="2"/>
  <c r="S82" i="2"/>
  <c r="S146" i="2"/>
  <c r="S210" i="2"/>
  <c r="S274" i="2"/>
  <c r="S338" i="2"/>
  <c r="S123" i="2"/>
  <c r="S156" i="2"/>
  <c r="S77" i="2"/>
  <c r="S214" i="2"/>
  <c r="S304" i="2"/>
  <c r="S185" i="2"/>
  <c r="S258" i="2"/>
  <c r="S100" i="2"/>
  <c r="S292" i="2"/>
  <c r="S349" i="2"/>
  <c r="S85" i="2"/>
  <c r="S285" i="2"/>
  <c r="S207" i="2"/>
  <c r="S116" i="2"/>
  <c r="S244" i="2"/>
  <c r="S165" i="2"/>
  <c r="S341" i="2"/>
  <c r="S174" i="2"/>
  <c r="S95" i="2"/>
  <c r="S159" i="2"/>
  <c r="S223" i="2"/>
  <c r="S287" i="2"/>
  <c r="S351" i="2"/>
  <c r="S136" i="2"/>
  <c r="S81" i="2"/>
  <c r="S145" i="2"/>
  <c r="S209" i="2"/>
  <c r="S273" i="2"/>
  <c r="S337" i="2"/>
  <c r="S107" i="2"/>
  <c r="S26" i="2"/>
  <c r="S90" i="2"/>
  <c r="S154" i="2"/>
  <c r="S218" i="2"/>
  <c r="S282" i="2"/>
  <c r="S346" i="2"/>
  <c r="S147" i="2"/>
  <c r="S348" i="2"/>
  <c r="S141" i="2"/>
  <c r="S86" i="2"/>
  <c r="S342" i="2"/>
  <c r="S199" i="2"/>
  <c r="S251" i="2"/>
  <c r="S313" i="2"/>
  <c r="S130" i="2"/>
  <c r="S228" i="2"/>
  <c r="S356" i="2"/>
  <c r="S158" i="2"/>
  <c r="S286" i="2"/>
  <c r="S79" i="2"/>
  <c r="S335" i="2"/>
  <c r="S52" i="2"/>
  <c r="S180" i="2"/>
  <c r="S308" i="2"/>
  <c r="S277" i="2"/>
  <c r="S163" i="2"/>
  <c r="S101" i="2"/>
  <c r="S229" i="2"/>
  <c r="S46" i="2"/>
  <c r="S110" i="2"/>
  <c r="S238" i="2"/>
  <c r="S302" i="2"/>
  <c r="S366" i="2"/>
  <c r="S72" i="2"/>
  <c r="S200" i="2"/>
  <c r="S264" i="2"/>
  <c r="S328" i="2"/>
  <c r="S91" i="2"/>
  <c r="S60" i="2"/>
  <c r="S124" i="2"/>
  <c r="S188" i="2"/>
  <c r="S252" i="2"/>
  <c r="S316" i="2"/>
  <c r="S293" i="2"/>
  <c r="S211" i="2"/>
  <c r="S45" i="2"/>
  <c r="S109" i="2"/>
  <c r="S173" i="2"/>
  <c r="S237" i="2"/>
  <c r="S365" i="2"/>
  <c r="S54" i="2"/>
  <c r="S118" i="2"/>
  <c r="S182" i="2"/>
  <c r="S246" i="2"/>
  <c r="S310" i="2"/>
  <c r="S171" i="2"/>
  <c r="S39" i="2"/>
  <c r="S103" i="2"/>
  <c r="S167" i="2"/>
  <c r="S231" i="2"/>
  <c r="S295" i="2"/>
  <c r="S359" i="2"/>
  <c r="S16" i="2"/>
  <c r="S80" i="2"/>
  <c r="S144" i="2"/>
  <c r="S208" i="2"/>
  <c r="S272" i="2"/>
  <c r="S336" i="2"/>
  <c r="S115" i="2"/>
  <c r="S25" i="2"/>
  <c r="S89" i="2"/>
  <c r="S153" i="2"/>
  <c r="S217" i="2"/>
  <c r="S281" i="2"/>
  <c r="S345" i="2"/>
  <c r="S139" i="2"/>
  <c r="S34" i="2"/>
  <c r="S98" i="2"/>
  <c r="S162" i="2"/>
  <c r="S226" i="2"/>
  <c r="S290" i="2"/>
  <c r="S354" i="2"/>
  <c r="S179" i="2"/>
  <c r="S269" i="2"/>
  <c r="S278" i="2"/>
  <c r="S135" i="2"/>
  <c r="S327" i="2"/>
  <c r="S176" i="2"/>
  <c r="S121" i="2"/>
  <c r="S322" i="2"/>
  <c r="S68" i="2"/>
  <c r="S132" i="2"/>
  <c r="S196" i="2"/>
  <c r="S260" i="2"/>
  <c r="S324" i="2"/>
  <c r="S301" i="2"/>
  <c r="S267" i="2"/>
  <c r="S53" i="2"/>
  <c r="S117" i="2"/>
  <c r="S181" i="2"/>
  <c r="S245" i="2"/>
  <c r="S235" i="2"/>
  <c r="S62" i="2"/>
  <c r="S126" i="2"/>
  <c r="S190" i="2"/>
  <c r="S254" i="2"/>
  <c r="S318" i="2"/>
  <c r="S259" i="2"/>
  <c r="S47" i="2"/>
  <c r="S111" i="2"/>
  <c r="S175" i="2"/>
  <c r="S239" i="2"/>
  <c r="S303" i="2"/>
  <c r="S367" i="2"/>
  <c r="S88" i="2"/>
  <c r="S152" i="2"/>
  <c r="S216" i="2"/>
  <c r="S280" i="2"/>
  <c r="S344" i="2"/>
  <c r="S155" i="2"/>
  <c r="S33" i="2"/>
  <c r="S97" i="2"/>
  <c r="S161" i="2"/>
  <c r="S225" i="2"/>
  <c r="S289" i="2"/>
  <c r="S353" i="2"/>
  <c r="S195" i="2"/>
  <c r="S42" i="2"/>
  <c r="S106" i="2"/>
  <c r="S170" i="2"/>
  <c r="S234" i="2"/>
  <c r="S298" i="2"/>
  <c r="S19" i="2"/>
  <c r="S219" i="2"/>
  <c r="S220" i="2"/>
  <c r="S150" i="2"/>
  <c r="S194" i="2"/>
  <c r="S76" i="2"/>
  <c r="S140" i="2"/>
  <c r="S204" i="2"/>
  <c r="S268" i="2"/>
  <c r="S332" i="2"/>
  <c r="S317" i="2"/>
  <c r="S315" i="2"/>
  <c r="S61" i="2"/>
  <c r="S125" i="2"/>
  <c r="S189" i="2"/>
  <c r="S253" i="2"/>
  <c r="S70" i="2"/>
  <c r="S134" i="2"/>
  <c r="S198" i="2"/>
  <c r="S262" i="2"/>
  <c r="S326" i="2"/>
  <c r="S307" i="2"/>
  <c r="S55" i="2"/>
  <c r="S119" i="2"/>
  <c r="S183" i="2"/>
  <c r="S247" i="2"/>
  <c r="S311" i="2"/>
  <c r="S131" i="2"/>
  <c r="S32" i="2"/>
  <c r="S96" i="2"/>
  <c r="S160" i="2"/>
  <c r="S224" i="2"/>
  <c r="S288" i="2"/>
  <c r="S352" i="2"/>
  <c r="S187" i="2"/>
  <c r="S41" i="2"/>
  <c r="S105" i="2"/>
  <c r="S169" i="2"/>
  <c r="S233" i="2"/>
  <c r="S297" i="2"/>
  <c r="S361" i="2"/>
  <c r="S243" i="2"/>
  <c r="S50" i="2"/>
  <c r="S114" i="2"/>
  <c r="S178" i="2"/>
  <c r="S242" i="2"/>
  <c r="S306" i="2"/>
  <c r="S35" i="2"/>
  <c r="S283" i="2"/>
  <c r="S284" i="2"/>
  <c r="S71" i="2"/>
  <c r="S84" i="2"/>
  <c r="S148" i="2"/>
  <c r="S212" i="2"/>
  <c r="S276" i="2"/>
  <c r="S340" i="2"/>
  <c r="S325" i="2"/>
  <c r="S363" i="2"/>
  <c r="S69" i="2"/>
  <c r="S133" i="2"/>
  <c r="S197" i="2"/>
  <c r="S261" i="2"/>
  <c r="S78" i="2"/>
  <c r="S142" i="2"/>
  <c r="S206" i="2"/>
  <c r="S270" i="2"/>
  <c r="S334" i="2"/>
  <c r="S347" i="2"/>
  <c r="S63" i="2"/>
  <c r="S127" i="2"/>
  <c r="S191" i="2"/>
  <c r="S255" i="2"/>
  <c r="S319" i="2"/>
  <c r="S203" i="2"/>
  <c r="S40" i="2"/>
  <c r="S104" i="2"/>
  <c r="S168" i="2"/>
  <c r="S232" i="2"/>
  <c r="S296" i="2"/>
  <c r="S360" i="2"/>
  <c r="S227" i="2"/>
  <c r="S49" i="2"/>
  <c r="S113" i="2"/>
  <c r="S177" i="2"/>
  <c r="S241" i="2"/>
  <c r="S305" i="2"/>
  <c r="S362" i="2"/>
  <c r="S291" i="2"/>
  <c r="S58" i="2"/>
  <c r="S122" i="2"/>
  <c r="S186" i="2"/>
  <c r="S250" i="2"/>
  <c r="S314" i="2"/>
  <c r="S59" i="2"/>
  <c r="S331" i="2"/>
  <c r="F7" i="2" l="1"/>
  <c r="J7" i="2"/>
  <c r="D14" i="1"/>
  <c r="C9" i="2"/>
  <c r="G8" i="2"/>
  <c r="D8" i="2"/>
  <c r="P7" i="2"/>
  <c r="M10" i="2" s="1"/>
  <c r="F8" i="2" l="1"/>
  <c r="J8" i="2"/>
  <c r="G9" i="2"/>
  <c r="D9" i="2"/>
  <c r="C10" i="2"/>
  <c r="F9" i="2" l="1"/>
  <c r="J9" i="2"/>
  <c r="G10" i="2"/>
  <c r="C11" i="2"/>
  <c r="D10" i="2"/>
  <c r="F10" i="2" l="1"/>
  <c r="J10" i="2"/>
  <c r="G11" i="2"/>
  <c r="D11" i="2"/>
  <c r="C12" i="2"/>
  <c r="F11" i="2" l="1"/>
  <c r="J11" i="2"/>
  <c r="G12" i="2"/>
  <c r="D12" i="2"/>
  <c r="C13" i="2"/>
  <c r="F12" i="2" l="1"/>
  <c r="J12" i="2"/>
  <c r="G13" i="2"/>
  <c r="D13" i="2"/>
  <c r="C14" i="2"/>
  <c r="F13" i="2" l="1"/>
  <c r="J13" i="2"/>
  <c r="C15" i="2"/>
  <c r="G14" i="2"/>
  <c r="D14" i="2"/>
  <c r="F14" i="2" l="1"/>
  <c r="J14" i="2"/>
  <c r="C16" i="2"/>
  <c r="D15" i="2"/>
  <c r="G15" i="2"/>
  <c r="F15" i="2" l="1"/>
  <c r="J15" i="2"/>
  <c r="D16" i="2"/>
  <c r="C17" i="2"/>
  <c r="G16" i="2"/>
  <c r="F16" i="2" l="1"/>
  <c r="J16" i="2"/>
  <c r="D17" i="2"/>
  <c r="G17" i="2"/>
  <c r="C18" i="2"/>
  <c r="F17" i="2" l="1"/>
  <c r="J17" i="2"/>
  <c r="G18" i="2"/>
  <c r="C19" i="2"/>
  <c r="D18" i="2"/>
  <c r="F18" i="2" l="1"/>
  <c r="J18" i="2"/>
  <c r="G19" i="2"/>
  <c r="D19" i="2"/>
  <c r="C20" i="2"/>
  <c r="F19" i="2" l="1"/>
  <c r="J19" i="2"/>
  <c r="G20" i="2"/>
  <c r="D20" i="2"/>
  <c r="C21" i="2"/>
  <c r="F20" i="2" l="1"/>
  <c r="J20" i="2"/>
  <c r="C22" i="2"/>
  <c r="G21" i="2"/>
  <c r="D21" i="2"/>
  <c r="F21" i="2" l="1"/>
  <c r="J21" i="2"/>
  <c r="C23" i="2"/>
  <c r="G22" i="2"/>
  <c r="D22" i="2"/>
  <c r="F22" i="2" l="1"/>
  <c r="J22" i="2"/>
  <c r="C24" i="2"/>
  <c r="G23" i="2"/>
  <c r="D23" i="2"/>
  <c r="F23" i="2" l="1"/>
  <c r="J23" i="2"/>
  <c r="D24" i="2"/>
  <c r="G24" i="2"/>
  <c r="C25" i="2"/>
  <c r="F24" i="2" l="1"/>
  <c r="J24" i="2"/>
  <c r="D25" i="2"/>
  <c r="G25" i="2"/>
  <c r="C26" i="2"/>
  <c r="F25" i="2" l="1"/>
  <c r="J25" i="2"/>
  <c r="G26" i="2"/>
  <c r="C27" i="2"/>
  <c r="D26" i="2"/>
  <c r="F26" i="2" l="1"/>
  <c r="J26" i="2"/>
  <c r="G27" i="2"/>
  <c r="C28" i="2"/>
  <c r="D27" i="2"/>
  <c r="F27" i="2" l="1"/>
  <c r="J27" i="2"/>
  <c r="D28" i="2"/>
  <c r="C29" i="2"/>
  <c r="G28" i="2"/>
  <c r="F28" i="2" l="1"/>
  <c r="J28" i="2"/>
  <c r="G29" i="2"/>
  <c r="D29" i="2"/>
  <c r="C30" i="2"/>
  <c r="F29" i="2" l="1"/>
  <c r="J29" i="2"/>
  <c r="C31" i="2"/>
  <c r="G30" i="2"/>
  <c r="D30" i="2"/>
  <c r="F30" i="2" l="1"/>
  <c r="J30" i="2"/>
  <c r="D31" i="2"/>
  <c r="C32" i="2"/>
  <c r="G31" i="2"/>
  <c r="F31" i="2" l="1"/>
  <c r="J31" i="2"/>
  <c r="C33" i="2"/>
  <c r="D32" i="2"/>
  <c r="G32" i="2"/>
  <c r="F32" i="2" l="1"/>
  <c r="J32" i="2"/>
  <c r="G33" i="2"/>
  <c r="D33" i="2"/>
  <c r="C34" i="2"/>
  <c r="F33" i="2" l="1"/>
  <c r="J33" i="2"/>
  <c r="D34" i="2"/>
  <c r="C35" i="2"/>
  <c r="G34" i="2"/>
  <c r="F34" i="2" l="1"/>
  <c r="J34" i="2"/>
  <c r="C36" i="2"/>
  <c r="D35" i="2"/>
  <c r="G35" i="2"/>
  <c r="F35" i="2" l="1"/>
  <c r="J35" i="2"/>
  <c r="G36" i="2"/>
  <c r="D36" i="2"/>
  <c r="C37" i="2"/>
  <c r="F36" i="2" l="1"/>
  <c r="J36" i="2"/>
  <c r="D37" i="2"/>
  <c r="C38" i="2"/>
  <c r="G37" i="2"/>
  <c r="F37" i="2" l="1"/>
  <c r="J37" i="2"/>
  <c r="G38" i="2"/>
  <c r="C39" i="2"/>
  <c r="D38" i="2"/>
  <c r="F38" i="2" l="1"/>
  <c r="J38" i="2"/>
  <c r="G39" i="2"/>
  <c r="D39" i="2"/>
  <c r="C40" i="2"/>
  <c r="F39" i="2" l="1"/>
  <c r="J39" i="2"/>
  <c r="C41" i="2"/>
  <c r="G40" i="2"/>
  <c r="D40" i="2"/>
  <c r="F40" i="2" l="1"/>
  <c r="J40" i="2"/>
  <c r="C42" i="2"/>
  <c r="D41" i="2"/>
  <c r="G41" i="2"/>
  <c r="F41" i="2" l="1"/>
  <c r="J41" i="2"/>
  <c r="D42" i="2"/>
  <c r="C43" i="2"/>
  <c r="G42" i="2"/>
  <c r="F42" i="2" l="1"/>
  <c r="J42" i="2"/>
  <c r="G43" i="2"/>
  <c r="D43" i="2"/>
  <c r="F43" i="2" s="1"/>
  <c r="C44" i="2"/>
  <c r="G44" i="2" l="1"/>
  <c r="D44" i="2"/>
  <c r="F44" i="2" s="1"/>
  <c r="C45" i="2"/>
  <c r="C46" i="2" l="1"/>
  <c r="D45" i="2"/>
  <c r="F45" i="2" s="1"/>
  <c r="G45" i="2"/>
  <c r="C47" i="2" l="1"/>
  <c r="G46" i="2"/>
  <c r="D46" i="2"/>
  <c r="F46" i="2" s="1"/>
  <c r="D47" i="2" l="1"/>
  <c r="F47" i="2" s="1"/>
  <c r="G47" i="2"/>
  <c r="C48" i="2"/>
  <c r="C49" i="2" l="1"/>
  <c r="D48" i="2"/>
  <c r="F48" i="2" s="1"/>
  <c r="G48" i="2"/>
  <c r="G49" i="2" l="1"/>
  <c r="C50" i="2"/>
  <c r="D49" i="2"/>
  <c r="F49" i="2" s="1"/>
  <c r="D50" i="2" l="1"/>
  <c r="F50" i="2" s="1"/>
  <c r="G50" i="2"/>
  <c r="C51" i="2"/>
  <c r="C52" i="2" l="1"/>
  <c r="G51" i="2"/>
  <c r="D51" i="2"/>
  <c r="F51" i="2" s="1"/>
  <c r="G52" i="2" l="1"/>
  <c r="C53" i="2"/>
  <c r="D52" i="2"/>
  <c r="F52" i="2" s="1"/>
  <c r="D53" i="2" l="1"/>
  <c r="F53" i="2" s="1"/>
  <c r="C54" i="2"/>
  <c r="G53" i="2"/>
  <c r="G54" i="2" l="1"/>
  <c r="D54" i="2"/>
  <c r="F54" i="2" s="1"/>
  <c r="C55" i="2"/>
  <c r="G55" i="2" l="1"/>
  <c r="D55" i="2"/>
  <c r="F55" i="2" s="1"/>
  <c r="C56" i="2"/>
  <c r="C57" i="2" l="1"/>
  <c r="D56" i="2"/>
  <c r="F56" i="2" s="1"/>
  <c r="G56" i="2"/>
  <c r="D57" i="2" l="1"/>
  <c r="F57" i="2" s="1"/>
  <c r="G57" i="2"/>
  <c r="C58" i="2"/>
  <c r="D58" i="2" l="1"/>
  <c r="F58" i="2" s="1"/>
  <c r="C59" i="2"/>
  <c r="G58" i="2"/>
  <c r="G59" i="2" l="1"/>
  <c r="C60" i="2"/>
  <c r="D59" i="2"/>
  <c r="F59" i="2" s="1"/>
  <c r="G60" i="2" l="1"/>
  <c r="D60" i="2"/>
  <c r="F60" i="2" s="1"/>
  <c r="C61" i="2"/>
  <c r="D61" i="2" l="1"/>
  <c r="F61" i="2" s="1"/>
  <c r="G61" i="2"/>
  <c r="C62" i="2"/>
  <c r="G62" i="2" l="1"/>
  <c r="D62" i="2"/>
  <c r="F62" i="2" s="1"/>
  <c r="C63" i="2"/>
  <c r="C64" i="2" l="1"/>
  <c r="D63" i="2"/>
  <c r="F63" i="2" s="1"/>
  <c r="G63" i="2"/>
  <c r="C65" i="2" l="1"/>
  <c r="G64" i="2"/>
  <c r="D64" i="2"/>
  <c r="F64" i="2" s="1"/>
  <c r="G65" i="2" l="1"/>
  <c r="D65" i="2"/>
  <c r="F65" i="2" s="1"/>
  <c r="C66" i="2"/>
  <c r="D66" i="2" l="1"/>
  <c r="F66" i="2" s="1"/>
  <c r="C67" i="2"/>
  <c r="G66" i="2"/>
  <c r="C68" i="2" l="1"/>
  <c r="D67" i="2"/>
  <c r="F67" i="2" s="1"/>
  <c r="G67" i="2"/>
  <c r="G68" i="2" l="1"/>
  <c r="D68" i="2"/>
  <c r="F68" i="2" s="1"/>
  <c r="C69" i="2"/>
  <c r="G69" i="2" l="1"/>
  <c r="D69" i="2"/>
  <c r="F69" i="2" s="1"/>
  <c r="C70" i="2"/>
  <c r="G70" i="2" l="1"/>
  <c r="C71" i="2"/>
  <c r="D70" i="2"/>
  <c r="F70" i="2" s="1"/>
  <c r="C72" i="2" l="1"/>
  <c r="D71" i="2"/>
  <c r="F71" i="2" s="1"/>
  <c r="G71" i="2"/>
  <c r="C73" i="2" l="1"/>
  <c r="G72" i="2"/>
  <c r="D72" i="2"/>
  <c r="F72" i="2" s="1"/>
  <c r="G73" i="2" l="1"/>
  <c r="D73" i="2"/>
  <c r="F73" i="2" s="1"/>
  <c r="C74" i="2"/>
  <c r="D74" i="2" l="1"/>
  <c r="F74" i="2" s="1"/>
  <c r="C75" i="2"/>
  <c r="G74" i="2"/>
  <c r="C76" i="2" l="1"/>
  <c r="D75" i="2"/>
  <c r="F75" i="2" s="1"/>
  <c r="G75" i="2"/>
  <c r="G76" i="2" l="1"/>
  <c r="D76" i="2"/>
  <c r="F76" i="2" s="1"/>
  <c r="C77" i="2"/>
  <c r="G77" i="2" l="1"/>
  <c r="D77" i="2"/>
  <c r="F77" i="2" s="1"/>
  <c r="C78" i="2"/>
  <c r="G78" i="2" l="1"/>
  <c r="D78" i="2"/>
  <c r="F78" i="2" s="1"/>
  <c r="C79" i="2"/>
  <c r="C80" i="2" l="1"/>
  <c r="D79" i="2"/>
  <c r="F79" i="2" s="1"/>
  <c r="G79" i="2"/>
  <c r="C81" i="2" l="1"/>
  <c r="G80" i="2"/>
  <c r="D80" i="2"/>
  <c r="F80" i="2" s="1"/>
  <c r="G81" i="2" l="1"/>
  <c r="D81" i="2"/>
  <c r="F81" i="2" s="1"/>
  <c r="C82" i="2"/>
  <c r="D82" i="2" l="1"/>
  <c r="F82" i="2" s="1"/>
  <c r="C83" i="2"/>
  <c r="G82" i="2"/>
  <c r="C84" i="2" l="1"/>
  <c r="D83" i="2"/>
  <c r="F83" i="2" s="1"/>
  <c r="G83" i="2"/>
  <c r="G84" i="2" l="1"/>
  <c r="D84" i="2"/>
  <c r="F84" i="2" s="1"/>
  <c r="C85" i="2"/>
  <c r="G85" i="2" l="1"/>
  <c r="D85" i="2"/>
  <c r="F85" i="2" s="1"/>
  <c r="C86" i="2"/>
  <c r="G86" i="2" l="1"/>
  <c r="C87" i="2"/>
  <c r="D86" i="2"/>
  <c r="F86" i="2" s="1"/>
  <c r="C88" i="2" l="1"/>
  <c r="D87" i="2"/>
  <c r="F87" i="2" s="1"/>
  <c r="G87" i="2"/>
  <c r="C89" i="2" l="1"/>
  <c r="G88" i="2"/>
  <c r="D88" i="2"/>
  <c r="F88" i="2" s="1"/>
  <c r="G89" i="2" l="1"/>
  <c r="D89" i="2"/>
  <c r="F89" i="2" s="1"/>
  <c r="C90" i="2"/>
  <c r="D90" i="2" l="1"/>
  <c r="F90" i="2" s="1"/>
  <c r="C91" i="2"/>
  <c r="G90" i="2"/>
  <c r="C92" i="2" l="1"/>
  <c r="D91" i="2"/>
  <c r="F91" i="2" s="1"/>
  <c r="G91" i="2"/>
  <c r="G92" i="2" l="1"/>
  <c r="D92" i="2"/>
  <c r="F92" i="2" s="1"/>
  <c r="C93" i="2"/>
  <c r="G93" i="2" l="1"/>
  <c r="D93" i="2"/>
  <c r="F93" i="2" s="1"/>
  <c r="C94" i="2"/>
  <c r="G94" i="2" l="1"/>
  <c r="D94" i="2"/>
  <c r="F94" i="2" s="1"/>
  <c r="C95" i="2"/>
  <c r="C96" i="2" l="1"/>
  <c r="D95" i="2"/>
  <c r="F95" i="2" s="1"/>
  <c r="G95" i="2"/>
  <c r="C97" i="2" l="1"/>
  <c r="G96" i="2"/>
  <c r="D96" i="2"/>
  <c r="F96" i="2" s="1"/>
  <c r="G97" i="2" l="1"/>
  <c r="D97" i="2"/>
  <c r="F97" i="2" s="1"/>
  <c r="C98" i="2"/>
  <c r="D98" i="2" l="1"/>
  <c r="F98" i="2" s="1"/>
  <c r="C99" i="2"/>
  <c r="G98" i="2"/>
  <c r="C100" i="2" l="1"/>
  <c r="D99" i="2"/>
  <c r="F99" i="2" s="1"/>
  <c r="G99" i="2"/>
  <c r="G100" i="2" l="1"/>
  <c r="D100" i="2"/>
  <c r="F100" i="2" s="1"/>
  <c r="C101" i="2"/>
  <c r="G101" i="2" l="1"/>
  <c r="D101" i="2"/>
  <c r="F101" i="2" s="1"/>
  <c r="C102" i="2"/>
  <c r="G102" i="2" l="1"/>
  <c r="D102" i="2"/>
  <c r="F102" i="2" s="1"/>
  <c r="C103" i="2"/>
  <c r="C104" i="2" l="1"/>
  <c r="D103" i="2"/>
  <c r="F103" i="2" s="1"/>
  <c r="G103" i="2"/>
  <c r="C105" i="2" l="1"/>
  <c r="G104" i="2"/>
  <c r="D104" i="2"/>
  <c r="F104" i="2" s="1"/>
  <c r="G105" i="2" l="1"/>
  <c r="D105" i="2"/>
  <c r="F105" i="2" s="1"/>
  <c r="C106" i="2"/>
  <c r="D106" i="2" l="1"/>
  <c r="F106" i="2" s="1"/>
  <c r="C107" i="2"/>
  <c r="G106" i="2"/>
  <c r="C108" i="2" l="1"/>
  <c r="G107" i="2"/>
  <c r="D107" i="2"/>
  <c r="F107" i="2" s="1"/>
  <c r="G108" i="2" l="1"/>
  <c r="D108" i="2"/>
  <c r="F108" i="2" s="1"/>
  <c r="C109" i="2"/>
  <c r="G109" i="2" l="1"/>
  <c r="D109" i="2"/>
  <c r="F109" i="2" s="1"/>
  <c r="C110" i="2"/>
  <c r="G110" i="2" l="1"/>
  <c r="C111" i="2"/>
  <c r="D110" i="2"/>
  <c r="F110" i="2" s="1"/>
  <c r="C112" i="2" l="1"/>
  <c r="D111" i="2"/>
  <c r="F111" i="2" s="1"/>
  <c r="G111" i="2"/>
  <c r="C113" i="2" l="1"/>
  <c r="G112" i="2"/>
  <c r="D112" i="2"/>
  <c r="F112" i="2" s="1"/>
  <c r="G113" i="2" l="1"/>
  <c r="D113" i="2"/>
  <c r="F113" i="2" s="1"/>
  <c r="C114" i="2"/>
  <c r="D114" i="2" l="1"/>
  <c r="F114" i="2" s="1"/>
  <c r="C115" i="2"/>
  <c r="G114" i="2"/>
  <c r="C116" i="2" l="1"/>
  <c r="D115" i="2"/>
  <c r="F115" i="2" s="1"/>
  <c r="G115" i="2"/>
  <c r="G116" i="2" l="1"/>
  <c r="D116" i="2"/>
  <c r="F116" i="2" s="1"/>
  <c r="C117" i="2"/>
  <c r="G117" i="2" l="1"/>
  <c r="D117" i="2"/>
  <c r="F117" i="2" s="1"/>
  <c r="C118" i="2"/>
  <c r="G118" i="2" l="1"/>
  <c r="C119" i="2"/>
  <c r="D118" i="2"/>
  <c r="F118" i="2" s="1"/>
  <c r="C120" i="2" l="1"/>
  <c r="D119" i="2"/>
  <c r="F119" i="2" s="1"/>
  <c r="G119" i="2"/>
  <c r="C121" i="2" l="1"/>
  <c r="G120" i="2"/>
  <c r="D120" i="2"/>
  <c r="F120" i="2" s="1"/>
  <c r="G121" i="2" l="1"/>
  <c r="D121" i="2"/>
  <c r="F121" i="2" s="1"/>
  <c r="C122" i="2"/>
  <c r="D122" i="2" l="1"/>
  <c r="F122" i="2" s="1"/>
  <c r="C123" i="2"/>
  <c r="G122" i="2"/>
  <c r="C124" i="2" l="1"/>
  <c r="D123" i="2"/>
  <c r="F123" i="2" s="1"/>
  <c r="G123" i="2"/>
  <c r="G124" i="2" l="1"/>
  <c r="D124" i="2"/>
  <c r="F124" i="2" s="1"/>
  <c r="C125" i="2"/>
  <c r="G125" i="2" l="1"/>
  <c r="D125" i="2"/>
  <c r="F125" i="2" s="1"/>
  <c r="C126" i="2"/>
  <c r="G126" i="2" l="1"/>
  <c r="C127" i="2"/>
  <c r="D126" i="2"/>
  <c r="F126" i="2" s="1"/>
  <c r="C128" i="2" l="1"/>
  <c r="D127" i="2"/>
  <c r="F127" i="2" s="1"/>
  <c r="G127" i="2"/>
  <c r="C129" i="2" l="1"/>
  <c r="G128" i="2"/>
  <c r="D128" i="2"/>
  <c r="F128" i="2" s="1"/>
  <c r="G129" i="2" l="1"/>
  <c r="D129" i="2"/>
  <c r="F129" i="2" s="1"/>
  <c r="C130" i="2"/>
  <c r="D130" i="2" l="1"/>
  <c r="F130" i="2" s="1"/>
  <c r="C131" i="2"/>
  <c r="G130" i="2"/>
  <c r="C132" i="2" l="1"/>
  <c r="D131" i="2"/>
  <c r="F131" i="2" s="1"/>
  <c r="G131" i="2"/>
  <c r="G132" i="2" l="1"/>
  <c r="D132" i="2"/>
  <c r="F132" i="2" s="1"/>
  <c r="C133" i="2"/>
  <c r="G133" i="2" l="1"/>
  <c r="D133" i="2"/>
  <c r="F133" i="2" s="1"/>
  <c r="C134" i="2"/>
  <c r="G134" i="2" l="1"/>
  <c r="D134" i="2"/>
  <c r="F134" i="2" s="1"/>
  <c r="C135" i="2"/>
  <c r="C136" i="2" l="1"/>
  <c r="D135" i="2"/>
  <c r="F135" i="2" s="1"/>
  <c r="G135" i="2"/>
  <c r="C137" i="2" l="1"/>
  <c r="G136" i="2"/>
  <c r="D136" i="2"/>
  <c r="F136" i="2" s="1"/>
  <c r="C138" i="2" l="1"/>
  <c r="G137" i="2"/>
  <c r="D137" i="2"/>
  <c r="F137" i="2" s="1"/>
  <c r="D138" i="2" l="1"/>
  <c r="F138" i="2" s="1"/>
  <c r="C139" i="2"/>
  <c r="G138" i="2"/>
  <c r="D139" i="2" l="1"/>
  <c r="F139" i="2" s="1"/>
  <c r="C140" i="2"/>
  <c r="G139" i="2"/>
  <c r="G140" i="2" l="1"/>
  <c r="D140" i="2"/>
  <c r="F140" i="2" s="1"/>
  <c r="C141" i="2"/>
  <c r="G141" i="2" l="1"/>
  <c r="D141" i="2"/>
  <c r="F141" i="2" s="1"/>
  <c r="C142" i="2"/>
  <c r="G142" i="2" l="1"/>
  <c r="C143" i="2"/>
  <c r="D142" i="2"/>
  <c r="F142" i="2" s="1"/>
  <c r="D143" i="2" l="1"/>
  <c r="F143" i="2" s="1"/>
  <c r="G143" i="2"/>
  <c r="C144" i="2"/>
  <c r="C145" i="2" l="1"/>
  <c r="G144" i="2"/>
  <c r="D144" i="2"/>
  <c r="F144" i="2" s="1"/>
  <c r="C146" i="2" l="1"/>
  <c r="D145" i="2"/>
  <c r="F145" i="2" s="1"/>
  <c r="G145" i="2"/>
  <c r="D146" i="2" l="1"/>
  <c r="F146" i="2" s="1"/>
  <c r="C147" i="2"/>
  <c r="G146" i="2"/>
  <c r="D147" i="2" l="1"/>
  <c r="F147" i="2" s="1"/>
  <c r="G147" i="2"/>
  <c r="C148" i="2"/>
  <c r="G148" i="2" l="1"/>
  <c r="D148" i="2"/>
  <c r="F148" i="2" s="1"/>
  <c r="C149" i="2"/>
  <c r="G149" i="2" l="1"/>
  <c r="C150" i="2"/>
  <c r="D149" i="2"/>
  <c r="F149" i="2" s="1"/>
  <c r="G150" i="2" l="1"/>
  <c r="D150" i="2"/>
  <c r="F150" i="2" s="1"/>
  <c r="C151" i="2"/>
  <c r="G151" i="2" l="1"/>
  <c r="C152" i="2"/>
  <c r="D151" i="2"/>
  <c r="F151" i="2" s="1"/>
  <c r="C153" i="2" l="1"/>
  <c r="D152" i="2"/>
  <c r="F152" i="2" s="1"/>
  <c r="G152" i="2"/>
  <c r="C154" i="2" l="1"/>
  <c r="D153" i="2"/>
  <c r="F153" i="2" s="1"/>
  <c r="G153" i="2"/>
  <c r="D154" i="2" l="1"/>
  <c r="F154" i="2" s="1"/>
  <c r="C155" i="2"/>
  <c r="G154" i="2"/>
  <c r="D155" i="2" l="1"/>
  <c r="F155" i="2" s="1"/>
  <c r="C156" i="2"/>
  <c r="G155" i="2"/>
  <c r="G156" i="2" l="1"/>
  <c r="D156" i="2"/>
  <c r="F156" i="2" s="1"/>
  <c r="C157" i="2"/>
  <c r="G157" i="2" l="1"/>
  <c r="D157" i="2"/>
  <c r="F157" i="2" s="1"/>
  <c r="C158" i="2"/>
  <c r="G158" i="2" l="1"/>
  <c r="C159" i="2"/>
  <c r="D158" i="2"/>
  <c r="F158" i="2" s="1"/>
  <c r="D159" i="2" l="1"/>
  <c r="F159" i="2" s="1"/>
  <c r="C160" i="2"/>
  <c r="G159" i="2"/>
  <c r="C161" i="2" l="1"/>
  <c r="D160" i="2"/>
  <c r="F160" i="2" s="1"/>
  <c r="G160" i="2"/>
  <c r="C162" i="2" l="1"/>
  <c r="G161" i="2"/>
  <c r="D161" i="2"/>
  <c r="F161" i="2" s="1"/>
  <c r="D162" i="2" l="1"/>
  <c r="F162" i="2" s="1"/>
  <c r="C163" i="2"/>
  <c r="G162" i="2"/>
  <c r="D163" i="2" l="1"/>
  <c r="F163" i="2" s="1"/>
  <c r="G163" i="2"/>
  <c r="C164" i="2"/>
  <c r="G164" i="2" l="1"/>
  <c r="D164" i="2"/>
  <c r="F164" i="2" s="1"/>
  <c r="C165" i="2"/>
  <c r="G165" i="2" l="1"/>
  <c r="C166" i="2"/>
  <c r="D165" i="2"/>
  <c r="F165" i="2" s="1"/>
  <c r="G166" i="2" l="1"/>
  <c r="D166" i="2"/>
  <c r="F166" i="2" s="1"/>
  <c r="C167" i="2"/>
  <c r="G167" i="2" l="1"/>
  <c r="D167" i="2"/>
  <c r="F167" i="2" s="1"/>
  <c r="C168" i="2"/>
  <c r="C169" i="2" l="1"/>
  <c r="G168" i="2"/>
  <c r="D168" i="2"/>
  <c r="F168" i="2" s="1"/>
  <c r="C170" i="2" l="1"/>
  <c r="G169" i="2"/>
  <c r="D169" i="2"/>
  <c r="F169" i="2" s="1"/>
  <c r="D170" i="2" l="1"/>
  <c r="F170" i="2" s="1"/>
  <c r="C171" i="2"/>
  <c r="G170" i="2"/>
  <c r="D171" i="2" l="1"/>
  <c r="F171" i="2" s="1"/>
  <c r="G171" i="2"/>
  <c r="C172" i="2"/>
  <c r="G172" i="2" l="1"/>
  <c r="D172" i="2"/>
  <c r="F172" i="2" s="1"/>
  <c r="C173" i="2"/>
  <c r="G173" i="2" l="1"/>
  <c r="D173" i="2"/>
  <c r="F173" i="2" s="1"/>
  <c r="C174" i="2"/>
  <c r="G174" i="2" l="1"/>
  <c r="D174" i="2"/>
  <c r="F174" i="2" s="1"/>
  <c r="C175" i="2"/>
  <c r="C176" i="2" l="1"/>
  <c r="G175" i="2"/>
  <c r="D175" i="2"/>
  <c r="F175" i="2" s="1"/>
  <c r="C177" i="2" l="1"/>
  <c r="D176" i="2"/>
  <c r="F176" i="2" s="1"/>
  <c r="G176" i="2"/>
  <c r="C178" i="2" l="1"/>
  <c r="G177" i="2"/>
  <c r="D177" i="2"/>
  <c r="F177" i="2" s="1"/>
  <c r="D178" i="2" l="1"/>
  <c r="F178" i="2" s="1"/>
  <c r="C179" i="2"/>
  <c r="G178" i="2"/>
  <c r="D179" i="2" l="1"/>
  <c r="F179" i="2" s="1"/>
  <c r="C180" i="2"/>
  <c r="G179" i="2"/>
  <c r="G180" i="2" l="1"/>
  <c r="D180" i="2"/>
  <c r="F180" i="2" s="1"/>
  <c r="C181" i="2"/>
  <c r="G181" i="2" l="1"/>
  <c r="D181" i="2"/>
  <c r="F181" i="2" s="1"/>
  <c r="C182" i="2"/>
  <c r="G182" i="2" l="1"/>
  <c r="C183" i="2"/>
  <c r="D182" i="2"/>
  <c r="F182" i="2" s="1"/>
  <c r="D183" i="2" l="1"/>
  <c r="F183" i="2" s="1"/>
  <c r="C184" i="2"/>
  <c r="G183" i="2"/>
  <c r="C185" i="2" l="1"/>
  <c r="G184" i="2"/>
  <c r="D184" i="2"/>
  <c r="F184" i="2" s="1"/>
  <c r="C186" i="2" l="1"/>
  <c r="G185" i="2"/>
  <c r="D185" i="2"/>
  <c r="F185" i="2" s="1"/>
  <c r="D186" i="2" l="1"/>
  <c r="F186" i="2" s="1"/>
  <c r="C187" i="2"/>
  <c r="G186" i="2"/>
  <c r="D187" i="2" l="1"/>
  <c r="F187" i="2" s="1"/>
  <c r="G187" i="2"/>
  <c r="C188" i="2"/>
  <c r="G188" i="2" l="1"/>
  <c r="D188" i="2"/>
  <c r="F188" i="2" s="1"/>
  <c r="C189" i="2"/>
  <c r="G189" i="2" l="1"/>
  <c r="C190" i="2"/>
  <c r="D189" i="2"/>
  <c r="F189" i="2" s="1"/>
  <c r="G190" i="2" l="1"/>
  <c r="D190" i="2"/>
  <c r="F190" i="2" s="1"/>
  <c r="C191" i="2"/>
  <c r="G191" i="2" l="1"/>
  <c r="C192" i="2"/>
  <c r="D191" i="2"/>
  <c r="F191" i="2" s="1"/>
  <c r="C193" i="2" l="1"/>
  <c r="G192" i="2"/>
  <c r="D192" i="2"/>
  <c r="F192" i="2" s="1"/>
  <c r="C194" i="2" l="1"/>
  <c r="D193" i="2"/>
  <c r="F193" i="2" s="1"/>
  <c r="G193" i="2"/>
  <c r="D194" i="2" l="1"/>
  <c r="F194" i="2" s="1"/>
  <c r="C195" i="2"/>
  <c r="G194" i="2"/>
  <c r="D195" i="2" l="1"/>
  <c r="F195" i="2" s="1"/>
  <c r="C196" i="2"/>
  <c r="G195" i="2"/>
  <c r="G196" i="2" l="1"/>
  <c r="D196" i="2"/>
  <c r="F196" i="2" s="1"/>
  <c r="C197" i="2"/>
  <c r="G197" i="2" l="1"/>
  <c r="D197" i="2"/>
  <c r="F197" i="2" s="1"/>
  <c r="C198" i="2"/>
  <c r="G198" i="2" l="1"/>
  <c r="C199" i="2"/>
  <c r="D198" i="2"/>
  <c r="F198" i="2" s="1"/>
  <c r="C200" i="2" l="1"/>
  <c r="D199" i="2"/>
  <c r="F199" i="2" s="1"/>
  <c r="G199" i="2"/>
  <c r="C201" i="2" l="1"/>
  <c r="D200" i="2"/>
  <c r="F200" i="2" s="1"/>
  <c r="G200" i="2"/>
  <c r="C202" i="2" l="1"/>
  <c r="G201" i="2"/>
  <c r="D201" i="2"/>
  <c r="F201" i="2" s="1"/>
  <c r="D202" i="2" l="1"/>
  <c r="F202" i="2" s="1"/>
  <c r="C203" i="2"/>
  <c r="G202" i="2"/>
  <c r="D203" i="2" l="1"/>
  <c r="F203" i="2" s="1"/>
  <c r="C204" i="2"/>
  <c r="G203" i="2"/>
  <c r="G204" i="2" l="1"/>
  <c r="D204" i="2"/>
  <c r="F204" i="2" s="1"/>
  <c r="C205" i="2"/>
  <c r="G205" i="2" l="1"/>
  <c r="C206" i="2"/>
  <c r="D205" i="2"/>
  <c r="F205" i="2" s="1"/>
  <c r="G206" i="2" l="1"/>
  <c r="C207" i="2"/>
  <c r="D206" i="2"/>
  <c r="F206" i="2" s="1"/>
  <c r="G207" i="2" l="1"/>
  <c r="D207" i="2"/>
  <c r="F207" i="2" s="1"/>
  <c r="C208" i="2"/>
  <c r="C209" i="2" l="1"/>
  <c r="G208" i="2"/>
  <c r="D208" i="2"/>
  <c r="F208" i="2" s="1"/>
  <c r="C210" i="2" l="1"/>
  <c r="G209" i="2"/>
  <c r="D209" i="2"/>
  <c r="F209" i="2" s="1"/>
  <c r="D210" i="2" l="1"/>
  <c r="F210" i="2" s="1"/>
  <c r="C211" i="2"/>
  <c r="G210" i="2"/>
  <c r="D211" i="2" l="1"/>
  <c r="F211" i="2" s="1"/>
  <c r="G211" i="2"/>
  <c r="C212" i="2"/>
  <c r="G212" i="2" l="1"/>
  <c r="D212" i="2"/>
  <c r="F212" i="2" s="1"/>
  <c r="C213" i="2"/>
  <c r="G213" i="2" l="1"/>
  <c r="D213" i="2"/>
  <c r="F213" i="2" s="1"/>
  <c r="C214" i="2"/>
  <c r="G214" i="2" l="1"/>
  <c r="D214" i="2"/>
  <c r="F214" i="2" s="1"/>
  <c r="C215" i="2"/>
  <c r="G215" i="2" l="1"/>
  <c r="D215" i="2"/>
  <c r="F215" i="2" s="1"/>
  <c r="C216" i="2"/>
  <c r="C217" i="2" l="1"/>
  <c r="G216" i="2"/>
  <c r="D216" i="2"/>
  <c r="F216" i="2" s="1"/>
  <c r="C218" i="2" l="1"/>
  <c r="D217" i="2"/>
  <c r="F217" i="2" s="1"/>
  <c r="G217" i="2"/>
  <c r="D218" i="2" l="1"/>
  <c r="F218" i="2" s="1"/>
  <c r="C219" i="2"/>
  <c r="G218" i="2"/>
  <c r="D219" i="2" l="1"/>
  <c r="F219" i="2" s="1"/>
  <c r="C220" i="2"/>
  <c r="G219" i="2"/>
  <c r="G220" i="2" l="1"/>
  <c r="D220" i="2"/>
  <c r="F220" i="2" s="1"/>
  <c r="C221" i="2"/>
  <c r="G221" i="2" l="1"/>
  <c r="D221" i="2"/>
  <c r="F221" i="2" s="1"/>
  <c r="C222" i="2"/>
  <c r="G222" i="2" l="1"/>
  <c r="C223" i="2"/>
  <c r="D222" i="2"/>
  <c r="F222" i="2" s="1"/>
  <c r="D223" i="2" l="1"/>
  <c r="F223" i="2" s="1"/>
  <c r="C224" i="2"/>
  <c r="G223" i="2"/>
  <c r="C225" i="2" l="1"/>
  <c r="D224" i="2"/>
  <c r="F224" i="2" s="1"/>
  <c r="G224" i="2"/>
  <c r="C226" i="2" l="1"/>
  <c r="G225" i="2"/>
  <c r="D225" i="2"/>
  <c r="F225" i="2" s="1"/>
  <c r="D226" i="2" l="1"/>
  <c r="F226" i="2" s="1"/>
  <c r="C227" i="2"/>
  <c r="G226" i="2"/>
  <c r="D227" i="2" l="1"/>
  <c r="F227" i="2" s="1"/>
  <c r="G227" i="2"/>
  <c r="C228" i="2"/>
  <c r="G228" i="2" l="1"/>
  <c r="D228" i="2"/>
  <c r="F228" i="2" s="1"/>
  <c r="C229" i="2"/>
  <c r="G229" i="2" l="1"/>
  <c r="C230" i="2"/>
  <c r="D229" i="2"/>
  <c r="F229" i="2" s="1"/>
  <c r="G230" i="2" l="1"/>
  <c r="D230" i="2"/>
  <c r="F230" i="2" s="1"/>
  <c r="C231" i="2"/>
  <c r="G231" i="2" l="1"/>
  <c r="D231" i="2"/>
  <c r="F231" i="2" s="1"/>
  <c r="C232" i="2"/>
  <c r="C233" i="2" l="1"/>
  <c r="G232" i="2"/>
  <c r="D232" i="2"/>
  <c r="F232" i="2" s="1"/>
  <c r="C234" i="2" l="1"/>
  <c r="D233" i="2"/>
  <c r="F233" i="2" s="1"/>
  <c r="G233" i="2"/>
  <c r="D234" i="2" l="1"/>
  <c r="F234" i="2" s="1"/>
  <c r="C235" i="2"/>
  <c r="G234" i="2"/>
  <c r="D235" i="2" l="1"/>
  <c r="F235" i="2" s="1"/>
  <c r="G235" i="2"/>
  <c r="C236" i="2"/>
  <c r="G236" i="2" l="1"/>
  <c r="D236" i="2"/>
  <c r="F236" i="2" s="1"/>
  <c r="C237" i="2"/>
  <c r="G237" i="2" l="1"/>
  <c r="D237" i="2"/>
  <c r="F237" i="2" s="1"/>
  <c r="C238" i="2"/>
  <c r="G238" i="2" l="1"/>
  <c r="D238" i="2"/>
  <c r="F238" i="2" s="1"/>
  <c r="C239" i="2"/>
  <c r="C240" i="2" l="1"/>
  <c r="G239" i="2"/>
  <c r="D239" i="2"/>
  <c r="F239" i="2" s="1"/>
  <c r="C241" i="2" l="1"/>
  <c r="D240" i="2"/>
  <c r="F240" i="2" s="1"/>
  <c r="G240" i="2"/>
  <c r="C242" i="2" l="1"/>
  <c r="G241" i="2"/>
  <c r="D241" i="2"/>
  <c r="F241" i="2" s="1"/>
  <c r="D242" i="2" l="1"/>
  <c r="F242" i="2" s="1"/>
  <c r="C243" i="2"/>
  <c r="G242" i="2"/>
  <c r="D243" i="2" l="1"/>
  <c r="F243" i="2" s="1"/>
  <c r="C244" i="2"/>
  <c r="G243" i="2"/>
  <c r="G244" i="2" l="1"/>
  <c r="D244" i="2"/>
  <c r="F244" i="2" s="1"/>
  <c r="C245" i="2"/>
  <c r="G245" i="2" l="1"/>
  <c r="C246" i="2"/>
  <c r="D245" i="2"/>
  <c r="F245" i="2" s="1"/>
  <c r="G246" i="2" l="1"/>
  <c r="C247" i="2"/>
  <c r="D246" i="2"/>
  <c r="F246" i="2" s="1"/>
  <c r="G247" i="2" l="1"/>
  <c r="C248" i="2"/>
  <c r="D247" i="2"/>
  <c r="F247" i="2" s="1"/>
  <c r="C249" i="2" l="1"/>
  <c r="G248" i="2"/>
  <c r="D248" i="2"/>
  <c r="F248" i="2" s="1"/>
  <c r="D249" i="2" l="1"/>
  <c r="F249" i="2" s="1"/>
  <c r="C250" i="2"/>
  <c r="G249" i="2"/>
  <c r="G250" i="2" l="1"/>
  <c r="D250" i="2"/>
  <c r="F250" i="2" s="1"/>
  <c r="C251" i="2"/>
  <c r="C252" i="2" l="1"/>
  <c r="G251" i="2"/>
  <c r="D251" i="2"/>
  <c r="F251" i="2" s="1"/>
  <c r="D252" i="2" l="1"/>
  <c r="F252" i="2" s="1"/>
  <c r="C253" i="2"/>
  <c r="G252" i="2"/>
  <c r="D253" i="2" l="1"/>
  <c r="F253" i="2" s="1"/>
  <c r="C254" i="2"/>
  <c r="G253" i="2"/>
  <c r="D254" i="2" l="1"/>
  <c r="F254" i="2" s="1"/>
  <c r="C255" i="2"/>
  <c r="G254" i="2"/>
  <c r="G255" i="2" l="1"/>
  <c r="D255" i="2"/>
  <c r="F255" i="2" s="1"/>
  <c r="C256" i="2"/>
  <c r="G256" i="2" l="1"/>
  <c r="D256" i="2"/>
  <c r="F256" i="2" s="1"/>
  <c r="C257" i="2"/>
  <c r="G257" i="2" l="1"/>
  <c r="C258" i="2"/>
  <c r="D257" i="2"/>
  <c r="F257" i="2" s="1"/>
  <c r="C259" i="2" l="1"/>
  <c r="G258" i="2"/>
  <c r="D258" i="2"/>
  <c r="F258" i="2" s="1"/>
  <c r="C260" i="2" l="1"/>
  <c r="G259" i="2"/>
  <c r="D259" i="2"/>
  <c r="F259" i="2" s="1"/>
  <c r="G260" i="2" l="1"/>
  <c r="D260" i="2"/>
  <c r="F260" i="2" s="1"/>
  <c r="C261" i="2"/>
  <c r="D261" i="2" l="1"/>
  <c r="F261" i="2" s="1"/>
  <c r="C262" i="2"/>
  <c r="G261" i="2"/>
  <c r="C263" i="2" l="1"/>
  <c r="G262" i="2"/>
  <c r="D262" i="2"/>
  <c r="F262" i="2" s="1"/>
  <c r="G263" i="2" l="1"/>
  <c r="D263" i="2"/>
  <c r="F263" i="2" s="1"/>
  <c r="C264" i="2"/>
  <c r="G264" i="2" l="1"/>
  <c r="D264" i="2"/>
  <c r="F264" i="2" s="1"/>
  <c r="C265" i="2"/>
  <c r="G265" i="2" l="1"/>
  <c r="D265" i="2"/>
  <c r="F265" i="2" s="1"/>
  <c r="C266" i="2"/>
  <c r="C267" i="2" l="1"/>
  <c r="G266" i="2"/>
  <c r="D266" i="2"/>
  <c r="F266" i="2" s="1"/>
  <c r="C268" i="2" l="1"/>
  <c r="D267" i="2"/>
  <c r="F267" i="2" s="1"/>
  <c r="G267" i="2"/>
  <c r="G268" i="2" l="1"/>
  <c r="D268" i="2"/>
  <c r="F268" i="2" s="1"/>
  <c r="C269" i="2"/>
  <c r="D269" i="2" l="1"/>
  <c r="F269" i="2" s="1"/>
  <c r="C270" i="2"/>
  <c r="G269" i="2"/>
  <c r="C271" i="2" l="1"/>
  <c r="G270" i="2"/>
  <c r="D270" i="2"/>
  <c r="F270" i="2" s="1"/>
  <c r="G271" i="2" l="1"/>
  <c r="D271" i="2"/>
  <c r="F271" i="2" s="1"/>
  <c r="C272" i="2"/>
  <c r="G272" i="2" l="1"/>
  <c r="D272" i="2"/>
  <c r="F272" i="2" s="1"/>
  <c r="C273" i="2"/>
  <c r="G273" i="2" l="1"/>
  <c r="C274" i="2"/>
  <c r="D273" i="2"/>
  <c r="F273" i="2" s="1"/>
  <c r="C275" i="2" l="1"/>
  <c r="G274" i="2"/>
  <c r="D274" i="2"/>
  <c r="F274" i="2" s="1"/>
  <c r="C276" i="2" l="1"/>
  <c r="G275" i="2"/>
  <c r="D275" i="2"/>
  <c r="F275" i="2" s="1"/>
  <c r="G276" i="2" l="1"/>
  <c r="D276" i="2"/>
  <c r="F276" i="2" s="1"/>
  <c r="C277" i="2"/>
  <c r="D277" i="2" l="1"/>
  <c r="F277" i="2" s="1"/>
  <c r="C278" i="2"/>
  <c r="G277" i="2"/>
  <c r="C279" i="2" l="1"/>
  <c r="G278" i="2"/>
  <c r="D278" i="2"/>
  <c r="F278" i="2" s="1"/>
  <c r="G279" i="2" l="1"/>
  <c r="D279" i="2"/>
  <c r="F279" i="2" s="1"/>
  <c r="C280" i="2"/>
  <c r="G280" i="2" l="1"/>
  <c r="D280" i="2"/>
  <c r="F280" i="2" s="1"/>
  <c r="C281" i="2"/>
  <c r="G281" i="2" l="1"/>
  <c r="D281" i="2"/>
  <c r="F281" i="2" s="1"/>
  <c r="C282" i="2"/>
  <c r="C283" i="2" l="1"/>
  <c r="G282" i="2"/>
  <c r="D282" i="2"/>
  <c r="F282" i="2" s="1"/>
  <c r="C284" i="2" l="1"/>
  <c r="D283" i="2"/>
  <c r="F283" i="2" s="1"/>
  <c r="G283" i="2"/>
  <c r="G284" i="2" l="1"/>
  <c r="D284" i="2"/>
  <c r="F284" i="2" s="1"/>
  <c r="C285" i="2"/>
  <c r="D285" i="2" l="1"/>
  <c r="F285" i="2" s="1"/>
  <c r="C286" i="2"/>
  <c r="G285" i="2"/>
  <c r="C287" i="2" l="1"/>
  <c r="G286" i="2"/>
  <c r="D286" i="2"/>
  <c r="F286" i="2" s="1"/>
  <c r="G287" i="2" l="1"/>
  <c r="D287" i="2"/>
  <c r="F287" i="2" s="1"/>
  <c r="C288" i="2"/>
  <c r="G288" i="2" l="1"/>
  <c r="D288" i="2"/>
  <c r="F288" i="2" s="1"/>
  <c r="C289" i="2"/>
  <c r="G289" i="2" l="1"/>
  <c r="D289" i="2"/>
  <c r="F289" i="2" s="1"/>
  <c r="C290" i="2"/>
  <c r="C291" i="2" l="1"/>
  <c r="G290" i="2"/>
  <c r="D290" i="2"/>
  <c r="F290" i="2" s="1"/>
  <c r="C292" i="2" l="1"/>
  <c r="G291" i="2"/>
  <c r="D291" i="2"/>
  <c r="F291" i="2" s="1"/>
  <c r="C293" i="2" l="1"/>
  <c r="G292" i="2"/>
  <c r="D292" i="2"/>
  <c r="F292" i="2" s="1"/>
  <c r="D293" i="2" l="1"/>
  <c r="F293" i="2" s="1"/>
  <c r="C294" i="2"/>
  <c r="G293" i="2"/>
  <c r="D294" i="2" l="1"/>
  <c r="F294" i="2" s="1"/>
  <c r="C295" i="2"/>
  <c r="G294" i="2"/>
  <c r="G295" i="2" l="1"/>
  <c r="D295" i="2"/>
  <c r="F295" i="2" s="1"/>
  <c r="C296" i="2"/>
  <c r="G296" i="2" l="1"/>
  <c r="D296" i="2"/>
  <c r="F296" i="2" s="1"/>
  <c r="C297" i="2"/>
  <c r="G297" i="2" l="1"/>
  <c r="C298" i="2"/>
  <c r="D297" i="2"/>
  <c r="F297" i="2" s="1"/>
  <c r="D298" i="2" l="1"/>
  <c r="F298" i="2" s="1"/>
  <c r="C299" i="2"/>
  <c r="G298" i="2"/>
  <c r="C300" i="2" l="1"/>
  <c r="G299" i="2"/>
  <c r="D299" i="2"/>
  <c r="F299" i="2" s="1"/>
  <c r="C301" i="2" l="1"/>
  <c r="G300" i="2"/>
  <c r="D300" i="2"/>
  <c r="F300" i="2" s="1"/>
  <c r="D301" i="2" l="1"/>
  <c r="F301" i="2" s="1"/>
  <c r="C302" i="2"/>
  <c r="G301" i="2"/>
  <c r="D302" i="2" l="1"/>
  <c r="F302" i="2" s="1"/>
  <c r="G302" i="2"/>
  <c r="C303" i="2"/>
  <c r="G303" i="2" l="1"/>
  <c r="D303" i="2"/>
  <c r="F303" i="2" s="1"/>
  <c r="C304" i="2"/>
  <c r="G304" i="2" l="1"/>
  <c r="C305" i="2"/>
  <c r="D304" i="2"/>
  <c r="F304" i="2" s="1"/>
  <c r="G305" i="2" l="1"/>
  <c r="D305" i="2"/>
  <c r="F305" i="2" s="1"/>
  <c r="C306" i="2"/>
  <c r="G306" i="2" l="1"/>
  <c r="D306" i="2"/>
  <c r="F306" i="2" s="1"/>
  <c r="C307" i="2"/>
  <c r="C308" i="2" l="1"/>
  <c r="G307" i="2"/>
  <c r="D307" i="2"/>
  <c r="F307" i="2" s="1"/>
  <c r="C309" i="2" l="1"/>
  <c r="D308" i="2"/>
  <c r="F308" i="2" s="1"/>
  <c r="G308" i="2"/>
  <c r="D309" i="2" l="1"/>
  <c r="F309" i="2" s="1"/>
  <c r="C310" i="2"/>
  <c r="G309" i="2"/>
  <c r="D310" i="2" l="1"/>
  <c r="F310" i="2" s="1"/>
  <c r="C311" i="2"/>
  <c r="G310" i="2"/>
  <c r="G311" i="2" l="1"/>
  <c r="D311" i="2"/>
  <c r="F311" i="2" s="1"/>
  <c r="C312" i="2"/>
  <c r="G312" i="2" l="1"/>
  <c r="D312" i="2"/>
  <c r="F312" i="2" s="1"/>
  <c r="C313" i="2"/>
  <c r="G313" i="2" l="1"/>
  <c r="C314" i="2"/>
  <c r="D313" i="2"/>
  <c r="F313" i="2" s="1"/>
  <c r="C315" i="2" l="1"/>
  <c r="D314" i="2"/>
  <c r="F314" i="2" s="1"/>
  <c r="G314" i="2"/>
  <c r="C316" i="2" l="1"/>
  <c r="D315" i="2"/>
  <c r="F315" i="2" s="1"/>
  <c r="G315" i="2"/>
  <c r="C317" i="2" l="1"/>
  <c r="G316" i="2"/>
  <c r="D316" i="2"/>
  <c r="F316" i="2" s="1"/>
  <c r="D317" i="2" l="1"/>
  <c r="F317" i="2" s="1"/>
  <c r="C318" i="2"/>
  <c r="G317" i="2"/>
  <c r="D318" i="2" l="1"/>
  <c r="F318" i="2" s="1"/>
  <c r="C319" i="2"/>
  <c r="G318" i="2"/>
  <c r="G319" i="2" l="1"/>
  <c r="D319" i="2"/>
  <c r="F319" i="2" s="1"/>
  <c r="C320" i="2"/>
  <c r="G320" i="2" l="1"/>
  <c r="C321" i="2"/>
  <c r="D320" i="2"/>
  <c r="F320" i="2" s="1"/>
  <c r="G321" i="2" l="1"/>
  <c r="C322" i="2"/>
  <c r="D321" i="2"/>
  <c r="F321" i="2" s="1"/>
  <c r="G322" i="2" l="1"/>
  <c r="D322" i="2"/>
  <c r="F322" i="2" s="1"/>
  <c r="C323" i="2"/>
  <c r="C324" i="2" l="1"/>
  <c r="G323" i="2"/>
  <c r="D323" i="2"/>
  <c r="F323" i="2" s="1"/>
  <c r="C325" i="2" l="1"/>
  <c r="G324" i="2"/>
  <c r="D324" i="2"/>
  <c r="F324" i="2" s="1"/>
  <c r="D325" i="2" l="1"/>
  <c r="F325" i="2" s="1"/>
  <c r="C326" i="2"/>
  <c r="G325" i="2"/>
  <c r="D326" i="2" l="1"/>
  <c r="F326" i="2" s="1"/>
  <c r="G326" i="2"/>
  <c r="C327" i="2"/>
  <c r="G327" i="2" l="1"/>
  <c r="D327" i="2"/>
  <c r="F327" i="2" s="1"/>
  <c r="C328" i="2"/>
  <c r="G328" i="2" l="1"/>
  <c r="D328" i="2"/>
  <c r="F328" i="2" s="1"/>
  <c r="C329" i="2"/>
  <c r="C330" i="2" l="1"/>
  <c r="G329" i="2"/>
  <c r="D329" i="2"/>
  <c r="F329" i="2" s="1"/>
  <c r="C331" i="2" l="1"/>
  <c r="G330" i="2"/>
  <c r="D330" i="2"/>
  <c r="F330" i="2" s="1"/>
  <c r="D331" i="2" l="1"/>
  <c r="F331" i="2" s="1"/>
  <c r="C332" i="2"/>
  <c r="G331" i="2"/>
  <c r="G332" i="2" l="1"/>
  <c r="D332" i="2"/>
  <c r="F332" i="2" s="1"/>
  <c r="C333" i="2"/>
  <c r="G333" i="2" l="1"/>
  <c r="D333" i="2"/>
  <c r="F333" i="2" s="1"/>
  <c r="C334" i="2"/>
  <c r="C335" i="2" l="1"/>
  <c r="G334" i="2"/>
  <c r="D334" i="2"/>
  <c r="F334" i="2" s="1"/>
  <c r="G335" i="2" l="1"/>
  <c r="D335" i="2"/>
  <c r="F335" i="2" s="1"/>
  <c r="C336" i="2"/>
  <c r="G336" i="2" l="1"/>
  <c r="D336" i="2"/>
  <c r="F336" i="2" s="1"/>
  <c r="C337" i="2"/>
  <c r="C338" i="2" l="1"/>
  <c r="G337" i="2"/>
  <c r="D337" i="2"/>
  <c r="F337" i="2" s="1"/>
  <c r="C339" i="2" l="1"/>
  <c r="G338" i="2"/>
  <c r="D338" i="2"/>
  <c r="F338" i="2" s="1"/>
  <c r="D339" i="2" l="1"/>
  <c r="F339" i="2" s="1"/>
  <c r="C340" i="2"/>
  <c r="G339" i="2"/>
  <c r="G340" i="2" l="1"/>
  <c r="C341" i="2"/>
  <c r="D340" i="2"/>
  <c r="F340" i="2" s="1"/>
  <c r="G341" i="2" l="1"/>
  <c r="D341" i="2"/>
  <c r="F341" i="2" s="1"/>
  <c r="C342" i="2"/>
  <c r="C343" i="2" l="1"/>
  <c r="G342" i="2"/>
  <c r="D342" i="2"/>
  <c r="F342" i="2" s="1"/>
  <c r="G343" i="2" l="1"/>
  <c r="D343" i="2"/>
  <c r="F343" i="2" s="1"/>
  <c r="C344" i="2"/>
  <c r="G344" i="2" l="1"/>
  <c r="D344" i="2"/>
  <c r="F344" i="2" s="1"/>
  <c r="C345" i="2"/>
  <c r="C346" i="2" l="1"/>
  <c r="G345" i="2"/>
  <c r="D345" i="2"/>
  <c r="F345" i="2" s="1"/>
  <c r="C347" i="2" l="1"/>
  <c r="G346" i="2"/>
  <c r="D346" i="2"/>
  <c r="F346" i="2" s="1"/>
  <c r="D347" i="2" l="1"/>
  <c r="F347" i="2" s="1"/>
  <c r="C348" i="2"/>
  <c r="G347" i="2"/>
  <c r="D348" i="2" l="1"/>
  <c r="F348" i="2" s="1"/>
  <c r="C349" i="2"/>
  <c r="G348" i="2"/>
  <c r="G349" i="2" l="1"/>
  <c r="D349" i="2"/>
  <c r="F349" i="2" s="1"/>
  <c r="C350" i="2"/>
  <c r="G350" i="2" l="1"/>
  <c r="D350" i="2"/>
  <c r="F350" i="2" s="1"/>
  <c r="C351" i="2"/>
  <c r="G351" i="2" l="1"/>
  <c r="C352" i="2"/>
  <c r="D351" i="2"/>
  <c r="F351" i="2" s="1"/>
  <c r="C353" i="2" l="1"/>
  <c r="D352" i="2"/>
  <c r="F352" i="2" s="1"/>
  <c r="G352" i="2"/>
  <c r="C354" i="2" l="1"/>
  <c r="G353" i="2"/>
  <c r="D353" i="2"/>
  <c r="F353" i="2" s="1"/>
  <c r="C355" i="2" l="1"/>
  <c r="G354" i="2"/>
  <c r="D354" i="2"/>
  <c r="F354" i="2" s="1"/>
  <c r="D355" i="2" l="1"/>
  <c r="F355" i="2" s="1"/>
  <c r="C356" i="2"/>
  <c r="G355" i="2"/>
  <c r="D356" i="2" l="1"/>
  <c r="F356" i="2" s="1"/>
  <c r="C357" i="2"/>
  <c r="G356" i="2"/>
  <c r="G357" i="2" l="1"/>
  <c r="D357" i="2"/>
  <c r="F357" i="2" s="1"/>
  <c r="C358" i="2"/>
  <c r="G358" i="2" l="1"/>
  <c r="D358" i="2"/>
  <c r="F358" i="2" s="1"/>
  <c r="C359" i="2"/>
  <c r="G359" i="2" l="1"/>
  <c r="C360" i="2"/>
  <c r="D359" i="2"/>
  <c r="F359" i="2" s="1"/>
  <c r="D360" i="2" l="1"/>
  <c r="F360" i="2" s="1"/>
  <c r="G360" i="2"/>
  <c r="C361" i="2"/>
  <c r="C362" i="2" l="1"/>
  <c r="G361" i="2"/>
  <c r="D361" i="2"/>
  <c r="F361" i="2" s="1"/>
  <c r="C363" i="2" l="1"/>
  <c r="D362" i="2"/>
  <c r="F362" i="2" s="1"/>
  <c r="G362" i="2"/>
  <c r="D363" i="2" l="1"/>
  <c r="F363" i="2" s="1"/>
  <c r="C364" i="2"/>
  <c r="G363" i="2"/>
  <c r="D364" i="2" l="1"/>
  <c r="F364" i="2" s="1"/>
  <c r="G364" i="2"/>
  <c r="C365" i="2"/>
  <c r="G365" i="2" l="1"/>
  <c r="D365" i="2"/>
  <c r="F365" i="2" s="1"/>
  <c r="C366" i="2"/>
  <c r="G366" i="2" l="1"/>
  <c r="C367" i="2"/>
  <c r="D366" i="2"/>
  <c r="F366" i="2" s="1"/>
  <c r="G367" i="2" l="1"/>
  <c r="D367" i="2"/>
  <c r="F367" i="2" s="1"/>
  <c r="C368" i="2"/>
  <c r="G368" i="2" l="1"/>
  <c r="N3" i="2" s="1"/>
  <c r="D368" i="2"/>
  <c r="F36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Thiberio Cezar Moraes Da Silva</author>
  </authors>
  <commentList>
    <comment ref="C3" authorId="0" shapeId="0" xr:uid="{00000000-0006-0000-0100-000001000000}">
      <text>
        <r>
          <rPr>
            <sz val="9"/>
            <color indexed="81"/>
            <rFont val="Segoe UI"/>
            <charset val="1"/>
          </rPr>
          <t>Nesta coluna, você tem o valor que é necessário finalizar o dia e atingir sua meta.</t>
        </r>
      </text>
    </comment>
    <comment ref="D3" authorId="0" shapeId="0" xr:uid="{00000000-0006-0000-0100-000002000000}">
      <text>
        <r>
          <rPr>
            <sz val="9"/>
            <color indexed="81"/>
            <rFont val="Segoe UI"/>
            <family val="2"/>
          </rPr>
          <t xml:space="preserve">Nesta coluna, você temo valor que que você precisa lucrar no dia.
</t>
        </r>
      </text>
    </comment>
    <comment ref="E3" authorId="0" shapeId="0" xr:uid="{00000000-0006-0000-0100-000003000000}">
      <text>
        <r>
          <rPr>
            <sz val="9"/>
            <color indexed="81"/>
            <rFont val="Segoe UI"/>
            <charset val="1"/>
          </rPr>
          <t xml:space="preserve">Escolha quantas entradas você pretende dar para atingir sua meta.
</t>
        </r>
      </text>
    </comment>
    <comment ref="F3" authorId="0" shapeId="0" xr:uid="{00000000-0006-0000-0100-000004000000}">
      <text>
        <r>
          <rPr>
            <b/>
            <sz val="9"/>
            <color indexed="81"/>
            <rFont val="Segoe UI"/>
            <family val="2"/>
          </rPr>
          <t xml:space="preserve">Sugestão de Entrada: </t>
        </r>
        <r>
          <rPr>
            <sz val="9"/>
            <color indexed="81"/>
            <rFont val="Segoe UI"/>
            <charset val="1"/>
          </rPr>
          <t xml:space="preserve">Nesta coluna, você verá a sugestão de entrada para tingir a sua meta diária.
</t>
        </r>
      </text>
    </comment>
    <comment ref="H3" authorId="0" shapeId="0" xr:uid="{00000000-0006-0000-0100-000005000000}">
      <text>
        <r>
          <rPr>
            <sz val="9"/>
            <color indexed="81"/>
            <rFont val="Segoe UI"/>
            <charset val="1"/>
          </rPr>
          <t xml:space="preserve">Digite nesta coluna, o valor que você encerrou o dia.
</t>
        </r>
      </text>
    </comment>
    <comment ref="E4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Insira aqui</t>
        </r>
        <r>
          <rPr>
            <sz val="9"/>
            <color indexed="81"/>
            <rFont val="Segoe UI"/>
            <charset val="1"/>
          </rPr>
          <t xml:space="preserve"> o valor de retorno que o par de moeda escolhido oferece. Ex: 80%
</t>
        </r>
      </text>
    </comment>
  </commentList>
</comments>
</file>

<file path=xl/sharedStrings.xml><?xml version="1.0" encoding="utf-8"?>
<sst xmlns="http://schemas.openxmlformats.org/spreadsheetml/2006/main" count="406" uniqueCount="35">
  <si>
    <t>Configurações</t>
  </si>
  <si>
    <t>Banca Inicial:</t>
  </si>
  <si>
    <t>&lt;</t>
  </si>
  <si>
    <t>Digite ao lado o valor inicial da sua banca.</t>
  </si>
  <si>
    <t>Meta de Ganho:</t>
  </si>
  <si>
    <t>Digite ao lado o valor que você pretende ganhar. Caso contrário, deixe o valor zero.</t>
  </si>
  <si>
    <t>Lucro Diário:</t>
  </si>
  <si>
    <t>Digite ao lado o quanto você pretende ganhar diariamente.</t>
  </si>
  <si>
    <t>Projeção:</t>
  </si>
  <si>
    <r>
      <t xml:space="preserve">dias para atingir a sua </t>
    </r>
    <r>
      <rPr>
        <b/>
        <sz val="12"/>
        <color theme="8" tint="0.59999389629810485"/>
        <rFont val="Calibri"/>
        <family val="2"/>
        <scheme val="minor"/>
      </rPr>
      <t>Meta de Ganho</t>
    </r>
  </si>
  <si>
    <t>Dia</t>
  </si>
  <si>
    <t>Meta do dia</t>
  </si>
  <si>
    <t>Resultados do Dia</t>
  </si>
  <si>
    <t>Objetivo Financeiro</t>
  </si>
  <si>
    <t>Terminar com</t>
  </si>
  <si>
    <t>Lucro de</t>
  </si>
  <si>
    <t>Entrada(s)</t>
  </si>
  <si>
    <t>Em Caixa</t>
  </si>
  <si>
    <t>Lucro em R$</t>
  </si>
  <si>
    <t>Diferença</t>
  </si>
  <si>
    <t>Lucro em %</t>
  </si>
  <si>
    <t>Faltam</t>
  </si>
  <si>
    <t>Dia(s)</t>
  </si>
  <si>
    <t>em</t>
  </si>
  <si>
    <t>Total de Lucro</t>
  </si>
  <si>
    <t>&gt;</t>
  </si>
  <si>
    <t>Estimativa baseada em um ganho diário.</t>
  </si>
  <si>
    <t>Média de Lucro</t>
  </si>
  <si>
    <t>Sua Moeda:</t>
  </si>
  <si>
    <t>1.</t>
  </si>
  <si>
    <t>2.</t>
  </si>
  <si>
    <t>3.</t>
  </si>
  <si>
    <t>4.</t>
  </si>
  <si>
    <t>Sugestão de Entrada</t>
  </si>
  <si>
    <t>Moeda usada como base em nossa operações.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</si>
</sst>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* #,##0.00_-;\-&quot;R$&quot;* #,##0.00_-;_-&quot;R$&quot;* &quot;-&quot;??_-;_-@_-"/>
    <numFmt numFmtId="165" formatCode="&quot;R$&quot;#,##0.00"/>
    <numFmt numFmtId="166" formatCode="_-[$$-409]* #,##0.00_ ;_-[$$-409]* \-#,##0.00\ ;_-[$$-409]* &quot;-&quot;??_ ;_-@_ "/>
    <numFmt numFmtId="167" formatCode="_-[$€-2]\ * #,##0.00_-;\-[$€-2]\ * #,##0.00_-;_-[$€-2]\ * &quot;-&quot;??_-;_-@_-"/>
    <numFmt numFmtId="168" formatCode="_-[$$-F0000]* #,##0.00_ ;_-[$$-F0000]* \-#,##0.00\ ;_-[$$-F0000]* &quot;-&quot;??_ ;_-@_ 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8" tint="0.59999389629810485"/>
      <name val="Calibri"/>
      <family val="2"/>
      <scheme val="minor"/>
    </font>
    <font>
      <sz val="12"/>
      <color theme="8" tint="0.59999389629810485"/>
      <name val="Calibri"/>
      <family val="2"/>
      <scheme val="minor"/>
    </font>
    <font>
      <b/>
      <sz val="12"/>
      <color theme="8" tint="0.59999389629810485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4"/>
      <color rgb="FF142340"/>
      <name val="Calibri"/>
      <family val="2"/>
      <scheme val="minor"/>
    </font>
    <font>
      <sz val="11"/>
      <color rgb="FF142340"/>
      <name val="Calibri"/>
      <family val="2"/>
      <scheme val="minor"/>
    </font>
    <font>
      <sz val="9"/>
      <color theme="5"/>
      <name val="Calibri"/>
      <family val="2"/>
      <scheme val="minor"/>
    </font>
    <font>
      <b/>
      <sz val="11"/>
      <color rgb="FF14234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9"/>
      <color theme="8" tint="0.59999389629810485"/>
      <name val="Calibri"/>
      <family val="2"/>
      <scheme val="minor"/>
    </font>
    <font>
      <b/>
      <sz val="11"/>
      <color theme="8" tint="0.59999389629810485"/>
      <name val="Calibri"/>
      <family val="2"/>
      <scheme val="minor"/>
    </font>
    <font>
      <b/>
      <sz val="10"/>
      <color rgb="FF142340"/>
      <name val="Calibri"/>
      <family val="2"/>
      <scheme val="minor"/>
    </font>
    <font>
      <sz val="9"/>
      <color indexed="81"/>
      <name val="Segoe UI"/>
      <charset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DF5F5F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rgb="FF1423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rgb="FF142340"/>
      <name val="Calibri"/>
      <family val="2"/>
      <scheme val="minor"/>
    </font>
    <font>
      <sz val="10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4234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E0A2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4" borderId="0" xfId="2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11" fillId="4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65" fontId="6" fillId="2" borderId="0" xfId="1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 wrapText="1"/>
    </xf>
    <xf numFmtId="165" fontId="6" fillId="2" borderId="0" xfId="1" applyNumberFormat="1" applyFont="1" applyFill="1" applyAlignment="1">
      <alignment vertical="center"/>
    </xf>
    <xf numFmtId="0" fontId="15" fillId="2" borderId="0" xfId="0" applyFont="1" applyFill="1" applyBorder="1" applyAlignment="1">
      <alignment vertical="center"/>
    </xf>
    <xf numFmtId="165" fontId="16" fillId="2" borderId="1" xfId="1" applyNumberFormat="1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0" fontId="16" fillId="2" borderId="5" xfId="0" applyFont="1" applyFill="1" applyBorder="1" applyAlignment="1">
      <alignment horizontal="left" vertical="center"/>
    </xf>
    <xf numFmtId="0" fontId="6" fillId="2" borderId="7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vertical="center"/>
    </xf>
    <xf numFmtId="10" fontId="6" fillId="2" borderId="0" xfId="2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0" fontId="26" fillId="2" borderId="2" xfId="2" applyNumberFormat="1" applyFont="1" applyFill="1" applyBorder="1" applyAlignment="1">
      <alignment horizontal="center" vertical="center"/>
    </xf>
    <xf numFmtId="165" fontId="13" fillId="2" borderId="0" xfId="1" applyNumberFormat="1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vertical="center" wrapText="1"/>
    </xf>
    <xf numFmtId="165" fontId="13" fillId="2" borderId="0" xfId="1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165" fontId="27" fillId="2" borderId="0" xfId="1" applyNumberFormat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0" fontId="16" fillId="2" borderId="5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horizontal="center" vertical="center"/>
    </xf>
    <xf numFmtId="0" fontId="16" fillId="2" borderId="7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10" fontId="26" fillId="2" borderId="4" xfId="2" applyNumberFormat="1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166" fontId="0" fillId="2" borderId="0" xfId="0" applyNumberFormat="1" applyFill="1" applyAlignment="1">
      <alignment vertical="center"/>
    </xf>
    <xf numFmtId="167" fontId="0" fillId="2" borderId="0" xfId="0" applyNumberFormat="1" applyFill="1" applyAlignment="1">
      <alignment vertical="center"/>
    </xf>
    <xf numFmtId="167" fontId="6" fillId="2" borderId="0" xfId="0" applyNumberFormat="1" applyFont="1" applyFill="1" applyAlignment="1">
      <alignment vertical="center"/>
    </xf>
    <xf numFmtId="167" fontId="16" fillId="2" borderId="0" xfId="0" applyNumberFormat="1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29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6" fillId="2" borderId="0" xfId="0" applyFont="1" applyFill="1" applyAlignment="1">
      <alignment horizontal="right" vertical="center"/>
    </xf>
    <xf numFmtId="165" fontId="31" fillId="2" borderId="1" xfId="1" applyNumberFormat="1" applyFont="1" applyFill="1" applyBorder="1" applyAlignment="1">
      <alignment horizontal="center" vertical="center"/>
    </xf>
    <xf numFmtId="165" fontId="32" fillId="2" borderId="0" xfId="1" applyNumberFormat="1" applyFont="1" applyFill="1" applyAlignment="1">
      <alignment horizontal="center" vertical="center"/>
    </xf>
    <xf numFmtId="10" fontId="14" fillId="2" borderId="0" xfId="2" applyNumberFormat="1" applyFont="1" applyFill="1" applyAlignment="1">
      <alignment horizontal="left" vertical="center" indent="1"/>
    </xf>
    <xf numFmtId="10" fontId="16" fillId="2" borderId="1" xfId="2" applyNumberFormat="1" applyFont="1" applyFill="1" applyBorder="1" applyAlignment="1">
      <alignment horizontal="center" vertical="center"/>
    </xf>
    <xf numFmtId="10" fontId="25" fillId="2" borderId="6" xfId="2" applyNumberFormat="1" applyFont="1" applyFill="1" applyBorder="1" applyAlignment="1">
      <alignment horizontal="center" vertical="center"/>
    </xf>
    <xf numFmtId="10" fontId="25" fillId="2" borderId="1" xfId="2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9" fontId="5" fillId="3" borderId="0" xfId="2" applyFont="1" applyFill="1" applyAlignment="1" applyProtection="1">
      <alignment horizontal="center" vertical="center"/>
      <protection locked="0"/>
    </xf>
    <xf numFmtId="165" fontId="16" fillId="3" borderId="1" xfId="1" applyNumberFormat="1" applyFont="1" applyFill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horizontal="center" vertical="center"/>
      <protection locked="0"/>
    </xf>
    <xf numFmtId="9" fontId="19" fillId="3" borderId="1" xfId="2" applyFont="1" applyFill="1" applyBorder="1" applyAlignment="1" applyProtection="1">
      <alignment horizontal="center" vertical="center"/>
      <protection locked="0"/>
    </xf>
    <xf numFmtId="168" fontId="11" fillId="2" borderId="1" xfId="1" applyNumberFormat="1" applyFont="1" applyFill="1" applyBorder="1" applyAlignment="1">
      <alignment horizontal="center" vertical="center"/>
    </xf>
    <xf numFmtId="168" fontId="31" fillId="2" borderId="1" xfId="1" applyNumberFormat="1" applyFont="1" applyFill="1" applyBorder="1" applyAlignment="1">
      <alignment horizontal="center" vertical="center"/>
    </xf>
    <xf numFmtId="168" fontId="20" fillId="3" borderId="1" xfId="1" applyNumberFormat="1" applyFont="1" applyFill="1" applyBorder="1" applyAlignment="1" applyProtection="1">
      <alignment horizontal="center" vertical="center"/>
      <protection locked="0"/>
    </xf>
    <xf numFmtId="168" fontId="25" fillId="2" borderId="1" xfId="2" applyNumberFormat="1" applyFont="1" applyFill="1" applyBorder="1" applyAlignment="1">
      <alignment horizontal="center" vertical="center"/>
    </xf>
    <xf numFmtId="168" fontId="25" fillId="2" borderId="0" xfId="2" applyNumberFormat="1" applyFont="1" applyFill="1" applyAlignment="1">
      <alignment horizontal="center" vertical="center"/>
    </xf>
    <xf numFmtId="168" fontId="26" fillId="2" borderId="2" xfId="0" applyNumberFormat="1" applyFont="1" applyFill="1" applyBorder="1" applyAlignment="1">
      <alignment horizontal="center" vertical="center"/>
    </xf>
    <xf numFmtId="168" fontId="5" fillId="3" borderId="0" xfId="1" applyNumberFormat="1" applyFont="1" applyFill="1" applyAlignment="1" applyProtection="1">
      <alignment vertical="center"/>
      <protection locked="0"/>
    </xf>
    <xf numFmtId="0" fontId="15" fillId="6" borderId="4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16" fillId="2" borderId="8" xfId="0" applyNumberFormat="1" applyFont="1" applyFill="1" applyBorder="1" applyAlignment="1">
      <alignment horizontal="left" vertical="center"/>
    </xf>
    <xf numFmtId="0" fontId="16" fillId="2" borderId="5" xfId="0" applyNumberFormat="1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7" borderId="10" xfId="0" applyFont="1" applyFill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color rgb="FFDF5F5F"/>
      </font>
    </dxf>
    <dxf>
      <font>
        <color theme="5"/>
      </font>
    </dxf>
    <dxf>
      <font>
        <color theme="5"/>
      </font>
    </dxf>
    <dxf>
      <font>
        <color rgb="FFDF5F5F"/>
      </font>
    </dxf>
    <dxf>
      <font>
        <color theme="5"/>
      </font>
    </dxf>
    <dxf>
      <font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color theme="5"/>
      </font>
    </dxf>
    <dxf>
      <font>
        <color theme="5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142340"/>
      <color rgb="FFD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Gerenciamento!$B$2:$B$3</c:f>
              <c:strCache>
                <c:ptCount val="2"/>
                <c:pt idx="0">
                  <c:v>Dia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Gerenciamento!$B$4:$B$368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3-40CC-9367-1CC73A64A169}"/>
            </c:ext>
          </c:extLst>
        </c:ser>
        <c:ser>
          <c:idx val="1"/>
          <c:order val="1"/>
          <c:tx>
            <c:strRef>
              <c:f>Gerenciamento!$C$2:$C$3</c:f>
              <c:strCache>
                <c:ptCount val="2"/>
                <c:pt idx="0">
                  <c:v>Meta do dia</c:v>
                </c:pt>
                <c:pt idx="1">
                  <c:v>Terminar 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Gerenciamento!$C$4:$C$368</c:f>
              <c:numCache>
                <c:formatCode>_-[$$-F0000]* #,##0.00_ ;_-[$$-F0000]* \-#,##0.00\ ;_-[$$-F0000]* "-"??_ ;_-@_ </c:formatCode>
                <c:ptCount val="365"/>
                <c:pt idx="0">
                  <c:v>40.4</c:v>
                </c:pt>
                <c:pt idx="1">
                  <c:v>40.804000000000002</c:v>
                </c:pt>
                <c:pt idx="2">
                  <c:v>41.212040000000002</c:v>
                </c:pt>
                <c:pt idx="3">
                  <c:v>41.624160400000001</c:v>
                </c:pt>
                <c:pt idx="4">
                  <c:v>42.040402004000001</c:v>
                </c:pt>
                <c:pt idx="5">
                  <c:v>42.460806024040004</c:v>
                </c:pt>
                <c:pt idx="6">
                  <c:v>42.885414084280406</c:v>
                </c:pt>
                <c:pt idx="7">
                  <c:v>43.314268225123207</c:v>
                </c:pt>
                <c:pt idx="8">
                  <c:v>43.747410907374437</c:v>
                </c:pt>
                <c:pt idx="9">
                  <c:v>44.184885016448185</c:v>
                </c:pt>
                <c:pt idx="10">
                  <c:v>44.626733866612668</c:v>
                </c:pt>
                <c:pt idx="11">
                  <c:v>45.073001205278793</c:v>
                </c:pt>
                <c:pt idx="12">
                  <c:v>45.52373121733158</c:v>
                </c:pt>
                <c:pt idx="13">
                  <c:v>45.978968529504897</c:v>
                </c:pt>
                <c:pt idx="14">
                  <c:v>46.438758214799947</c:v>
                </c:pt>
                <c:pt idx="15">
                  <c:v>46.903145796947946</c:v>
                </c:pt>
                <c:pt idx="16">
                  <c:v>47.372177254917425</c:v>
                </c:pt>
                <c:pt idx="17">
                  <c:v>47.845899027466601</c:v>
                </c:pt>
                <c:pt idx="18">
                  <c:v>48.324358017741268</c:v>
                </c:pt>
                <c:pt idx="19">
                  <c:v>48.807601597918683</c:v>
                </c:pt>
                <c:pt idx="20">
                  <c:v>49.295677613897873</c:v>
                </c:pt>
                <c:pt idx="21">
                  <c:v>49.788634390036854</c:v>
                </c:pt>
                <c:pt idx="22">
                  <c:v>50.286520733937223</c:v>
                </c:pt>
                <c:pt idx="23">
                  <c:v>50.789385941276592</c:v>
                </c:pt>
                <c:pt idx="24">
                  <c:v>51.29727980068936</c:v>
                </c:pt>
                <c:pt idx="25">
                  <c:v>51.810252598696252</c:v>
                </c:pt>
                <c:pt idx="26">
                  <c:v>52.328355124683213</c:v>
                </c:pt>
                <c:pt idx="27">
                  <c:v>52.851638675930047</c:v>
                </c:pt>
                <c:pt idx="28">
                  <c:v>53.380155062689347</c:v>
                </c:pt>
                <c:pt idx="29">
                  <c:v>53.913956613316238</c:v>
                </c:pt>
                <c:pt idx="30">
                  <c:v>54.453096179449403</c:v>
                </c:pt>
                <c:pt idx="31">
                  <c:v>54.997627141243896</c:v>
                </c:pt>
                <c:pt idx="32">
                  <c:v>55.547603412656336</c:v>
                </c:pt>
                <c:pt idx="33">
                  <c:v>56.1030794467829</c:v>
                </c:pt>
                <c:pt idx="34">
                  <c:v>56.664110241250725</c:v>
                </c:pt>
                <c:pt idx="35">
                  <c:v>57.230751343663229</c:v>
                </c:pt>
                <c:pt idx="36">
                  <c:v>57.803058857099863</c:v>
                </c:pt>
                <c:pt idx="37">
                  <c:v>58.38108944567086</c:v>
                </c:pt>
                <c:pt idx="38">
                  <c:v>58.964900340127571</c:v>
                </c:pt>
                <c:pt idx="39">
                  <c:v>59.554549343528848</c:v>
                </c:pt>
                <c:pt idx="40">
                  <c:v>60.150094836964136</c:v>
                </c:pt>
                <c:pt idx="41">
                  <c:v>60.751595785333777</c:v>
                </c:pt>
                <c:pt idx="42">
                  <c:v>61.359111743187114</c:v>
                </c:pt>
                <c:pt idx="43">
                  <c:v>61.972702860618988</c:v>
                </c:pt>
                <c:pt idx="44">
                  <c:v>62.59242988922518</c:v>
                </c:pt>
                <c:pt idx="45">
                  <c:v>63.218354188117431</c:v>
                </c:pt>
                <c:pt idx="46">
                  <c:v>63.850537729998607</c:v>
                </c:pt>
                <c:pt idx="47">
                  <c:v>64.489043107298599</c:v>
                </c:pt>
                <c:pt idx="48">
                  <c:v>65.133933538371579</c:v>
                </c:pt>
                <c:pt idx="49">
                  <c:v>65.785272873755289</c:v>
                </c:pt>
                <c:pt idx="50">
                  <c:v>66.443125602492842</c:v>
                </c:pt>
                <c:pt idx="51">
                  <c:v>67.107556858517768</c:v>
                </c:pt>
                <c:pt idx="52">
                  <c:v>67.778632427102949</c:v>
                </c:pt>
                <c:pt idx="53">
                  <c:v>68.456418751373974</c:v>
                </c:pt>
                <c:pt idx="54">
                  <c:v>69.140982938887717</c:v>
                </c:pt>
                <c:pt idx="55">
                  <c:v>69.832392768276591</c:v>
                </c:pt>
                <c:pt idx="56">
                  <c:v>70.530716695959356</c:v>
                </c:pt>
                <c:pt idx="57">
                  <c:v>71.236023862918955</c:v>
                </c:pt>
                <c:pt idx="58">
                  <c:v>71.948384101548143</c:v>
                </c:pt>
                <c:pt idx="59">
                  <c:v>72.667867942563618</c:v>
                </c:pt>
                <c:pt idx="60">
                  <c:v>73.39454662198925</c:v>
                </c:pt>
                <c:pt idx="61">
                  <c:v>74.128492088209143</c:v>
                </c:pt>
                <c:pt idx="62">
                  <c:v>74.869777009091237</c:v>
                </c:pt>
                <c:pt idx="63">
                  <c:v>75.618474779182151</c:v>
                </c:pt>
                <c:pt idx="64">
                  <c:v>76.374659526973971</c:v>
                </c:pt>
                <c:pt idx="65">
                  <c:v>77.138406122243708</c:v>
                </c:pt>
                <c:pt idx="66">
                  <c:v>77.909790183466143</c:v>
                </c:pt>
                <c:pt idx="67">
                  <c:v>78.688888085300803</c:v>
                </c:pt>
                <c:pt idx="68">
                  <c:v>79.475776966153816</c:v>
                </c:pt>
                <c:pt idx="69">
                  <c:v>80.27053473581536</c:v>
                </c:pt>
                <c:pt idx="70">
                  <c:v>81.073240083173516</c:v>
                </c:pt>
                <c:pt idx="71">
                  <c:v>81.883972484005255</c:v>
                </c:pt>
                <c:pt idx="72">
                  <c:v>82.702812208845302</c:v>
                </c:pt>
                <c:pt idx="73">
                  <c:v>83.529840330933752</c:v>
                </c:pt>
                <c:pt idx="74">
                  <c:v>84.365138734243089</c:v>
                </c:pt>
                <c:pt idx="75">
                  <c:v>85.208790121585523</c:v>
                </c:pt>
                <c:pt idx="76">
                  <c:v>86.060878022801376</c:v>
                </c:pt>
                <c:pt idx="77">
                  <c:v>86.921486803029396</c:v>
                </c:pt>
                <c:pt idx="78">
                  <c:v>87.790701671059693</c:v>
                </c:pt>
                <c:pt idx="79">
                  <c:v>88.668608687770288</c:v>
                </c:pt>
                <c:pt idx="80">
                  <c:v>89.55529477464799</c:v>
                </c:pt>
                <c:pt idx="81">
                  <c:v>90.450847722394471</c:v>
                </c:pt>
                <c:pt idx="82">
                  <c:v>91.355356199618413</c:v>
                </c:pt>
                <c:pt idx="83">
                  <c:v>92.268909761614594</c:v>
                </c:pt>
                <c:pt idx="84">
                  <c:v>93.191598859230737</c:v>
                </c:pt>
                <c:pt idx="85">
                  <c:v>94.123514847823046</c:v>
                </c:pt>
                <c:pt idx="86">
                  <c:v>95.064749996301273</c:v>
                </c:pt>
                <c:pt idx="87">
                  <c:v>96.015397496264285</c:v>
                </c:pt>
                <c:pt idx="88">
                  <c:v>96.975551471226922</c:v>
                </c:pt>
                <c:pt idx="89">
                  <c:v>97.945306985939197</c:v>
                </c:pt>
                <c:pt idx="90">
                  <c:v>98.924760055798586</c:v>
                </c:pt>
                <c:pt idx="91">
                  <c:v>99.914007656356574</c:v>
                </c:pt>
                <c:pt idx="92">
                  <c:v>100.91314773292014</c:v>
                </c:pt>
                <c:pt idx="93">
                  <c:v>101.92227921024934</c:v>
                </c:pt>
                <c:pt idx="94">
                  <c:v>102.94150200235184</c:v>
                </c:pt>
                <c:pt idx="95">
                  <c:v>103.97091702237536</c:v>
                </c:pt>
                <c:pt idx="96">
                  <c:v>105.01062619259912</c:v>
                </c:pt>
                <c:pt idx="97">
                  <c:v>106.06073245452511</c:v>
                </c:pt>
                <c:pt idx="98">
                  <c:v>107.12133977907035</c:v>
                </c:pt>
                <c:pt idx="99">
                  <c:v>108.19255317686105</c:v>
                </c:pt>
                <c:pt idx="100">
                  <c:v>109.27447870862966</c:v>
                </c:pt>
                <c:pt idx="101">
                  <c:v>110.36722349571596</c:v>
                </c:pt>
                <c:pt idx="102">
                  <c:v>111.47089573067312</c:v>
                </c:pt>
                <c:pt idx="103">
                  <c:v>112.58560468797985</c:v>
                </c:pt>
                <c:pt idx="104">
                  <c:v>113.71146073485966</c:v>
                </c:pt>
                <c:pt idx="105">
                  <c:v>114.84857534220825</c:v>
                </c:pt>
                <c:pt idx="106">
                  <c:v>115.99706109563033</c:v>
                </c:pt>
                <c:pt idx="107">
                  <c:v>117.15703170658664</c:v>
                </c:pt>
                <c:pt idx="108">
                  <c:v>118.32860202365251</c:v>
                </c:pt>
                <c:pt idx="109">
                  <c:v>119.51188804388903</c:v>
                </c:pt>
                <c:pt idx="110">
                  <c:v>120.70700692432791</c:v>
                </c:pt>
                <c:pt idx="111">
                  <c:v>121.91407699357119</c:v>
                </c:pt>
                <c:pt idx="112">
                  <c:v>123.13321776350689</c:v>
                </c:pt>
                <c:pt idx="113">
                  <c:v>124.36454994114196</c:v>
                </c:pt>
                <c:pt idx="114">
                  <c:v>125.60819544055337</c:v>
                </c:pt>
                <c:pt idx="115">
                  <c:v>126.8642773949589</c:v>
                </c:pt>
                <c:pt idx="116">
                  <c:v>128.1329201689085</c:v>
                </c:pt>
                <c:pt idx="117">
                  <c:v>129.41424937059759</c:v>
                </c:pt>
                <c:pt idx="118">
                  <c:v>130.70839186430356</c:v>
                </c:pt>
                <c:pt idx="119">
                  <c:v>132.0154757829466</c:v>
                </c:pt>
                <c:pt idx="120">
                  <c:v>133.33563054077607</c:v>
                </c:pt>
                <c:pt idx="121">
                  <c:v>134.66898684618383</c:v>
                </c:pt>
                <c:pt idx="122">
                  <c:v>136.01567671464568</c:v>
                </c:pt>
                <c:pt idx="123">
                  <c:v>137.37583348179214</c:v>
                </c:pt>
                <c:pt idx="124">
                  <c:v>138.74959181661006</c:v>
                </c:pt>
                <c:pt idx="125">
                  <c:v>140.13708773477617</c:v>
                </c:pt>
                <c:pt idx="126">
                  <c:v>141.53845861212395</c:v>
                </c:pt>
                <c:pt idx="127">
                  <c:v>142.95384319824518</c:v>
                </c:pt>
                <c:pt idx="128">
                  <c:v>144.38338163022763</c:v>
                </c:pt>
                <c:pt idx="129">
                  <c:v>145.82721544652992</c:v>
                </c:pt>
                <c:pt idx="130">
                  <c:v>147.28548760099522</c:v>
                </c:pt>
                <c:pt idx="131">
                  <c:v>148.75834247700519</c:v>
                </c:pt>
                <c:pt idx="132">
                  <c:v>150.24592590177525</c:v>
                </c:pt>
                <c:pt idx="133">
                  <c:v>151.74838516079299</c:v>
                </c:pt>
                <c:pt idx="134">
                  <c:v>153.26586901240091</c:v>
                </c:pt>
                <c:pt idx="135">
                  <c:v>154.79852770252492</c:v>
                </c:pt>
                <c:pt idx="136">
                  <c:v>156.34651297955017</c:v>
                </c:pt>
                <c:pt idx="137">
                  <c:v>157.90997810934567</c:v>
                </c:pt>
                <c:pt idx="138">
                  <c:v>159.48907789043912</c:v>
                </c:pt>
                <c:pt idx="139">
                  <c:v>161.08396866934351</c:v>
                </c:pt>
                <c:pt idx="140">
                  <c:v>162.69480835603693</c:v>
                </c:pt>
                <c:pt idx="141">
                  <c:v>164.32175643959729</c:v>
                </c:pt>
                <c:pt idx="142">
                  <c:v>165.96497400399326</c:v>
                </c:pt>
                <c:pt idx="143">
                  <c:v>167.62462374403319</c:v>
                </c:pt>
                <c:pt idx="144">
                  <c:v>169.30086998147351</c:v>
                </c:pt>
                <c:pt idx="145">
                  <c:v>170.99387868128824</c:v>
                </c:pt>
                <c:pt idx="146">
                  <c:v>172.70381746810111</c:v>
                </c:pt>
                <c:pt idx="147">
                  <c:v>174.43085564278212</c:v>
                </c:pt>
                <c:pt idx="148">
                  <c:v>176.17516419920995</c:v>
                </c:pt>
                <c:pt idx="149">
                  <c:v>177.93691584120205</c:v>
                </c:pt>
                <c:pt idx="150">
                  <c:v>179.71628499961406</c:v>
                </c:pt>
                <c:pt idx="151">
                  <c:v>181.5134478496102</c:v>
                </c:pt>
                <c:pt idx="152">
                  <c:v>183.32858232810631</c:v>
                </c:pt>
                <c:pt idx="153">
                  <c:v>185.16186815138738</c:v>
                </c:pt>
                <c:pt idx="154">
                  <c:v>187.01348683290126</c:v>
                </c:pt>
                <c:pt idx="155">
                  <c:v>188.88362170123028</c:v>
                </c:pt>
                <c:pt idx="156">
                  <c:v>190.77245791824259</c:v>
                </c:pt>
                <c:pt idx="157">
                  <c:v>192.68018249742502</c:v>
                </c:pt>
                <c:pt idx="158">
                  <c:v>194.60698432239928</c:v>
                </c:pt>
                <c:pt idx="159">
                  <c:v>196.55305416562328</c:v>
                </c:pt>
                <c:pt idx="160">
                  <c:v>198.5185847072795</c:v>
                </c:pt>
                <c:pt idx="161">
                  <c:v>200.50377055435229</c:v>
                </c:pt>
                <c:pt idx="162">
                  <c:v>202.5088082598958</c:v>
                </c:pt>
                <c:pt idx="163">
                  <c:v>204.53389634249476</c:v>
                </c:pt>
                <c:pt idx="164">
                  <c:v>206.5792353059197</c:v>
                </c:pt>
                <c:pt idx="165">
                  <c:v>208.6450276589789</c:v>
                </c:pt>
                <c:pt idx="166">
                  <c:v>210.73147793556871</c:v>
                </c:pt>
                <c:pt idx="167">
                  <c:v>212.83879271492438</c:v>
                </c:pt>
                <c:pt idx="168">
                  <c:v>214.96718064207363</c:v>
                </c:pt>
                <c:pt idx="169">
                  <c:v>217.11685244849437</c:v>
                </c:pt>
                <c:pt idx="170">
                  <c:v>219.28802097297933</c:v>
                </c:pt>
                <c:pt idx="171">
                  <c:v>221.48090118270912</c:v>
                </c:pt>
                <c:pt idx="172">
                  <c:v>223.69571019453622</c:v>
                </c:pt>
                <c:pt idx="173">
                  <c:v>225.93266729648158</c:v>
                </c:pt>
                <c:pt idx="174">
                  <c:v>228.1919939694464</c:v>
                </c:pt>
                <c:pt idx="175">
                  <c:v>230.47391390914086</c:v>
                </c:pt>
                <c:pt idx="176">
                  <c:v>232.77865304823226</c:v>
                </c:pt>
                <c:pt idx="177">
                  <c:v>235.10643957871457</c:v>
                </c:pt>
                <c:pt idx="178">
                  <c:v>237.45750397450172</c:v>
                </c:pt>
                <c:pt idx="179">
                  <c:v>239.83207901424674</c:v>
                </c:pt>
                <c:pt idx="180">
                  <c:v>242.23039980438921</c:v>
                </c:pt>
                <c:pt idx="181">
                  <c:v>244.65270380243311</c:v>
                </c:pt>
                <c:pt idx="182">
                  <c:v>247.09923084045744</c:v>
                </c:pt>
                <c:pt idx="183">
                  <c:v>249.570223148862</c:v>
                </c:pt>
                <c:pt idx="184">
                  <c:v>252.06592538035062</c:v>
                </c:pt>
                <c:pt idx="185">
                  <c:v>254.58658463415412</c:v>
                </c:pt>
                <c:pt idx="186">
                  <c:v>257.13245048049566</c:v>
                </c:pt>
                <c:pt idx="187">
                  <c:v>259.70377498530064</c:v>
                </c:pt>
                <c:pt idx="188">
                  <c:v>262.30081273515367</c:v>
                </c:pt>
                <c:pt idx="189">
                  <c:v>264.92382086250518</c:v>
                </c:pt>
                <c:pt idx="190">
                  <c:v>267.57305907113022</c:v>
                </c:pt>
                <c:pt idx="191">
                  <c:v>270.2487896618415</c:v>
                </c:pt>
                <c:pt idx="192">
                  <c:v>272.95127755845994</c:v>
                </c:pt>
                <c:pt idx="193">
                  <c:v>275.68079033404456</c:v>
                </c:pt>
                <c:pt idx="194">
                  <c:v>278.43759823738503</c:v>
                </c:pt>
                <c:pt idx="195">
                  <c:v>281.22197421975886</c:v>
                </c:pt>
                <c:pt idx="196">
                  <c:v>284.03419396195648</c:v>
                </c:pt>
                <c:pt idx="197">
                  <c:v>286.87453590157605</c:v>
                </c:pt>
                <c:pt idx="198">
                  <c:v>289.7432812605918</c:v>
                </c:pt>
                <c:pt idx="199">
                  <c:v>292.64071407319773</c:v>
                </c:pt>
                <c:pt idx="200">
                  <c:v>295.56712121392968</c:v>
                </c:pt>
                <c:pt idx="201">
                  <c:v>298.52279242606897</c:v>
                </c:pt>
                <c:pt idx="202">
                  <c:v>301.50802035032967</c:v>
                </c:pt>
                <c:pt idx="203">
                  <c:v>304.52310055383299</c:v>
                </c:pt>
                <c:pt idx="204">
                  <c:v>307.5683315593713</c:v>
                </c:pt>
                <c:pt idx="205">
                  <c:v>310.64401487496502</c:v>
                </c:pt>
                <c:pt idx="206">
                  <c:v>313.75045502371466</c:v>
                </c:pt>
                <c:pt idx="207">
                  <c:v>316.88795957395183</c:v>
                </c:pt>
                <c:pt idx="208">
                  <c:v>320.05683916969133</c:v>
                </c:pt>
                <c:pt idx="209">
                  <c:v>323.25740756138822</c:v>
                </c:pt>
                <c:pt idx="210">
                  <c:v>326.48998163700207</c:v>
                </c:pt>
                <c:pt idx="211">
                  <c:v>329.75488145337209</c:v>
                </c:pt>
                <c:pt idx="212">
                  <c:v>333.05243026790583</c:v>
                </c:pt>
                <c:pt idx="213">
                  <c:v>336.3829545705849</c:v>
                </c:pt>
                <c:pt idx="214">
                  <c:v>339.74678411629077</c:v>
                </c:pt>
                <c:pt idx="215">
                  <c:v>343.14425195745366</c:v>
                </c:pt>
                <c:pt idx="216">
                  <c:v>346.57569447702821</c:v>
                </c:pt>
                <c:pt idx="217">
                  <c:v>350.04145142179851</c:v>
                </c:pt>
                <c:pt idx="218">
                  <c:v>353.54186593601651</c:v>
                </c:pt>
                <c:pt idx="219">
                  <c:v>357.07728459537668</c:v>
                </c:pt>
                <c:pt idx="220">
                  <c:v>360.64805744133042</c:v>
                </c:pt>
                <c:pt idx="221">
                  <c:v>364.25453801574372</c:v>
                </c:pt>
                <c:pt idx="222">
                  <c:v>367.89708339590118</c:v>
                </c:pt>
                <c:pt idx="223">
                  <c:v>371.57605422986018</c:v>
                </c:pt>
                <c:pt idx="224">
                  <c:v>375.29181477215877</c:v>
                </c:pt>
                <c:pt idx="225">
                  <c:v>379.04473291988035</c:v>
                </c:pt>
                <c:pt idx="226">
                  <c:v>382.83518024907914</c:v>
                </c:pt>
                <c:pt idx="227">
                  <c:v>386.66353205156992</c:v>
                </c:pt>
                <c:pt idx="228">
                  <c:v>390.5301673720856</c:v>
                </c:pt>
                <c:pt idx="229">
                  <c:v>394.43546904580643</c:v>
                </c:pt>
                <c:pt idx="230">
                  <c:v>398.37982373626448</c:v>
                </c:pt>
                <c:pt idx="231">
                  <c:v>402.36362197362712</c:v>
                </c:pt>
                <c:pt idx="232">
                  <c:v>406.38725819336338</c:v>
                </c:pt>
                <c:pt idx="233">
                  <c:v>410.45113077529703</c:v>
                </c:pt>
                <c:pt idx="234">
                  <c:v>414.55564208304997</c:v>
                </c:pt>
                <c:pt idx="235">
                  <c:v>418.70119850388045</c:v>
                </c:pt>
                <c:pt idx="236">
                  <c:v>422.88821048891924</c:v>
                </c:pt>
                <c:pt idx="237">
                  <c:v>427.11709259380842</c:v>
                </c:pt>
                <c:pt idx="238">
                  <c:v>431.38826351974649</c:v>
                </c:pt>
                <c:pt idx="239">
                  <c:v>435.70214615494393</c:v>
                </c:pt>
                <c:pt idx="240">
                  <c:v>440.05916761649337</c:v>
                </c:pt>
                <c:pt idx="241">
                  <c:v>444.4597592926583</c:v>
                </c:pt>
                <c:pt idx="242">
                  <c:v>448.90435688558489</c:v>
                </c:pt>
                <c:pt idx="243">
                  <c:v>453.39340045444072</c:v>
                </c:pt>
                <c:pt idx="244">
                  <c:v>457.92733445898511</c:v>
                </c:pt>
                <c:pt idx="245">
                  <c:v>462.50660780357498</c:v>
                </c:pt>
                <c:pt idx="246">
                  <c:v>467.13167388161071</c:v>
                </c:pt>
                <c:pt idx="247">
                  <c:v>471.80299062042684</c:v>
                </c:pt>
                <c:pt idx="248">
                  <c:v>476.5210205266311</c:v>
                </c:pt>
                <c:pt idx="249">
                  <c:v>481.28623073189743</c:v>
                </c:pt>
                <c:pt idx="250">
                  <c:v>486.09909303921643</c:v>
                </c:pt>
                <c:pt idx="251">
                  <c:v>490.9600839696086</c:v>
                </c:pt>
                <c:pt idx="252">
                  <c:v>495.86968480930472</c:v>
                </c:pt>
                <c:pt idx="253">
                  <c:v>500.82838165739776</c:v>
                </c:pt>
                <c:pt idx="254">
                  <c:v>505.83666547397172</c:v>
                </c:pt>
                <c:pt idx="255">
                  <c:v>510.89503212871142</c:v>
                </c:pt>
                <c:pt idx="256">
                  <c:v>516.00398244999849</c:v>
                </c:pt>
                <c:pt idx="257">
                  <c:v>521.16402227449851</c:v>
                </c:pt>
                <c:pt idx="258">
                  <c:v>526.37566249724352</c:v>
                </c:pt>
                <c:pt idx="259">
                  <c:v>531.63941912221594</c:v>
                </c:pt>
                <c:pt idx="260">
                  <c:v>536.95581331343806</c:v>
                </c:pt>
                <c:pt idx="261">
                  <c:v>542.32537144657249</c:v>
                </c:pt>
                <c:pt idx="262">
                  <c:v>547.74862516103826</c:v>
                </c:pt>
                <c:pt idx="263">
                  <c:v>553.22611141264861</c:v>
                </c:pt>
                <c:pt idx="264">
                  <c:v>558.75837252677513</c:v>
                </c:pt>
                <c:pt idx="265">
                  <c:v>564.34595625204292</c:v>
                </c:pt>
                <c:pt idx="266">
                  <c:v>569.98941581456336</c:v>
                </c:pt>
                <c:pt idx="267">
                  <c:v>575.689309972709</c:v>
                </c:pt>
                <c:pt idx="268">
                  <c:v>581.44620307243611</c:v>
                </c:pt>
                <c:pt idx="269">
                  <c:v>587.26066510316048</c:v>
                </c:pt>
                <c:pt idx="270">
                  <c:v>593.13327175419204</c:v>
                </c:pt>
                <c:pt idx="271">
                  <c:v>599.0646044717339</c:v>
                </c:pt>
                <c:pt idx="272">
                  <c:v>605.05525051645122</c:v>
                </c:pt>
                <c:pt idx="273">
                  <c:v>611.10580302161577</c:v>
                </c:pt>
                <c:pt idx="274">
                  <c:v>617.21686105183198</c:v>
                </c:pt>
                <c:pt idx="275">
                  <c:v>623.38902966235025</c:v>
                </c:pt>
                <c:pt idx="276">
                  <c:v>629.62291995897374</c:v>
                </c:pt>
                <c:pt idx="277">
                  <c:v>635.91914915856353</c:v>
                </c:pt>
                <c:pt idx="278">
                  <c:v>642.27834065014918</c:v>
                </c:pt>
                <c:pt idx="279">
                  <c:v>648.70112405665066</c:v>
                </c:pt>
                <c:pt idx="280">
                  <c:v>655.18813529721717</c:v>
                </c:pt>
                <c:pt idx="281">
                  <c:v>661.74001665018932</c:v>
                </c:pt>
                <c:pt idx="282">
                  <c:v>668.35741681669117</c:v>
                </c:pt>
                <c:pt idx="283">
                  <c:v>675.04099098485813</c:v>
                </c:pt>
                <c:pt idx="284">
                  <c:v>681.79140089470673</c:v>
                </c:pt>
                <c:pt idx="285">
                  <c:v>688.60931490365374</c:v>
                </c:pt>
                <c:pt idx="286">
                  <c:v>695.49540805269032</c:v>
                </c:pt>
                <c:pt idx="287">
                  <c:v>702.45036213321725</c:v>
                </c:pt>
                <c:pt idx="288">
                  <c:v>709.47486575454946</c:v>
                </c:pt>
                <c:pt idx="289">
                  <c:v>716.56961441209501</c:v>
                </c:pt>
                <c:pt idx="290">
                  <c:v>723.73531055621595</c:v>
                </c:pt>
                <c:pt idx="291">
                  <c:v>730.97266366177814</c:v>
                </c:pt>
                <c:pt idx="292">
                  <c:v>738.28239029839597</c:v>
                </c:pt>
                <c:pt idx="293">
                  <c:v>745.66521420137997</c:v>
                </c:pt>
                <c:pt idx="294">
                  <c:v>753.12186634339378</c:v>
                </c:pt>
                <c:pt idx="295">
                  <c:v>760.65308500682772</c:v>
                </c:pt>
                <c:pt idx="296">
                  <c:v>768.25961585689595</c:v>
                </c:pt>
                <c:pt idx="297">
                  <c:v>775.94221201546486</c:v>
                </c:pt>
                <c:pt idx="298">
                  <c:v>783.70163413561954</c:v>
                </c:pt>
                <c:pt idx="299">
                  <c:v>791.5386504769757</c:v>
                </c:pt>
                <c:pt idx="300">
                  <c:v>799.4540369817455</c:v>
                </c:pt>
                <c:pt idx="301">
                  <c:v>807.4485773515629</c:v>
                </c:pt>
                <c:pt idx="302">
                  <c:v>815.52306312507858</c:v>
                </c:pt>
                <c:pt idx="303">
                  <c:v>823.67829375632937</c:v>
                </c:pt>
                <c:pt idx="304">
                  <c:v>831.91507669389262</c:v>
                </c:pt>
                <c:pt idx="305">
                  <c:v>840.23422746083156</c:v>
                </c:pt>
                <c:pt idx="306">
                  <c:v>848.63656973543993</c:v>
                </c:pt>
                <c:pt idx="307">
                  <c:v>857.12293543279429</c:v>
                </c:pt>
                <c:pt idx="308">
                  <c:v>865.69416478712219</c:v>
                </c:pt>
                <c:pt idx="309">
                  <c:v>874.35110643499343</c:v>
                </c:pt>
                <c:pt idx="310">
                  <c:v>883.09461749934337</c:v>
                </c:pt>
                <c:pt idx="311">
                  <c:v>891.92556367433679</c:v>
                </c:pt>
                <c:pt idx="312">
                  <c:v>900.84481931108019</c:v>
                </c:pt>
                <c:pt idx="313">
                  <c:v>909.85326750419097</c:v>
                </c:pt>
                <c:pt idx="314">
                  <c:v>918.95180017923292</c:v>
                </c:pt>
                <c:pt idx="315">
                  <c:v>928.14131818102521</c:v>
                </c:pt>
                <c:pt idx="316">
                  <c:v>937.42273136283552</c:v>
                </c:pt>
                <c:pt idx="317">
                  <c:v>946.79695867646387</c:v>
                </c:pt>
                <c:pt idx="318">
                  <c:v>956.26492826322851</c:v>
                </c:pt>
                <c:pt idx="319">
                  <c:v>965.82757754586078</c:v>
                </c:pt>
                <c:pt idx="320">
                  <c:v>975.48585332131938</c:v>
                </c:pt>
                <c:pt idx="321">
                  <c:v>985.24071185453261</c:v>
                </c:pt>
                <c:pt idx="322">
                  <c:v>995.09311897307794</c:v>
                </c:pt>
                <c:pt idx="323">
                  <c:v>1005.0440501628087</c:v>
                </c:pt>
                <c:pt idx="324">
                  <c:v>1015.0944906644368</c:v>
                </c:pt>
                <c:pt idx="325">
                  <c:v>1025.2454355710811</c:v>
                </c:pt>
                <c:pt idx="326">
                  <c:v>1035.4978899267919</c:v>
                </c:pt>
                <c:pt idx="327">
                  <c:v>1045.8528688260599</c:v>
                </c:pt>
                <c:pt idx="328">
                  <c:v>1056.3113975143206</c:v>
                </c:pt>
                <c:pt idx="329">
                  <c:v>1066.8745114894637</c:v>
                </c:pt>
                <c:pt idx="330">
                  <c:v>1077.5432566043582</c:v>
                </c:pt>
                <c:pt idx="331">
                  <c:v>1088.3186891704017</c:v>
                </c:pt>
                <c:pt idx="332">
                  <c:v>1099.2018760621058</c:v>
                </c:pt>
                <c:pt idx="333">
                  <c:v>1110.1938948227269</c:v>
                </c:pt>
                <c:pt idx="334">
                  <c:v>1121.2958337709542</c:v>
                </c:pt>
                <c:pt idx="335">
                  <c:v>1132.5087921086638</c:v>
                </c:pt>
                <c:pt idx="336">
                  <c:v>1143.8338800297504</c:v>
                </c:pt>
                <c:pt idx="337">
                  <c:v>1155.2722188300479</c:v>
                </c:pt>
                <c:pt idx="338">
                  <c:v>1166.8249410183485</c:v>
                </c:pt>
                <c:pt idx="339">
                  <c:v>1178.493190428532</c:v>
                </c:pt>
                <c:pt idx="340">
                  <c:v>1190.2781223328172</c:v>
                </c:pt>
                <c:pt idx="341">
                  <c:v>1202.1809035561455</c:v>
                </c:pt>
                <c:pt idx="342">
                  <c:v>1214.202712591707</c:v>
                </c:pt>
                <c:pt idx="343">
                  <c:v>1226.3447397176242</c:v>
                </c:pt>
                <c:pt idx="344">
                  <c:v>1238.6081871148003</c:v>
                </c:pt>
                <c:pt idx="345">
                  <c:v>1250.9942689859483</c:v>
                </c:pt>
                <c:pt idx="346">
                  <c:v>1263.5042116758077</c:v>
                </c:pt>
                <c:pt idx="347">
                  <c:v>1276.1392537925658</c:v>
                </c:pt>
                <c:pt idx="348">
                  <c:v>1288.9006463304916</c:v>
                </c:pt>
                <c:pt idx="349">
                  <c:v>1301.7896527937964</c:v>
                </c:pt>
                <c:pt idx="350">
                  <c:v>1314.8075493217343</c:v>
                </c:pt>
                <c:pt idx="351">
                  <c:v>1327.9556248149518</c:v>
                </c:pt>
                <c:pt idx="352">
                  <c:v>1341.2351810631012</c:v>
                </c:pt>
                <c:pt idx="353">
                  <c:v>1354.6475328737322</c:v>
                </c:pt>
                <c:pt idx="354">
                  <c:v>1368.1940082024696</c:v>
                </c:pt>
                <c:pt idx="355">
                  <c:v>1381.8759482844944</c:v>
                </c:pt>
                <c:pt idx="356">
                  <c:v>1395.6947077673394</c:v>
                </c:pt>
                <c:pt idx="357">
                  <c:v>1409.6516548450129</c:v>
                </c:pt>
                <c:pt idx="358">
                  <c:v>1423.7481713934631</c:v>
                </c:pt>
                <c:pt idx="359">
                  <c:v>1437.9856531073976</c:v>
                </c:pt>
                <c:pt idx="360">
                  <c:v>1452.3655096384716</c:v>
                </c:pt>
                <c:pt idx="361">
                  <c:v>1466.8891647348564</c:v>
                </c:pt>
                <c:pt idx="362">
                  <c:v>1481.558056382205</c:v>
                </c:pt>
                <c:pt idx="363">
                  <c:v>1496.3736369460271</c:v>
                </c:pt>
                <c:pt idx="364">
                  <c:v>1511.3373733154874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93-40CC-9367-1CC73A64A169}"/>
            </c:ext>
          </c:extLst>
        </c:ser>
        <c:ser>
          <c:idx val="2"/>
          <c:order val="2"/>
          <c:tx>
            <c:strRef>
              <c:f>Gerenciamento!$D$2:$D$3</c:f>
              <c:strCache>
                <c:ptCount val="2"/>
                <c:pt idx="0">
                  <c:v>Meta do dia</c:v>
                </c:pt>
                <c:pt idx="1">
                  <c:v>Lucro 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Gerenciamento!$D$4:$D$368</c:f>
              <c:numCache>
                <c:formatCode>_-[$$-F0000]* #,##0.00_ ;_-[$$-F0000]* \-#,##0.00\ ;_-[$$-F0000]* "-"??_ ;_-@_ </c:formatCode>
                <c:ptCount val="365"/>
                <c:pt idx="0">
                  <c:v>0.39999999999999858</c:v>
                </c:pt>
                <c:pt idx="1">
                  <c:v>0.40400000000000347</c:v>
                </c:pt>
                <c:pt idx="2">
                  <c:v>0.40803999999999974</c:v>
                </c:pt>
                <c:pt idx="3">
                  <c:v>0.41212039999999917</c:v>
                </c:pt>
                <c:pt idx="4">
                  <c:v>0.41624160399999965</c:v>
                </c:pt>
                <c:pt idx="5">
                  <c:v>0.42040402004000299</c:v>
                </c:pt>
                <c:pt idx="6">
                  <c:v>0.4246080602404021</c:v>
                </c:pt>
                <c:pt idx="7">
                  <c:v>0.42885414084280171</c:v>
                </c:pt>
                <c:pt idx="8">
                  <c:v>0.43314268225122987</c:v>
                </c:pt>
                <c:pt idx="9">
                  <c:v>0.43747410907374729</c:v>
                </c:pt>
                <c:pt idx="10">
                  <c:v>0.44184885016448305</c:v>
                </c:pt>
                <c:pt idx="11">
                  <c:v>0.44626733866612511</c:v>
                </c:pt>
                <c:pt idx="12">
                  <c:v>0.45073001205278729</c:v>
                </c:pt>
                <c:pt idx="13">
                  <c:v>0.45523731217331687</c:v>
                </c:pt>
                <c:pt idx="14">
                  <c:v>0.45978968529504982</c:v>
                </c:pt>
                <c:pt idx="15">
                  <c:v>0.46438758214799947</c:v>
                </c:pt>
                <c:pt idx="16">
                  <c:v>0.46903145796947854</c:v>
                </c:pt>
                <c:pt idx="17">
                  <c:v>0.47372177254917602</c:v>
                </c:pt>
                <c:pt idx="18">
                  <c:v>0.47845899027466743</c:v>
                </c:pt>
                <c:pt idx="19">
                  <c:v>0.48324358017741531</c:v>
                </c:pt>
                <c:pt idx="20">
                  <c:v>0.48807601597918904</c:v>
                </c:pt>
                <c:pt idx="21">
                  <c:v>0.49295677613898192</c:v>
                </c:pt>
                <c:pt idx="22">
                  <c:v>0.4978863439003689</c:v>
                </c:pt>
                <c:pt idx="23">
                  <c:v>0.50286520733936868</c:v>
                </c:pt>
                <c:pt idx="24">
                  <c:v>0.50789385941276777</c:v>
                </c:pt>
                <c:pt idx="25">
                  <c:v>0.51297279800689211</c:v>
                </c:pt>
                <c:pt idx="26">
                  <c:v>0.51810252598696138</c:v>
                </c:pt>
                <c:pt idx="27">
                  <c:v>0.52328355124683412</c:v>
                </c:pt>
                <c:pt idx="28">
                  <c:v>0.52851638675929991</c:v>
                </c:pt>
                <c:pt idx="29">
                  <c:v>0.53380155062689028</c:v>
                </c:pt>
                <c:pt idx="30">
                  <c:v>0.53913956613316572</c:v>
                </c:pt>
                <c:pt idx="31">
                  <c:v>0.5445309617944929</c:v>
                </c:pt>
                <c:pt idx="32">
                  <c:v>0.5499762714124401</c:v>
                </c:pt>
                <c:pt idx="33">
                  <c:v>0.55547603412656343</c:v>
                </c:pt>
                <c:pt idx="34">
                  <c:v>0.56103079446782544</c:v>
                </c:pt>
                <c:pt idx="35">
                  <c:v>0.56664110241250398</c:v>
                </c:pt>
                <c:pt idx="36">
                  <c:v>0.572307513436634</c:v>
                </c:pt>
                <c:pt idx="37">
                  <c:v>0.57803058857099643</c:v>
                </c:pt>
                <c:pt idx="38">
                  <c:v>0.58381089445671108</c:v>
                </c:pt>
                <c:pt idx="39">
                  <c:v>0.58964900340127713</c:v>
                </c:pt>
                <c:pt idx="40">
                  <c:v>0.59554549343528862</c:v>
                </c:pt>
                <c:pt idx="41">
                  <c:v>0.6015009483696403</c:v>
                </c:pt>
                <c:pt idx="42">
                  <c:v>0.60751595785333734</c:v>
                </c:pt>
                <c:pt idx="43">
                  <c:v>0.61359111743187356</c:v>
                </c:pt>
                <c:pt idx="44">
                  <c:v>0.61972702860619222</c:v>
                </c:pt>
                <c:pt idx="45">
                  <c:v>0.62592429889225087</c:v>
                </c:pt>
                <c:pt idx="46">
                  <c:v>0.63218354188117587</c:v>
                </c:pt>
                <c:pt idx="47">
                  <c:v>0.63850537729999246</c:v>
                </c:pt>
                <c:pt idx="48">
                  <c:v>0.64489043107298016</c:v>
                </c:pt>
                <c:pt idx="49">
                  <c:v>0.65133933538371025</c:v>
                </c:pt>
                <c:pt idx="50">
                  <c:v>0.65785272873755218</c:v>
                </c:pt>
                <c:pt idx="51">
                  <c:v>0.66443125602492614</c:v>
                </c:pt>
                <c:pt idx="52">
                  <c:v>0.6710755685851808</c:v>
                </c:pt>
                <c:pt idx="53">
                  <c:v>0.67778632427102536</c:v>
                </c:pt>
                <c:pt idx="54">
                  <c:v>0.68456418751374315</c:v>
                </c:pt>
                <c:pt idx="55">
                  <c:v>0.69140982938887419</c:v>
                </c:pt>
                <c:pt idx="56">
                  <c:v>0.69832392768276463</c:v>
                </c:pt>
                <c:pt idx="57">
                  <c:v>0.70530716695959939</c:v>
                </c:pt>
                <c:pt idx="58">
                  <c:v>0.71236023862918785</c:v>
                </c:pt>
                <c:pt idx="59">
                  <c:v>0.71948384101547447</c:v>
                </c:pt>
                <c:pt idx="60">
                  <c:v>0.72667867942563191</c:v>
                </c:pt>
                <c:pt idx="61">
                  <c:v>0.73394546621989321</c:v>
                </c:pt>
                <c:pt idx="62">
                  <c:v>0.74128492088209441</c:v>
                </c:pt>
                <c:pt idx="63">
                  <c:v>0.74869777009091365</c:v>
                </c:pt>
                <c:pt idx="64">
                  <c:v>0.75618474779182066</c:v>
                </c:pt>
                <c:pt idx="65">
                  <c:v>0.76374659526973687</c:v>
                </c:pt>
                <c:pt idx="66">
                  <c:v>0.77138406122243453</c:v>
                </c:pt>
                <c:pt idx="67">
                  <c:v>0.77909790183466043</c:v>
                </c:pt>
                <c:pt idx="68">
                  <c:v>0.78688888085301301</c:v>
                </c:pt>
                <c:pt idx="69">
                  <c:v>0.79475776966154399</c:v>
                </c:pt>
                <c:pt idx="70">
                  <c:v>0.80270534735815602</c:v>
                </c:pt>
                <c:pt idx="71">
                  <c:v>0.81073240083173914</c:v>
                </c:pt>
                <c:pt idx="72">
                  <c:v>0.8188397248400463</c:v>
                </c:pt>
                <c:pt idx="73">
                  <c:v>0.82702812208844989</c:v>
                </c:pt>
                <c:pt idx="74">
                  <c:v>0.8352984033093378</c:v>
                </c:pt>
                <c:pt idx="75">
                  <c:v>0.84365138734243317</c:v>
                </c:pt>
                <c:pt idx="76">
                  <c:v>0.85208790121585309</c:v>
                </c:pt>
                <c:pt idx="77">
                  <c:v>0.86060878022802001</c:v>
                </c:pt>
                <c:pt idx="78">
                  <c:v>0.86921486803029779</c:v>
                </c:pt>
                <c:pt idx="79">
                  <c:v>0.87790701671059423</c:v>
                </c:pt>
                <c:pt idx="80">
                  <c:v>0.88668608687770245</c:v>
                </c:pt>
                <c:pt idx="81">
                  <c:v>0.89555294774648075</c:v>
                </c:pt>
                <c:pt idx="82">
                  <c:v>0.90450847722394201</c:v>
                </c:pt>
                <c:pt idx="83">
                  <c:v>0.91355356199618143</c:v>
                </c:pt>
                <c:pt idx="84">
                  <c:v>0.92268909761614282</c:v>
                </c:pt>
                <c:pt idx="85">
                  <c:v>0.93191598859230851</c:v>
                </c:pt>
                <c:pt idx="86">
                  <c:v>0.94123514847822776</c:v>
                </c:pt>
                <c:pt idx="87">
                  <c:v>0.95064749996301146</c:v>
                </c:pt>
                <c:pt idx="88">
                  <c:v>0.96015397496263688</c:v>
                </c:pt>
                <c:pt idx="89">
                  <c:v>0.96975551471227561</c:v>
                </c:pt>
                <c:pt idx="90">
                  <c:v>0.97945306985938885</c:v>
                </c:pt>
                <c:pt idx="91">
                  <c:v>0.98924760055798799</c:v>
                </c:pt>
                <c:pt idx="92">
                  <c:v>0.99914007656356318</c:v>
                </c:pt>
                <c:pt idx="93">
                  <c:v>1.0091314773292055</c:v>
                </c:pt>
                <c:pt idx="94">
                  <c:v>1.0192227921024966</c:v>
                </c:pt>
                <c:pt idx="95">
                  <c:v>1.0294150200235208</c:v>
                </c:pt>
                <c:pt idx="96">
                  <c:v>1.0397091702237589</c:v>
                </c:pt>
                <c:pt idx="97">
                  <c:v>1.0501062619259898</c:v>
                </c:pt>
                <c:pt idx="98">
                  <c:v>1.060607324545245</c:v>
                </c:pt>
                <c:pt idx="99">
                  <c:v>1.0712133977907001</c:v>
                </c:pt>
                <c:pt idx="100">
                  <c:v>1.0819255317686043</c:v>
                </c:pt>
                <c:pt idx="101">
                  <c:v>1.0927447870863034</c:v>
                </c:pt>
                <c:pt idx="102">
                  <c:v>1.103672234957159</c:v>
                </c:pt>
                <c:pt idx="103">
                  <c:v>1.1147089573067319</c:v>
                </c:pt>
                <c:pt idx="104">
                  <c:v>1.1258560468798038</c:v>
                </c:pt>
                <c:pt idx="105">
                  <c:v>1.1371146073485932</c:v>
                </c:pt>
                <c:pt idx="106">
                  <c:v>1.1484857534220794</c:v>
                </c:pt>
                <c:pt idx="107">
                  <c:v>1.1599706109563073</c:v>
                </c:pt>
                <c:pt idx="108">
                  <c:v>1.1715703170658713</c:v>
                </c:pt>
                <c:pt idx="109">
                  <c:v>1.1832860202365225</c:v>
                </c:pt>
                <c:pt idx="110">
                  <c:v>1.1951188804388835</c:v>
                </c:pt>
                <c:pt idx="111">
                  <c:v>1.2070700692432723</c:v>
                </c:pt>
                <c:pt idx="112">
                  <c:v>1.2191407699357057</c:v>
                </c:pt>
                <c:pt idx="113">
                  <c:v>1.2313321776350676</c:v>
                </c:pt>
                <c:pt idx="114">
                  <c:v>1.2436454994114143</c:v>
                </c:pt>
                <c:pt idx="115">
                  <c:v>1.2560819544055306</c:v>
                </c:pt>
                <c:pt idx="116">
                  <c:v>1.268642773949594</c:v>
                </c:pt>
                <c:pt idx="117">
                  <c:v>1.2813292016890898</c:v>
                </c:pt>
                <c:pt idx="118">
                  <c:v>1.2941424937059764</c:v>
                </c:pt>
                <c:pt idx="119">
                  <c:v>1.3070839186430305</c:v>
                </c:pt>
                <c:pt idx="120">
                  <c:v>1.3201547578294708</c:v>
                </c:pt>
                <c:pt idx="121">
                  <c:v>1.3333563054077615</c:v>
                </c:pt>
                <c:pt idx="122">
                  <c:v>1.3466898684618513</c:v>
                </c:pt>
                <c:pt idx="123">
                  <c:v>1.3601567671464636</c:v>
                </c:pt>
                <c:pt idx="124">
                  <c:v>1.3737583348179214</c:v>
                </c:pt>
                <c:pt idx="125">
                  <c:v>1.3874959181661097</c:v>
                </c:pt>
                <c:pt idx="126">
                  <c:v>1.4013708773477731</c:v>
                </c:pt>
                <c:pt idx="127">
                  <c:v>1.4153845861212346</c:v>
                </c:pt>
                <c:pt idx="128">
                  <c:v>1.4295384319824507</c:v>
                </c:pt>
                <c:pt idx="129">
                  <c:v>1.4438338163022877</c:v>
                </c:pt>
                <c:pt idx="130">
                  <c:v>1.4582721544653054</c:v>
                </c:pt>
                <c:pt idx="131">
                  <c:v>1.4728548760099613</c:v>
                </c:pt>
                <c:pt idx="132">
                  <c:v>1.4875834247700652</c:v>
                </c:pt>
                <c:pt idx="133">
                  <c:v>1.5024592590177406</c:v>
                </c:pt>
                <c:pt idx="134">
                  <c:v>1.5174838516079205</c:v>
                </c:pt>
                <c:pt idx="135">
                  <c:v>1.5326586901240091</c:v>
                </c:pt>
                <c:pt idx="136">
                  <c:v>1.5479852770252478</c:v>
                </c:pt>
                <c:pt idx="137">
                  <c:v>1.5634651297955031</c:v>
                </c:pt>
                <c:pt idx="138">
                  <c:v>1.5790997810934471</c:v>
                </c:pt>
                <c:pt idx="139">
                  <c:v>1.5948907789043858</c:v>
                </c:pt>
                <c:pt idx="140">
                  <c:v>1.6108396866934243</c:v>
                </c:pt>
                <c:pt idx="141">
                  <c:v>1.6269480835603645</c:v>
                </c:pt>
                <c:pt idx="142">
                  <c:v>1.6432175643959681</c:v>
                </c:pt>
                <c:pt idx="143">
                  <c:v>1.6596497400399244</c:v>
                </c:pt>
                <c:pt idx="144">
                  <c:v>1.6762462374403242</c:v>
                </c:pt>
                <c:pt idx="145">
                  <c:v>1.693008699814726</c:v>
                </c:pt>
                <c:pt idx="146">
                  <c:v>1.7099387868128701</c:v>
                </c:pt>
                <c:pt idx="147">
                  <c:v>1.7270381746810131</c:v>
                </c:pt>
                <c:pt idx="148">
                  <c:v>1.7443085564278249</c:v>
                </c:pt>
                <c:pt idx="149">
                  <c:v>1.761751641992106</c:v>
                </c:pt>
                <c:pt idx="150">
                  <c:v>1.7793691584120097</c:v>
                </c:pt>
                <c:pt idx="151">
                  <c:v>1.7971628499961412</c:v>
                </c:pt>
                <c:pt idx="152">
                  <c:v>1.8151344784961054</c:v>
                </c:pt>
                <c:pt idx="153">
                  <c:v>1.8332858232810736</c:v>
                </c:pt>
                <c:pt idx="154">
                  <c:v>1.8516186815138838</c:v>
                </c:pt>
                <c:pt idx="155">
                  <c:v>1.8701348683290178</c:v>
                </c:pt>
                <c:pt idx="156">
                  <c:v>1.8888362170123116</c:v>
                </c:pt>
                <c:pt idx="157">
                  <c:v>1.9077245791824282</c:v>
                </c:pt>
                <c:pt idx="158">
                  <c:v>1.9268018249742624</c:v>
                </c:pt>
                <c:pt idx="159">
                  <c:v>1.9460698432239951</c:v>
                </c:pt>
                <c:pt idx="160">
                  <c:v>1.9655305416562214</c:v>
                </c:pt>
                <c:pt idx="161">
                  <c:v>1.9851858470727848</c:v>
                </c:pt>
                <c:pt idx="162">
                  <c:v>2.0050377055435149</c:v>
                </c:pt>
                <c:pt idx="163">
                  <c:v>2.0250880825989555</c:v>
                </c:pt>
                <c:pt idx="164">
                  <c:v>2.045338963424939</c:v>
                </c:pt>
                <c:pt idx="165">
                  <c:v>2.0657923530592086</c:v>
                </c:pt>
                <c:pt idx="166">
                  <c:v>2.086450276589801</c:v>
                </c:pt>
                <c:pt idx="167">
                  <c:v>2.1073147793556757</c:v>
                </c:pt>
                <c:pt idx="168">
                  <c:v>2.1283879271492481</c:v>
                </c:pt>
                <c:pt idx="169">
                  <c:v>2.1496718064207414</c:v>
                </c:pt>
                <c:pt idx="170">
                  <c:v>2.1711685244849548</c:v>
                </c:pt>
                <c:pt idx="171">
                  <c:v>2.1928802097297933</c:v>
                </c:pt>
                <c:pt idx="172">
                  <c:v>2.2148090118271</c:v>
                </c:pt>
                <c:pt idx="173">
                  <c:v>2.2369571019453645</c:v>
                </c:pt>
                <c:pt idx="174">
                  <c:v>2.2593266729648178</c:v>
                </c:pt>
                <c:pt idx="175">
                  <c:v>2.2819199396944612</c:v>
                </c:pt>
                <c:pt idx="176">
                  <c:v>2.3047391390913958</c:v>
                </c:pt>
                <c:pt idx="177">
                  <c:v>2.3277865304823138</c:v>
                </c:pt>
                <c:pt idx="178">
                  <c:v>2.351064395787148</c:v>
                </c:pt>
                <c:pt idx="179">
                  <c:v>2.3745750397450252</c:v>
                </c:pt>
                <c:pt idx="180">
                  <c:v>2.3983207901424635</c:v>
                </c:pt>
                <c:pt idx="181">
                  <c:v>2.4223039980439012</c:v>
                </c:pt>
                <c:pt idx="182">
                  <c:v>2.4465270380243282</c:v>
                </c:pt>
                <c:pt idx="183">
                  <c:v>2.4709923084045613</c:v>
                </c:pt>
                <c:pt idx="184">
                  <c:v>2.4957022314886217</c:v>
                </c:pt>
                <c:pt idx="185">
                  <c:v>2.5206592538035011</c:v>
                </c:pt>
                <c:pt idx="186">
                  <c:v>2.5458658463415418</c:v>
                </c:pt>
                <c:pt idx="187">
                  <c:v>2.5713245048049771</c:v>
                </c:pt>
                <c:pt idx="188">
                  <c:v>2.5970377498530297</c:v>
                </c:pt>
                <c:pt idx="189">
                  <c:v>2.6230081273515111</c:v>
                </c:pt>
                <c:pt idx="190">
                  <c:v>2.6492382086250359</c:v>
                </c:pt>
                <c:pt idx="191">
                  <c:v>2.6757305907112823</c:v>
                </c:pt>
                <c:pt idx="192">
                  <c:v>2.702487896618436</c:v>
                </c:pt>
                <c:pt idx="193">
                  <c:v>2.7295127755846238</c:v>
                </c:pt>
                <c:pt idx="194">
                  <c:v>2.7568079033404729</c:v>
                </c:pt>
                <c:pt idx="195">
                  <c:v>2.784375982373831</c:v>
                </c:pt>
                <c:pt idx="196">
                  <c:v>2.8122197421976125</c:v>
                </c:pt>
                <c:pt idx="197">
                  <c:v>2.8403419396195773</c:v>
                </c:pt>
                <c:pt idx="198">
                  <c:v>2.8687453590157475</c:v>
                </c:pt>
                <c:pt idx="199">
                  <c:v>2.8974328126059277</c:v>
                </c:pt>
                <c:pt idx="200">
                  <c:v>2.9264071407319534</c:v>
                </c:pt>
                <c:pt idx="201">
                  <c:v>2.9556712121392934</c:v>
                </c:pt>
                <c:pt idx="202">
                  <c:v>2.9852279242606983</c:v>
                </c:pt>
                <c:pt idx="203">
                  <c:v>3.0150802035033166</c:v>
                </c:pt>
                <c:pt idx="204">
                  <c:v>3.0452310055383123</c:v>
                </c:pt>
                <c:pt idx="205">
                  <c:v>3.0756833155937215</c:v>
                </c:pt>
                <c:pt idx="206">
                  <c:v>3.1064401487496411</c:v>
                </c:pt>
                <c:pt idx="207">
                  <c:v>3.1375045502371677</c:v>
                </c:pt>
                <c:pt idx="208">
                  <c:v>3.1688795957394973</c:v>
                </c:pt>
                <c:pt idx="209">
                  <c:v>3.2005683916968906</c:v>
                </c:pt>
                <c:pt idx="210">
                  <c:v>3.2325740756138543</c:v>
                </c:pt>
                <c:pt idx="211">
                  <c:v>3.2648998163700185</c:v>
                </c:pt>
                <c:pt idx="212">
                  <c:v>3.2975488145337408</c:v>
                </c:pt>
                <c:pt idx="213">
                  <c:v>3.3305243026790663</c:v>
                </c:pt>
                <c:pt idx="214">
                  <c:v>3.3638295457058689</c:v>
                </c:pt>
                <c:pt idx="215">
                  <c:v>3.3974678411628929</c:v>
                </c:pt>
                <c:pt idx="216">
                  <c:v>3.4314425195745457</c:v>
                </c:pt>
                <c:pt idx="217">
                  <c:v>3.4657569447703054</c:v>
                </c:pt>
                <c:pt idx="218">
                  <c:v>3.5004145142179937</c:v>
                </c:pt>
                <c:pt idx="219">
                  <c:v>3.5354186593601753</c:v>
                </c:pt>
                <c:pt idx="220">
                  <c:v>3.5707728459537407</c:v>
                </c:pt>
                <c:pt idx="221">
                  <c:v>3.6064805744132968</c:v>
                </c:pt>
                <c:pt idx="222">
                  <c:v>3.6425453801574577</c:v>
                </c:pt>
                <c:pt idx="223">
                  <c:v>3.6789708339589993</c:v>
                </c:pt>
                <c:pt idx="224">
                  <c:v>3.7157605422985966</c:v>
                </c:pt>
                <c:pt idx="225">
                  <c:v>3.752918147721573</c:v>
                </c:pt>
                <c:pt idx="226">
                  <c:v>3.7904473291987983</c:v>
                </c:pt>
                <c:pt idx="227">
                  <c:v>3.8283518024907721</c:v>
                </c:pt>
                <c:pt idx="228">
                  <c:v>3.8666353205156838</c:v>
                </c:pt>
                <c:pt idx="229">
                  <c:v>3.9053016737208281</c:v>
                </c:pt>
                <c:pt idx="230">
                  <c:v>3.9443546904580558</c:v>
                </c:pt>
                <c:pt idx="231">
                  <c:v>3.9837982373626346</c:v>
                </c:pt>
                <c:pt idx="232">
                  <c:v>4.023636219736261</c:v>
                </c:pt>
                <c:pt idx="233">
                  <c:v>4.0638725819336514</c:v>
                </c:pt>
                <c:pt idx="234">
                  <c:v>4.1045113077529436</c:v>
                </c:pt>
                <c:pt idx="235">
                  <c:v>4.1455564208304736</c:v>
                </c:pt>
                <c:pt idx="236">
                  <c:v>4.1870119850387937</c:v>
                </c:pt>
                <c:pt idx="237">
                  <c:v>4.2288821048891805</c:v>
                </c:pt>
                <c:pt idx="238">
                  <c:v>4.2711709259380655</c:v>
                </c:pt>
                <c:pt idx="239">
                  <c:v>4.3138826351974444</c:v>
                </c:pt>
                <c:pt idx="240">
                  <c:v>4.3570214615494365</c:v>
                </c:pt>
                <c:pt idx="241">
                  <c:v>4.400591676164936</c:v>
                </c:pt>
                <c:pt idx="242">
                  <c:v>4.4445975929265842</c:v>
                </c:pt>
                <c:pt idx="243">
                  <c:v>4.4890435688558341</c:v>
                </c:pt>
                <c:pt idx="244">
                  <c:v>4.5339340045443919</c:v>
                </c:pt>
                <c:pt idx="245">
                  <c:v>4.5792733445898648</c:v>
                </c:pt>
                <c:pt idx="246">
                  <c:v>4.6250660780357293</c:v>
                </c:pt>
                <c:pt idx="247">
                  <c:v>4.671316738816131</c:v>
                </c:pt>
                <c:pt idx="248">
                  <c:v>4.718029906204265</c:v>
                </c:pt>
                <c:pt idx="249">
                  <c:v>4.7652102052663281</c:v>
                </c:pt>
                <c:pt idx="250">
                  <c:v>4.8128623073189942</c:v>
                </c:pt>
                <c:pt idx="251">
                  <c:v>4.8609909303921768</c:v>
                </c:pt>
                <c:pt idx="252">
                  <c:v>4.9096008396961111</c:v>
                </c:pt>
                <c:pt idx="253">
                  <c:v>4.9586968480930409</c:v>
                </c:pt>
                <c:pt idx="254">
                  <c:v>5.0082838165739645</c:v>
                </c:pt>
                <c:pt idx="255">
                  <c:v>5.0583666547397002</c:v>
                </c:pt>
                <c:pt idx="256">
                  <c:v>5.1089503212870682</c:v>
                </c:pt>
                <c:pt idx="257">
                  <c:v>5.1600398245000179</c:v>
                </c:pt>
                <c:pt idx="258">
                  <c:v>5.211640222745018</c:v>
                </c:pt>
                <c:pt idx="259">
                  <c:v>5.2637566249724159</c:v>
                </c:pt>
                <c:pt idx="260">
                  <c:v>5.3163941912221162</c:v>
                </c:pt>
                <c:pt idx="261">
                  <c:v>5.3695581331344329</c:v>
                </c:pt>
                <c:pt idx="262">
                  <c:v>5.4232537144657726</c:v>
                </c:pt>
                <c:pt idx="263">
                  <c:v>5.477486251610344</c:v>
                </c:pt>
                <c:pt idx="264">
                  <c:v>5.532261114126527</c:v>
                </c:pt>
                <c:pt idx="265">
                  <c:v>5.5875837252677911</c:v>
                </c:pt>
                <c:pt idx="266">
                  <c:v>5.6434595625204338</c:v>
                </c:pt>
                <c:pt idx="267">
                  <c:v>5.6998941581456393</c:v>
                </c:pt>
                <c:pt idx="268">
                  <c:v>5.7568930997271082</c:v>
                </c:pt>
                <c:pt idx="269">
                  <c:v>5.8144620307243713</c:v>
                </c:pt>
                <c:pt idx="270">
                  <c:v>5.8726066510315604</c:v>
                </c:pt>
                <c:pt idx="271">
                  <c:v>5.9313327175418635</c:v>
                </c:pt>
                <c:pt idx="272">
                  <c:v>5.9906460447173231</c:v>
                </c:pt>
                <c:pt idx="273">
                  <c:v>6.0505525051645463</c:v>
                </c:pt>
                <c:pt idx="274">
                  <c:v>6.1110580302162134</c:v>
                </c:pt>
                <c:pt idx="275">
                  <c:v>6.1721686105182698</c:v>
                </c:pt>
                <c:pt idx="276">
                  <c:v>6.2338902966234855</c:v>
                </c:pt>
                <c:pt idx="277">
                  <c:v>6.2962291995897885</c:v>
                </c:pt>
                <c:pt idx="278">
                  <c:v>6.3591914915856478</c:v>
                </c:pt>
                <c:pt idx="279">
                  <c:v>6.4227834065014804</c:v>
                </c:pt>
                <c:pt idx="280">
                  <c:v>6.4870112405665168</c:v>
                </c:pt>
                <c:pt idx="281">
                  <c:v>6.5518813529721456</c:v>
                </c:pt>
                <c:pt idx="282">
                  <c:v>6.6174001665018523</c:v>
                </c:pt>
                <c:pt idx="283">
                  <c:v>6.683574168166956</c:v>
                </c:pt>
                <c:pt idx="284">
                  <c:v>6.7504099098485995</c:v>
                </c:pt>
                <c:pt idx="285">
                  <c:v>6.8179140089470138</c:v>
                </c:pt>
                <c:pt idx="286">
                  <c:v>6.8860931490365829</c:v>
                </c:pt>
                <c:pt idx="287">
                  <c:v>6.9549540805269316</c:v>
                </c:pt>
                <c:pt idx="288">
                  <c:v>7.024503621332201</c:v>
                </c:pt>
                <c:pt idx="289">
                  <c:v>7.0947486575455514</c:v>
                </c:pt>
                <c:pt idx="290">
                  <c:v>7.1656961441209432</c:v>
                </c:pt>
                <c:pt idx="291">
                  <c:v>7.2373531055621925</c:v>
                </c:pt>
                <c:pt idx="292">
                  <c:v>7.3097266366178246</c:v>
                </c:pt>
                <c:pt idx="293">
                  <c:v>7.3828239029840006</c:v>
                </c:pt>
                <c:pt idx="294">
                  <c:v>7.4566521420138088</c:v>
                </c:pt>
                <c:pt idx="295">
                  <c:v>7.5312186634339469</c:v>
                </c:pt>
                <c:pt idx="296">
                  <c:v>7.6065308500682249</c:v>
                </c:pt>
                <c:pt idx="297">
                  <c:v>7.6825961585689129</c:v>
                </c:pt>
                <c:pt idx="298">
                  <c:v>7.7594221201546816</c:v>
                </c:pt>
                <c:pt idx="299">
                  <c:v>7.8370163413561613</c:v>
                </c:pt>
                <c:pt idx="300">
                  <c:v>7.9153865047697991</c:v>
                </c:pt>
                <c:pt idx="301">
                  <c:v>7.9945403698174005</c:v>
                </c:pt>
                <c:pt idx="302">
                  <c:v>8.0744857735156756</c:v>
                </c:pt>
                <c:pt idx="303">
                  <c:v>8.1552306312507881</c:v>
                </c:pt>
                <c:pt idx="304">
                  <c:v>8.2367829375632482</c:v>
                </c:pt>
                <c:pt idx="305">
                  <c:v>8.3191507669389466</c:v>
                </c:pt>
                <c:pt idx="306">
                  <c:v>8.4023422746083725</c:v>
                </c:pt>
                <c:pt idx="307">
                  <c:v>8.4863656973543584</c:v>
                </c:pt>
                <c:pt idx="308">
                  <c:v>8.5712293543278975</c:v>
                </c:pt>
                <c:pt idx="309">
                  <c:v>8.6569416478712355</c:v>
                </c:pt>
                <c:pt idx="310">
                  <c:v>8.7435110643499456</c:v>
                </c:pt>
                <c:pt idx="311">
                  <c:v>8.8309461749934144</c:v>
                </c:pt>
                <c:pt idx="312">
                  <c:v>8.9192556367434008</c:v>
                </c:pt>
                <c:pt idx="313">
                  <c:v>9.0084481931107803</c:v>
                </c:pt>
                <c:pt idx="314">
                  <c:v>9.0985326750419517</c:v>
                </c:pt>
                <c:pt idx="315">
                  <c:v>9.1895180017922939</c:v>
                </c:pt>
                <c:pt idx="316">
                  <c:v>9.2814131818103078</c:v>
                </c:pt>
                <c:pt idx="317">
                  <c:v>9.3742273136283529</c:v>
                </c:pt>
                <c:pt idx="318">
                  <c:v>9.4679695867646387</c:v>
                </c:pt>
                <c:pt idx="319">
                  <c:v>9.5626492826322647</c:v>
                </c:pt>
                <c:pt idx="320">
                  <c:v>9.6582757754586055</c:v>
                </c:pt>
                <c:pt idx="321">
                  <c:v>9.7548585332132234</c:v>
                </c:pt>
                <c:pt idx="322">
                  <c:v>9.8524071185453295</c:v>
                </c:pt>
                <c:pt idx="323">
                  <c:v>9.9509311897307953</c:v>
                </c:pt>
                <c:pt idx="324">
                  <c:v>10.050440501628032</c:v>
                </c:pt>
                <c:pt idx="325">
                  <c:v>10.150944906644327</c:v>
                </c:pt>
                <c:pt idx="326">
                  <c:v>10.252454355710825</c:v>
                </c:pt>
                <c:pt idx="327">
                  <c:v>10.354978899267962</c:v>
                </c:pt>
                <c:pt idx="328">
                  <c:v>10.458528688260685</c:v>
                </c:pt>
                <c:pt idx="329">
                  <c:v>10.563113975143096</c:v>
                </c:pt>
                <c:pt idx="330">
                  <c:v>10.668745114894591</c:v>
                </c:pt>
                <c:pt idx="331">
                  <c:v>10.775432566043492</c:v>
                </c:pt>
                <c:pt idx="332">
                  <c:v>10.883186891704099</c:v>
                </c:pt>
                <c:pt idx="333">
                  <c:v>10.992018760621022</c:v>
                </c:pt>
                <c:pt idx="334">
                  <c:v>11.101938948227371</c:v>
                </c:pt>
                <c:pt idx="335">
                  <c:v>11.212958337709551</c:v>
                </c:pt>
                <c:pt idx="336">
                  <c:v>11.325087921086606</c:v>
                </c:pt>
                <c:pt idx="337">
                  <c:v>11.438338800297515</c:v>
                </c:pt>
                <c:pt idx="338">
                  <c:v>11.55272218830055</c:v>
                </c:pt>
                <c:pt idx="339">
                  <c:v>11.668249410183535</c:v>
                </c:pt>
                <c:pt idx="340">
                  <c:v>11.784931904285258</c:v>
                </c:pt>
                <c:pt idx="341">
                  <c:v>11.902781223328248</c:v>
                </c:pt>
                <c:pt idx="342">
                  <c:v>12.021809035561546</c:v>
                </c:pt>
                <c:pt idx="343">
                  <c:v>12.142027125917139</c:v>
                </c:pt>
                <c:pt idx="344">
                  <c:v>12.263447397176151</c:v>
                </c:pt>
                <c:pt idx="345">
                  <c:v>12.386081871148008</c:v>
                </c:pt>
                <c:pt idx="346">
                  <c:v>12.509942689859372</c:v>
                </c:pt>
                <c:pt idx="347">
                  <c:v>12.635042116758086</c:v>
                </c:pt>
                <c:pt idx="348">
                  <c:v>12.761392537925758</c:v>
                </c:pt>
                <c:pt idx="349">
                  <c:v>12.889006463304895</c:v>
                </c:pt>
                <c:pt idx="350">
                  <c:v>13.017896527937864</c:v>
                </c:pt>
                <c:pt idx="351">
                  <c:v>13.148075493217448</c:v>
                </c:pt>
                <c:pt idx="352">
                  <c:v>13.279556248149447</c:v>
                </c:pt>
                <c:pt idx="353">
                  <c:v>13.41235181063098</c:v>
                </c:pt>
                <c:pt idx="354">
                  <c:v>13.546475328737415</c:v>
                </c:pt>
                <c:pt idx="355">
                  <c:v>13.681940082024767</c:v>
                </c:pt>
                <c:pt idx="356">
                  <c:v>13.818759482845053</c:v>
                </c:pt>
                <c:pt idx="357">
                  <c:v>13.956947077673476</c:v>
                </c:pt>
                <c:pt idx="358">
                  <c:v>14.096516548450154</c:v>
                </c:pt>
                <c:pt idx="359">
                  <c:v>14.237481713934585</c:v>
                </c:pt>
                <c:pt idx="360">
                  <c:v>14.379856531073983</c:v>
                </c:pt>
                <c:pt idx="361">
                  <c:v>14.5236550963848</c:v>
                </c:pt>
                <c:pt idx="362">
                  <c:v>14.668891647348573</c:v>
                </c:pt>
                <c:pt idx="363">
                  <c:v>14.815580563822095</c:v>
                </c:pt>
                <c:pt idx="364">
                  <c:v>14.963736369460321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93-40CC-9367-1CC73A64A169}"/>
            </c:ext>
          </c:extLst>
        </c:ser>
        <c:ser>
          <c:idx val="3"/>
          <c:order val="3"/>
          <c:tx>
            <c:strRef>
              <c:f>Gerenciamento!$E$2:$E$3</c:f>
              <c:strCache>
                <c:ptCount val="2"/>
                <c:pt idx="0">
                  <c:v>Sugestão de Entrada</c:v>
                </c:pt>
                <c:pt idx="1">
                  <c:v>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Gerenciamento!$E$4:$E$368</c:f>
              <c:numCache>
                <c:formatCode>0%</c:formatCode>
                <c:ptCount val="365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0.8</c:v>
                </c:pt>
                <c:pt idx="88">
                  <c:v>0.8</c:v>
                </c:pt>
                <c:pt idx="89">
                  <c:v>0.8</c:v>
                </c:pt>
                <c:pt idx="90">
                  <c:v>0.8</c:v>
                </c:pt>
                <c:pt idx="91">
                  <c:v>0.8</c:v>
                </c:pt>
                <c:pt idx="92">
                  <c:v>0.8</c:v>
                </c:pt>
                <c:pt idx="93">
                  <c:v>0.8</c:v>
                </c:pt>
                <c:pt idx="94">
                  <c:v>0.8</c:v>
                </c:pt>
                <c:pt idx="95">
                  <c:v>0.8</c:v>
                </c:pt>
                <c:pt idx="96">
                  <c:v>0.8</c:v>
                </c:pt>
                <c:pt idx="97">
                  <c:v>0.8</c:v>
                </c:pt>
                <c:pt idx="98">
                  <c:v>0.8</c:v>
                </c:pt>
                <c:pt idx="99">
                  <c:v>0.8</c:v>
                </c:pt>
                <c:pt idx="100">
                  <c:v>0.8</c:v>
                </c:pt>
                <c:pt idx="101">
                  <c:v>0.8</c:v>
                </c:pt>
                <c:pt idx="102">
                  <c:v>0.8</c:v>
                </c:pt>
                <c:pt idx="103">
                  <c:v>0.8</c:v>
                </c:pt>
                <c:pt idx="104">
                  <c:v>0.8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0.8</c:v>
                </c:pt>
                <c:pt idx="128">
                  <c:v>0.8</c:v>
                </c:pt>
                <c:pt idx="129">
                  <c:v>0.8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0.8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0.8</c:v>
                </c:pt>
                <c:pt idx="157">
                  <c:v>0.8</c:v>
                </c:pt>
                <c:pt idx="158">
                  <c:v>0.8</c:v>
                </c:pt>
                <c:pt idx="159">
                  <c:v>0.8</c:v>
                </c:pt>
                <c:pt idx="160">
                  <c:v>0.8</c:v>
                </c:pt>
                <c:pt idx="161">
                  <c:v>0.8</c:v>
                </c:pt>
                <c:pt idx="162">
                  <c:v>0.8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0.8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0.8</c:v>
                </c:pt>
                <c:pt idx="281">
                  <c:v>0.8</c:v>
                </c:pt>
                <c:pt idx="282">
                  <c:v>0.8</c:v>
                </c:pt>
                <c:pt idx="283">
                  <c:v>0.8</c:v>
                </c:pt>
                <c:pt idx="284">
                  <c:v>0.8</c:v>
                </c:pt>
                <c:pt idx="285">
                  <c:v>0.8</c:v>
                </c:pt>
                <c:pt idx="286">
                  <c:v>0.8</c:v>
                </c:pt>
                <c:pt idx="287">
                  <c:v>0.8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0.8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0.8</c:v>
                </c:pt>
                <c:pt idx="312">
                  <c:v>0.8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93-40CC-9367-1CC73A64A169}"/>
            </c:ext>
          </c:extLst>
        </c:ser>
        <c:ser>
          <c:idx val="4"/>
          <c:order val="4"/>
          <c:tx>
            <c:strRef>
              <c:f>Gerenciamento!$F$2:$F$3</c:f>
              <c:strCache>
                <c:ptCount val="2"/>
                <c:pt idx="0">
                  <c:v>Sugestão de Entrada</c:v>
                </c:pt>
                <c:pt idx="1">
                  <c:v>Entrada(s)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Gerenciamento!$F$4:$F$368</c:f>
              <c:numCache>
                <c:formatCode>_-[$$-F0000]* #,##0.00_ ;_-[$$-F0000]* \-#,##0.00\ ;_-[$$-F0000]* "-"??_ ;_-@_ </c:formatCode>
                <c:ptCount val="365"/>
                <c:pt idx="0">
                  <c:v>9.9999999999999645E-2</c:v>
                </c:pt>
                <c:pt idx="1">
                  <c:v>0.10100000000000087</c:v>
                </c:pt>
                <c:pt idx="2">
                  <c:v>0.10200999999999993</c:v>
                </c:pt>
                <c:pt idx="3">
                  <c:v>0.10303009999999979</c:v>
                </c:pt>
                <c:pt idx="4">
                  <c:v>0.10406040099999991</c:v>
                </c:pt>
                <c:pt idx="5">
                  <c:v>0.10510100501000075</c:v>
                </c:pt>
                <c:pt idx="6">
                  <c:v>0.10615201506010052</c:v>
                </c:pt>
                <c:pt idx="7">
                  <c:v>0.10721353521070043</c:v>
                </c:pt>
                <c:pt idx="8">
                  <c:v>0.10828567056280747</c:v>
                </c:pt>
                <c:pt idx="9">
                  <c:v>0.10936852726843682</c:v>
                </c:pt>
                <c:pt idx="10">
                  <c:v>0.11046221254112076</c:v>
                </c:pt>
                <c:pt idx="11">
                  <c:v>0.11156683466653128</c:v>
                </c:pt>
                <c:pt idx="12">
                  <c:v>0.11268250301319682</c:v>
                </c:pt>
                <c:pt idx="13">
                  <c:v>0.11380932804332922</c:v>
                </c:pt>
                <c:pt idx="14">
                  <c:v>0.11494742132376246</c:v>
                </c:pt>
                <c:pt idx="15">
                  <c:v>0.11609689553699987</c:v>
                </c:pt>
                <c:pt idx="16">
                  <c:v>0.11725786449236963</c:v>
                </c:pt>
                <c:pt idx="17">
                  <c:v>0.11843044313729401</c:v>
                </c:pt>
                <c:pt idx="18">
                  <c:v>0.11961474756866686</c:v>
                </c:pt>
                <c:pt idx="19">
                  <c:v>0.12081089504435383</c:v>
                </c:pt>
                <c:pt idx="20">
                  <c:v>0.12201900399479726</c:v>
                </c:pt>
                <c:pt idx="21">
                  <c:v>0.12323919403474548</c:v>
                </c:pt>
                <c:pt idx="22">
                  <c:v>0.12447158597509222</c:v>
                </c:pt>
                <c:pt idx="23">
                  <c:v>0.12571630183484217</c:v>
                </c:pt>
                <c:pt idx="24">
                  <c:v>0.12697346485319194</c:v>
                </c:pt>
                <c:pt idx="25">
                  <c:v>0.12824319950172303</c:v>
                </c:pt>
                <c:pt idx="26">
                  <c:v>0.12952563149674035</c:v>
                </c:pt>
                <c:pt idx="27">
                  <c:v>0.13082088781170853</c:v>
                </c:pt>
                <c:pt idx="28">
                  <c:v>0.13212909668982498</c:v>
                </c:pt>
                <c:pt idx="29">
                  <c:v>0.13345038765672257</c:v>
                </c:pt>
                <c:pt idx="30">
                  <c:v>0.13478489153329143</c:v>
                </c:pt>
                <c:pt idx="31">
                  <c:v>0.13613274044862322</c:v>
                </c:pt>
                <c:pt idx="32">
                  <c:v>0.13749406785311002</c:v>
                </c:pt>
                <c:pt idx="33">
                  <c:v>0.13886900853164086</c:v>
                </c:pt>
                <c:pt idx="34">
                  <c:v>0.14025769861695636</c:v>
                </c:pt>
                <c:pt idx="35">
                  <c:v>0.141660275603126</c:v>
                </c:pt>
                <c:pt idx="36">
                  <c:v>0.1430768783591585</c:v>
                </c:pt>
                <c:pt idx="37">
                  <c:v>0.14450764714274911</c:v>
                </c:pt>
                <c:pt idx="38">
                  <c:v>0.14595272361417777</c:v>
                </c:pt>
                <c:pt idx="39">
                  <c:v>0.14741225085031928</c:v>
                </c:pt>
                <c:pt idx="40">
                  <c:v>0.14888637335882215</c:v>
                </c:pt>
                <c:pt idx="41">
                  <c:v>0.15037523709241007</c:v>
                </c:pt>
                <c:pt idx="42">
                  <c:v>0.15187898946333434</c:v>
                </c:pt>
                <c:pt idx="43">
                  <c:v>0.15339777935796839</c:v>
                </c:pt>
                <c:pt idx="44">
                  <c:v>0.15493175715154806</c:v>
                </c:pt>
                <c:pt idx="45">
                  <c:v>0.15648107472306272</c:v>
                </c:pt>
                <c:pt idx="46">
                  <c:v>0.15804588547029397</c:v>
                </c:pt>
                <c:pt idx="47">
                  <c:v>0.15962634432499812</c:v>
                </c:pt>
                <c:pt idx="48">
                  <c:v>0.16122260776824504</c:v>
                </c:pt>
                <c:pt idx="49">
                  <c:v>0.16283483384592756</c:v>
                </c:pt>
                <c:pt idx="50">
                  <c:v>0.16446318218438805</c:v>
                </c:pt>
                <c:pt idx="51">
                  <c:v>0.16610781400623154</c:v>
                </c:pt>
                <c:pt idx="52">
                  <c:v>0.1677688921462952</c:v>
                </c:pt>
                <c:pt idx="53">
                  <c:v>0.16944658106775634</c:v>
                </c:pt>
                <c:pt idx="54">
                  <c:v>0.17114104687843579</c:v>
                </c:pt>
                <c:pt idx="55">
                  <c:v>0.17285245734721855</c:v>
                </c:pt>
                <c:pt idx="56">
                  <c:v>0.17458098192069116</c:v>
                </c:pt>
                <c:pt idx="57">
                  <c:v>0.17632679173989985</c:v>
                </c:pt>
                <c:pt idx="58">
                  <c:v>0.17809005965729696</c:v>
                </c:pt>
                <c:pt idx="59">
                  <c:v>0.17987096025386862</c:v>
                </c:pt>
                <c:pt idx="60">
                  <c:v>0.18166966985640798</c:v>
                </c:pt>
                <c:pt idx="61">
                  <c:v>0.1834863665549733</c:v>
                </c:pt>
                <c:pt idx="62">
                  <c:v>0.1853212302205236</c:v>
                </c:pt>
                <c:pt idx="63">
                  <c:v>0.18717444252272841</c:v>
                </c:pt>
                <c:pt idx="64">
                  <c:v>0.18904618694795516</c:v>
                </c:pt>
                <c:pt idx="65">
                  <c:v>0.19093664881743422</c:v>
                </c:pt>
                <c:pt idx="66">
                  <c:v>0.19284601530560863</c:v>
                </c:pt>
                <c:pt idx="67">
                  <c:v>0.19477447545866511</c:v>
                </c:pt>
                <c:pt idx="68">
                  <c:v>0.19672222021325325</c:v>
                </c:pt>
                <c:pt idx="69">
                  <c:v>0.198689442415386</c:v>
                </c:pt>
                <c:pt idx="70">
                  <c:v>0.200676336839539</c:v>
                </c:pt>
                <c:pt idx="71">
                  <c:v>0.20268310020793479</c:v>
                </c:pt>
                <c:pt idx="72">
                  <c:v>0.20470993121001158</c:v>
                </c:pt>
                <c:pt idx="73">
                  <c:v>0.20675703052211247</c:v>
                </c:pt>
                <c:pt idx="74">
                  <c:v>0.20882460082733445</c:v>
                </c:pt>
                <c:pt idx="75">
                  <c:v>0.21091284683560829</c:v>
                </c:pt>
                <c:pt idx="76">
                  <c:v>0.21302197530396327</c:v>
                </c:pt>
                <c:pt idx="77">
                  <c:v>0.215152195057005</c:v>
                </c:pt>
                <c:pt idx="78">
                  <c:v>0.21730371700757445</c:v>
                </c:pt>
                <c:pt idx="79">
                  <c:v>0.21947675417764856</c:v>
                </c:pt>
                <c:pt idx="80">
                  <c:v>0.22167152171942561</c:v>
                </c:pt>
                <c:pt idx="81">
                  <c:v>0.22388823693662019</c:v>
                </c:pt>
                <c:pt idx="82">
                  <c:v>0.2261271193059855</c:v>
                </c:pt>
                <c:pt idx="83">
                  <c:v>0.22838839049904536</c:v>
                </c:pt>
                <c:pt idx="84">
                  <c:v>0.2306722744040357</c:v>
                </c:pt>
                <c:pt idx="85">
                  <c:v>0.23297899714807713</c:v>
                </c:pt>
                <c:pt idx="86">
                  <c:v>0.23530878711955694</c:v>
                </c:pt>
                <c:pt idx="87">
                  <c:v>0.23766187499075286</c:v>
                </c:pt>
                <c:pt idx="88">
                  <c:v>0.24003849374065922</c:v>
                </c:pt>
                <c:pt idx="89">
                  <c:v>0.2424388786780689</c:v>
                </c:pt>
                <c:pt idx="90">
                  <c:v>0.24486326746484721</c:v>
                </c:pt>
                <c:pt idx="91">
                  <c:v>0.247311900139497</c:v>
                </c:pt>
                <c:pt idx="92">
                  <c:v>0.2497850191408908</c:v>
                </c:pt>
                <c:pt idx="93">
                  <c:v>0.25228286933230137</c:v>
                </c:pt>
                <c:pt idx="94">
                  <c:v>0.25480569802562414</c:v>
                </c:pt>
                <c:pt idx="95">
                  <c:v>0.2573537550058802</c:v>
                </c:pt>
                <c:pt idx="96">
                  <c:v>0.25992729255593972</c:v>
                </c:pt>
                <c:pt idx="97">
                  <c:v>0.26252656548149744</c:v>
                </c:pt>
                <c:pt idx="98">
                  <c:v>0.26515183113631124</c:v>
                </c:pt>
                <c:pt idx="99">
                  <c:v>0.26780334944767503</c:v>
                </c:pt>
                <c:pt idx="100">
                  <c:v>0.27048138294215107</c:v>
                </c:pt>
                <c:pt idx="101">
                  <c:v>0.27318619677157585</c:v>
                </c:pt>
                <c:pt idx="102">
                  <c:v>0.27591805873928976</c:v>
                </c:pt>
                <c:pt idx="103">
                  <c:v>0.27867723932668298</c:v>
                </c:pt>
                <c:pt idx="104">
                  <c:v>0.28146401171995095</c:v>
                </c:pt>
                <c:pt idx="105">
                  <c:v>0.28427865183714829</c:v>
                </c:pt>
                <c:pt idx="106">
                  <c:v>0.28712143835551984</c:v>
                </c:pt>
                <c:pt idx="107">
                  <c:v>0.28999265273907682</c:v>
                </c:pt>
                <c:pt idx="108">
                  <c:v>0.29289257926646783</c:v>
                </c:pt>
                <c:pt idx="109">
                  <c:v>0.29582150505913063</c:v>
                </c:pt>
                <c:pt idx="110">
                  <c:v>0.29877972010972087</c:v>
                </c:pt>
                <c:pt idx="111">
                  <c:v>0.30176751731081808</c:v>
                </c:pt>
                <c:pt idx="112">
                  <c:v>0.30478519248392644</c:v>
                </c:pt>
                <c:pt idx="113">
                  <c:v>0.30783304440876691</c:v>
                </c:pt>
                <c:pt idx="114">
                  <c:v>0.31091137485285358</c:v>
                </c:pt>
                <c:pt idx="115">
                  <c:v>0.31402048860138265</c:v>
                </c:pt>
                <c:pt idx="116">
                  <c:v>0.3171606934873985</c:v>
                </c:pt>
                <c:pt idx="117">
                  <c:v>0.32033230042227245</c:v>
                </c:pt>
                <c:pt idx="118">
                  <c:v>0.32353562342649411</c:v>
                </c:pt>
                <c:pt idx="119">
                  <c:v>0.32677097966075763</c:v>
                </c:pt>
                <c:pt idx="120">
                  <c:v>0.3300386894573677</c:v>
                </c:pt>
                <c:pt idx="121">
                  <c:v>0.33333907635194038</c:v>
                </c:pt>
                <c:pt idx="122">
                  <c:v>0.33667246711546284</c:v>
                </c:pt>
                <c:pt idx="123">
                  <c:v>0.3400391917866159</c:v>
                </c:pt>
                <c:pt idx="124">
                  <c:v>0.34343958370448036</c:v>
                </c:pt>
                <c:pt idx="125">
                  <c:v>0.34687397954152743</c:v>
                </c:pt>
                <c:pt idx="126">
                  <c:v>0.35034271933694328</c:v>
                </c:pt>
                <c:pt idx="127">
                  <c:v>0.35384614653030866</c:v>
                </c:pt>
                <c:pt idx="128">
                  <c:v>0.35738460799561267</c:v>
                </c:pt>
                <c:pt idx="129">
                  <c:v>0.36095845407557192</c:v>
                </c:pt>
                <c:pt idx="130">
                  <c:v>0.36456803861632636</c:v>
                </c:pt>
                <c:pt idx="131">
                  <c:v>0.36821371900249034</c:v>
                </c:pt>
                <c:pt idx="132">
                  <c:v>0.37189585619251631</c:v>
                </c:pt>
                <c:pt idx="133">
                  <c:v>0.37561481475443514</c:v>
                </c:pt>
                <c:pt idx="134">
                  <c:v>0.37937096290198014</c:v>
                </c:pt>
                <c:pt idx="135">
                  <c:v>0.38316467253100228</c:v>
                </c:pt>
                <c:pt idx="136">
                  <c:v>0.38699631925631195</c:v>
                </c:pt>
                <c:pt idx="137">
                  <c:v>0.39086628244887578</c:v>
                </c:pt>
                <c:pt idx="138">
                  <c:v>0.39477494527336177</c:v>
                </c:pt>
                <c:pt idx="139">
                  <c:v>0.39872269472609645</c:v>
                </c:pt>
                <c:pt idx="140">
                  <c:v>0.40270992167335606</c:v>
                </c:pt>
                <c:pt idx="141">
                  <c:v>0.40673702089009112</c:v>
                </c:pt>
                <c:pt idx="142">
                  <c:v>0.41080439109899203</c:v>
                </c:pt>
                <c:pt idx="143">
                  <c:v>0.4149124350099811</c:v>
                </c:pt>
                <c:pt idx="144">
                  <c:v>0.41906155936008105</c:v>
                </c:pt>
                <c:pt idx="145">
                  <c:v>0.4232521749536815</c:v>
                </c:pt>
                <c:pt idx="146">
                  <c:v>0.42748469670321754</c:v>
                </c:pt>
                <c:pt idx="147">
                  <c:v>0.43175954367025327</c:v>
                </c:pt>
                <c:pt idx="148">
                  <c:v>0.43607713910695622</c:v>
                </c:pt>
                <c:pt idx="149">
                  <c:v>0.4404379104980265</c:v>
                </c:pt>
                <c:pt idx="150">
                  <c:v>0.44484228960300243</c:v>
                </c:pt>
                <c:pt idx="151">
                  <c:v>0.44929071249903529</c:v>
                </c:pt>
                <c:pt idx="152">
                  <c:v>0.45378361962402636</c:v>
                </c:pt>
                <c:pt idx="153">
                  <c:v>0.4583214558202684</c:v>
                </c:pt>
                <c:pt idx="154">
                  <c:v>0.46290467037847094</c:v>
                </c:pt>
                <c:pt idx="155">
                  <c:v>0.46753371708225444</c:v>
                </c:pt>
                <c:pt idx="156">
                  <c:v>0.47220905425307791</c:v>
                </c:pt>
                <c:pt idx="157">
                  <c:v>0.47693114479560705</c:v>
                </c:pt>
                <c:pt idx="158">
                  <c:v>0.48170045624356561</c:v>
                </c:pt>
                <c:pt idx="159">
                  <c:v>0.48651746080599878</c:v>
                </c:pt>
                <c:pt idx="160">
                  <c:v>0.49138263541405536</c:v>
                </c:pt>
                <c:pt idx="161">
                  <c:v>0.4962964617681962</c:v>
                </c:pt>
                <c:pt idx="162">
                  <c:v>0.50125942638587873</c:v>
                </c:pt>
                <c:pt idx="163">
                  <c:v>0.50627202064973886</c:v>
                </c:pt>
                <c:pt idx="164">
                  <c:v>0.51133474085623476</c:v>
                </c:pt>
                <c:pt idx="165">
                  <c:v>0.51644808826480215</c:v>
                </c:pt>
                <c:pt idx="166">
                  <c:v>0.52161256914745024</c:v>
                </c:pt>
                <c:pt idx="167">
                  <c:v>0.52682869483891892</c:v>
                </c:pt>
                <c:pt idx="168">
                  <c:v>0.53209698178731202</c:v>
                </c:pt>
                <c:pt idx="169">
                  <c:v>0.53741795160518535</c:v>
                </c:pt>
                <c:pt idx="170">
                  <c:v>0.5427921311212387</c:v>
                </c:pt>
                <c:pt idx="171">
                  <c:v>0.54822005243244831</c:v>
                </c:pt>
                <c:pt idx="172">
                  <c:v>0.553702252956775</c:v>
                </c:pt>
                <c:pt idx="173">
                  <c:v>0.55923927548634111</c:v>
                </c:pt>
                <c:pt idx="174">
                  <c:v>0.56483166824120445</c:v>
                </c:pt>
                <c:pt idx="175">
                  <c:v>0.57047998492361529</c:v>
                </c:pt>
                <c:pt idx="176">
                  <c:v>0.57618478477284896</c:v>
                </c:pt>
                <c:pt idx="177">
                  <c:v>0.58194663262057844</c:v>
                </c:pt>
                <c:pt idx="178">
                  <c:v>0.587766098946787</c:v>
                </c:pt>
                <c:pt idx="179">
                  <c:v>0.59364375993625629</c:v>
                </c:pt>
                <c:pt idx="180">
                  <c:v>0.59958019753561587</c:v>
                </c:pt>
                <c:pt idx="181">
                  <c:v>0.60557599951097529</c:v>
                </c:pt>
                <c:pt idx="182">
                  <c:v>0.61163175950608206</c:v>
                </c:pt>
                <c:pt idx="183">
                  <c:v>0.61774807710114032</c:v>
                </c:pt>
                <c:pt idx="184">
                  <c:v>0.62392555787215542</c:v>
                </c:pt>
                <c:pt idx="185">
                  <c:v>0.63016481345087527</c:v>
                </c:pt>
                <c:pt idx="186">
                  <c:v>0.63646646158538545</c:v>
                </c:pt>
                <c:pt idx="187">
                  <c:v>0.64283112620124427</c:v>
                </c:pt>
                <c:pt idx="188">
                  <c:v>0.64925943746325743</c:v>
                </c:pt>
                <c:pt idx="189">
                  <c:v>0.65575203183787778</c:v>
                </c:pt>
                <c:pt idx="190">
                  <c:v>0.66230955215625897</c:v>
                </c:pt>
                <c:pt idx="191">
                  <c:v>0.66893264767782057</c:v>
                </c:pt>
                <c:pt idx="192">
                  <c:v>0.67562197415460901</c:v>
                </c:pt>
                <c:pt idx="193">
                  <c:v>0.68237819389615595</c:v>
                </c:pt>
                <c:pt idx="194">
                  <c:v>0.68920197583511822</c:v>
                </c:pt>
                <c:pt idx="195">
                  <c:v>0.69609399559345775</c:v>
                </c:pt>
                <c:pt idx="196">
                  <c:v>0.70305493554940313</c:v>
                </c:pt>
                <c:pt idx="197">
                  <c:v>0.71008548490489432</c:v>
                </c:pt>
                <c:pt idx="198">
                  <c:v>0.71718633975393686</c:v>
                </c:pt>
                <c:pt idx="199">
                  <c:v>0.72435820315148192</c:v>
                </c:pt>
                <c:pt idx="200">
                  <c:v>0.73160178518298835</c:v>
                </c:pt>
                <c:pt idx="201">
                  <c:v>0.73891780303482335</c:v>
                </c:pt>
                <c:pt idx="202">
                  <c:v>0.74630698106517457</c:v>
                </c:pt>
                <c:pt idx="203">
                  <c:v>0.75377005087582916</c:v>
                </c:pt>
                <c:pt idx="204">
                  <c:v>0.76130775138457807</c:v>
                </c:pt>
                <c:pt idx="205">
                  <c:v>0.76892082889843039</c:v>
                </c:pt>
                <c:pt idx="206">
                  <c:v>0.77661003718741028</c:v>
                </c:pt>
                <c:pt idx="207">
                  <c:v>0.78437613755929192</c:v>
                </c:pt>
                <c:pt idx="208">
                  <c:v>0.79221989893487432</c:v>
                </c:pt>
                <c:pt idx="209">
                  <c:v>0.80014209792422264</c:v>
                </c:pt>
                <c:pt idx="210">
                  <c:v>0.80814351890346359</c:v>
                </c:pt>
                <c:pt idx="211">
                  <c:v>0.81622495409250462</c:v>
                </c:pt>
                <c:pt idx="212">
                  <c:v>0.82438720363343521</c:v>
                </c:pt>
                <c:pt idx="213">
                  <c:v>0.83263107566976657</c:v>
                </c:pt>
                <c:pt idx="214">
                  <c:v>0.84095738642646722</c:v>
                </c:pt>
                <c:pt idx="215">
                  <c:v>0.84936696029072323</c:v>
                </c:pt>
                <c:pt idx="216">
                  <c:v>0.85786062989363643</c:v>
                </c:pt>
                <c:pt idx="217">
                  <c:v>0.86643923619257635</c:v>
                </c:pt>
                <c:pt idx="218">
                  <c:v>0.87510362855449841</c:v>
                </c:pt>
                <c:pt idx="219">
                  <c:v>0.88385466484004382</c:v>
                </c:pt>
                <c:pt idx="220">
                  <c:v>0.89269321148843517</c:v>
                </c:pt>
                <c:pt idx="221">
                  <c:v>0.90162014360332421</c:v>
                </c:pt>
                <c:pt idx="222">
                  <c:v>0.91063634503936441</c:v>
                </c:pt>
                <c:pt idx="223">
                  <c:v>0.91974270848974982</c:v>
                </c:pt>
                <c:pt idx="224">
                  <c:v>0.92894013557464916</c:v>
                </c:pt>
                <c:pt idx="225">
                  <c:v>0.93822953693039324</c:v>
                </c:pt>
                <c:pt idx="226">
                  <c:v>0.94761183229969959</c:v>
                </c:pt>
                <c:pt idx="227">
                  <c:v>0.95708795062269303</c:v>
                </c:pt>
                <c:pt idx="228">
                  <c:v>0.96665883012892095</c:v>
                </c:pt>
                <c:pt idx="229">
                  <c:v>0.97632541843020704</c:v>
                </c:pt>
                <c:pt idx="230">
                  <c:v>0.98608867261451394</c:v>
                </c:pt>
                <c:pt idx="231">
                  <c:v>0.99594955934065865</c:v>
                </c:pt>
                <c:pt idx="232">
                  <c:v>1.0059090549340652</c:v>
                </c:pt>
                <c:pt idx="233">
                  <c:v>1.0159681454834129</c:v>
                </c:pt>
                <c:pt idx="234">
                  <c:v>1.0261278269382359</c:v>
                </c:pt>
                <c:pt idx="235">
                  <c:v>1.0363891052076184</c:v>
                </c:pt>
                <c:pt idx="236">
                  <c:v>1.0467529962596984</c:v>
                </c:pt>
                <c:pt idx="237">
                  <c:v>1.0572205262222951</c:v>
                </c:pt>
                <c:pt idx="238">
                  <c:v>1.0677927314845164</c:v>
                </c:pt>
                <c:pt idx="239">
                  <c:v>1.0784706587993611</c:v>
                </c:pt>
                <c:pt idx="240">
                  <c:v>1.0892553653873591</c:v>
                </c:pt>
                <c:pt idx="241">
                  <c:v>1.100147919041234</c:v>
                </c:pt>
                <c:pt idx="242">
                  <c:v>1.111149398231646</c:v>
                </c:pt>
                <c:pt idx="243">
                  <c:v>1.1222608922139585</c:v>
                </c:pt>
                <c:pt idx="244">
                  <c:v>1.133483501136098</c:v>
                </c:pt>
                <c:pt idx="245">
                  <c:v>1.1448183361474662</c:v>
                </c:pt>
                <c:pt idx="246">
                  <c:v>1.1562665195089323</c:v>
                </c:pt>
                <c:pt idx="247">
                  <c:v>1.1678291847040327</c:v>
                </c:pt>
                <c:pt idx="248">
                  <c:v>1.1795074765510662</c:v>
                </c:pt>
                <c:pt idx="249">
                  <c:v>1.191302551316582</c:v>
                </c:pt>
                <c:pt idx="250">
                  <c:v>1.2032155768297486</c:v>
                </c:pt>
                <c:pt idx="251">
                  <c:v>1.2152477325980442</c:v>
                </c:pt>
                <c:pt idx="252">
                  <c:v>1.2274002099240278</c:v>
                </c:pt>
                <c:pt idx="253">
                  <c:v>1.2396742120232602</c:v>
                </c:pt>
                <c:pt idx="254">
                  <c:v>1.2520709541434911</c:v>
                </c:pt>
                <c:pt idx="255">
                  <c:v>1.264591663684925</c:v>
                </c:pt>
                <c:pt idx="256">
                  <c:v>1.277237580321767</c:v>
                </c:pt>
                <c:pt idx="257">
                  <c:v>1.2900099561250045</c:v>
                </c:pt>
                <c:pt idx="258">
                  <c:v>1.3029100556862545</c:v>
                </c:pt>
                <c:pt idx="259">
                  <c:v>1.315939156243104</c:v>
                </c:pt>
                <c:pt idx="260">
                  <c:v>1.3290985478055291</c:v>
                </c:pt>
                <c:pt idx="261">
                  <c:v>1.3423895332836082</c:v>
                </c:pt>
                <c:pt idx="262">
                  <c:v>1.3558134286164432</c:v>
                </c:pt>
                <c:pt idx="263">
                  <c:v>1.369371562902586</c:v>
                </c:pt>
                <c:pt idx="264">
                  <c:v>1.3830652785316317</c:v>
                </c:pt>
                <c:pt idx="265">
                  <c:v>1.3968959313169478</c:v>
                </c:pt>
                <c:pt idx="266">
                  <c:v>1.4108648906301084</c:v>
                </c:pt>
                <c:pt idx="267">
                  <c:v>1.4249735395364098</c:v>
                </c:pt>
                <c:pt idx="268">
                  <c:v>1.439223274931777</c:v>
                </c:pt>
                <c:pt idx="269">
                  <c:v>1.4536155076810928</c:v>
                </c:pt>
                <c:pt idx="270">
                  <c:v>1.4681516627578901</c:v>
                </c:pt>
                <c:pt idx="271">
                  <c:v>1.4828331793854659</c:v>
                </c:pt>
                <c:pt idx="272">
                  <c:v>1.4976615111793308</c:v>
                </c:pt>
                <c:pt idx="273">
                  <c:v>1.5126381262911366</c:v>
                </c:pt>
                <c:pt idx="274">
                  <c:v>1.5277645075540534</c:v>
                </c:pt>
                <c:pt idx="275">
                  <c:v>1.5430421526295675</c:v>
                </c:pt>
                <c:pt idx="276">
                  <c:v>1.5584725741558714</c:v>
                </c:pt>
                <c:pt idx="277">
                  <c:v>1.5740572998974471</c:v>
                </c:pt>
                <c:pt idx="278">
                  <c:v>1.5897978728964119</c:v>
                </c:pt>
                <c:pt idx="279">
                  <c:v>1.6056958516253701</c:v>
                </c:pt>
                <c:pt idx="280">
                  <c:v>1.6217528101416292</c:v>
                </c:pt>
                <c:pt idx="281">
                  <c:v>1.6379703382430364</c:v>
                </c:pt>
                <c:pt idx="282">
                  <c:v>1.6543500416254631</c:v>
                </c:pt>
                <c:pt idx="283">
                  <c:v>1.670893542041739</c:v>
                </c:pt>
                <c:pt idx="284">
                  <c:v>1.6876024774621499</c:v>
                </c:pt>
                <c:pt idx="285">
                  <c:v>1.7044785022367535</c:v>
                </c:pt>
                <c:pt idx="286">
                  <c:v>1.7215232872591457</c:v>
                </c:pt>
                <c:pt idx="287">
                  <c:v>1.7387385201317329</c:v>
                </c:pt>
                <c:pt idx="288">
                  <c:v>1.7561259053330502</c:v>
                </c:pt>
                <c:pt idx="289">
                  <c:v>1.7736871643863878</c:v>
                </c:pt>
                <c:pt idx="290">
                  <c:v>1.7914240360302358</c:v>
                </c:pt>
                <c:pt idx="291">
                  <c:v>1.8093382763905481</c:v>
                </c:pt>
                <c:pt idx="292">
                  <c:v>1.8274316591544562</c:v>
                </c:pt>
                <c:pt idx="293">
                  <c:v>1.8457059757460001</c:v>
                </c:pt>
                <c:pt idx="294">
                  <c:v>1.8641630355034522</c:v>
                </c:pt>
                <c:pt idx="295">
                  <c:v>1.8828046658584867</c:v>
                </c:pt>
                <c:pt idx="296">
                  <c:v>1.9016327125170562</c:v>
                </c:pt>
                <c:pt idx="297">
                  <c:v>1.9206490396422282</c:v>
                </c:pt>
                <c:pt idx="298">
                  <c:v>1.9398555300386704</c:v>
                </c:pt>
                <c:pt idx="299">
                  <c:v>1.9592540853390403</c:v>
                </c:pt>
                <c:pt idx="300">
                  <c:v>1.9788466261924498</c:v>
                </c:pt>
                <c:pt idx="301">
                  <c:v>1.9986350924543501</c:v>
                </c:pt>
                <c:pt idx="302">
                  <c:v>2.0186214433789189</c:v>
                </c:pt>
                <c:pt idx="303">
                  <c:v>2.038807657812697</c:v>
                </c:pt>
                <c:pt idx="304">
                  <c:v>2.059195734390812</c:v>
                </c:pt>
                <c:pt idx="305">
                  <c:v>2.0797876917347367</c:v>
                </c:pt>
                <c:pt idx="306">
                  <c:v>2.1005855686520931</c:v>
                </c:pt>
                <c:pt idx="307">
                  <c:v>2.1215914243385896</c:v>
                </c:pt>
                <c:pt idx="308">
                  <c:v>2.1428073385819744</c:v>
                </c:pt>
                <c:pt idx="309">
                  <c:v>2.1642354119678089</c:v>
                </c:pt>
                <c:pt idx="310">
                  <c:v>2.1858777660874864</c:v>
                </c:pt>
                <c:pt idx="311">
                  <c:v>2.2077365437483536</c:v>
                </c:pt>
                <c:pt idx="312">
                  <c:v>2.2298139091858502</c:v>
                </c:pt>
                <c:pt idx="313">
                  <c:v>2.2521120482776951</c:v>
                </c:pt>
                <c:pt idx="314">
                  <c:v>2.2746331687604879</c:v>
                </c:pt>
                <c:pt idx="315">
                  <c:v>2.2973795004480735</c:v>
                </c:pt>
                <c:pt idx="316">
                  <c:v>2.320353295452577</c:v>
                </c:pt>
                <c:pt idx="317">
                  <c:v>2.3435568284070882</c:v>
                </c:pt>
                <c:pt idx="318">
                  <c:v>2.3669923966911597</c:v>
                </c:pt>
                <c:pt idx="319">
                  <c:v>2.3906623206580662</c:v>
                </c:pt>
                <c:pt idx="320">
                  <c:v>2.4145689438646514</c:v>
                </c:pt>
                <c:pt idx="321">
                  <c:v>2.4387146333033058</c:v>
                </c:pt>
                <c:pt idx="322">
                  <c:v>2.4631017796363324</c:v>
                </c:pt>
                <c:pt idx="323">
                  <c:v>2.4877327974326988</c:v>
                </c:pt>
                <c:pt idx="324">
                  <c:v>2.5126101254070079</c:v>
                </c:pt>
                <c:pt idx="325">
                  <c:v>2.5377362266610817</c:v>
                </c:pt>
                <c:pt idx="326">
                  <c:v>2.5631135889277061</c:v>
                </c:pt>
                <c:pt idx="327">
                  <c:v>2.5887447248169906</c:v>
                </c:pt>
                <c:pt idx="328">
                  <c:v>2.6146321720651713</c:v>
                </c:pt>
                <c:pt idx="329">
                  <c:v>2.6407784937857741</c:v>
                </c:pt>
                <c:pt idx="330">
                  <c:v>2.6671862787236478</c:v>
                </c:pt>
                <c:pt idx="331">
                  <c:v>2.6938581415108729</c:v>
                </c:pt>
                <c:pt idx="332">
                  <c:v>2.7207967229260248</c:v>
                </c:pt>
                <c:pt idx="333">
                  <c:v>2.7480046901552555</c:v>
                </c:pt>
                <c:pt idx="334">
                  <c:v>2.7754847370568427</c:v>
                </c:pt>
                <c:pt idx="335">
                  <c:v>2.8032395844273879</c:v>
                </c:pt>
                <c:pt idx="336">
                  <c:v>2.8312719802716515</c:v>
                </c:pt>
                <c:pt idx="337">
                  <c:v>2.8595847000743788</c:v>
                </c:pt>
                <c:pt idx="338">
                  <c:v>2.8881805470751374</c:v>
                </c:pt>
                <c:pt idx="339">
                  <c:v>2.9170623525458836</c:v>
                </c:pt>
                <c:pt idx="340">
                  <c:v>2.9462329760713146</c:v>
                </c:pt>
                <c:pt idx="341">
                  <c:v>2.9756953058320619</c:v>
                </c:pt>
                <c:pt idx="342">
                  <c:v>3.0054522588903865</c:v>
                </c:pt>
                <c:pt idx="343">
                  <c:v>3.0355067814792847</c:v>
                </c:pt>
                <c:pt idx="344">
                  <c:v>3.0658618492940377</c:v>
                </c:pt>
                <c:pt idx="345">
                  <c:v>3.096520467787002</c:v>
                </c:pt>
                <c:pt idx="346">
                  <c:v>3.127485672464843</c:v>
                </c:pt>
                <c:pt idx="347">
                  <c:v>3.1587605291895215</c:v>
                </c:pt>
                <c:pt idx="348">
                  <c:v>3.1903481344814395</c:v>
                </c:pt>
                <c:pt idx="349">
                  <c:v>3.2222516158262238</c:v>
                </c:pt>
                <c:pt idx="350">
                  <c:v>3.2544741319844661</c:v>
                </c:pt>
                <c:pt idx="351">
                  <c:v>3.2870188733043619</c:v>
                </c:pt>
                <c:pt idx="352">
                  <c:v>3.3198890620373618</c:v>
                </c:pt>
                <c:pt idx="353">
                  <c:v>3.3530879526577451</c:v>
                </c:pt>
                <c:pt idx="354">
                  <c:v>3.3866188321843538</c:v>
                </c:pt>
                <c:pt idx="355">
                  <c:v>3.4204850205061916</c:v>
                </c:pt>
                <c:pt idx="356">
                  <c:v>3.4546898707112632</c:v>
                </c:pt>
                <c:pt idx="357">
                  <c:v>3.489236769418369</c:v>
                </c:pt>
                <c:pt idx="358">
                  <c:v>3.5241291371125385</c:v>
                </c:pt>
                <c:pt idx="359">
                  <c:v>3.5593704284836463</c:v>
                </c:pt>
                <c:pt idx="360">
                  <c:v>3.5949641327684958</c:v>
                </c:pt>
                <c:pt idx="361">
                  <c:v>3.6309137740962001</c:v>
                </c:pt>
                <c:pt idx="362">
                  <c:v>3.6672229118371433</c:v>
                </c:pt>
                <c:pt idx="363">
                  <c:v>3.7038951409555239</c:v>
                </c:pt>
                <c:pt idx="364">
                  <c:v>3.7409340923650802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93-40CC-9367-1CC73A64A169}"/>
            </c:ext>
          </c:extLst>
        </c:ser>
        <c:ser>
          <c:idx val="5"/>
          <c:order val="5"/>
          <c:tx>
            <c:strRef>
              <c:f>Gerenciamento!$G$2:$G$3</c:f>
              <c:strCache>
                <c:ptCount val="2"/>
                <c:pt idx="0">
                  <c:v>Sugestão de Entrada</c:v>
                </c:pt>
                <c:pt idx="1">
                  <c:v>Entrada(s)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Gerenciamento!$G$4:$G$368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93-40CC-9367-1CC73A64A169}"/>
            </c:ext>
          </c:extLst>
        </c:ser>
        <c:ser>
          <c:idx val="6"/>
          <c:order val="6"/>
          <c:tx>
            <c:strRef>
              <c:f>Gerenciamento!$H$2:$H$3</c:f>
              <c:strCache>
                <c:ptCount val="2"/>
                <c:pt idx="0">
                  <c:v>Resultados do Dia</c:v>
                </c:pt>
                <c:pt idx="1">
                  <c:v>Em Caixa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Gerenciamento!$H$4:$H$368</c:f>
              <c:numCache>
                <c:formatCode>_-[$$-F0000]* #,##0.00_ ;_-[$$-F0000]* \-#,##0.00\ ;_-[$$-F0000]* "-"??_ ;_-@_ 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6-7B93-40CC-9367-1CC73A64A169}"/>
            </c:ext>
          </c:extLst>
        </c:ser>
        <c:ser>
          <c:idx val="7"/>
          <c:order val="7"/>
          <c:tx>
            <c:strRef>
              <c:f>Gerenciamento!$I$2:$I$3</c:f>
              <c:strCache>
                <c:ptCount val="2"/>
                <c:pt idx="0">
                  <c:v>Resultados do Dia</c:v>
                </c:pt>
                <c:pt idx="1">
                  <c:v>Lucro em R$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Gerenciamento!$I$4:$I$368</c:f>
              <c:numCache>
                <c:formatCode>_-[$$-F0000]* #,##0.00_ ;_-[$$-F0000]* \-#,##0.00\ ;_-[$$-F0000]* "-"??_ ;_-@_ 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93-40CC-9367-1CC73A64A169}"/>
            </c:ext>
          </c:extLst>
        </c:ser>
        <c:ser>
          <c:idx val="8"/>
          <c:order val="8"/>
          <c:tx>
            <c:strRef>
              <c:f>Gerenciamento!$J$2:$J$3</c:f>
              <c:strCache>
                <c:ptCount val="2"/>
                <c:pt idx="0">
                  <c:v>Resultados do Dia</c:v>
                </c:pt>
                <c:pt idx="1">
                  <c:v>Diferença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Gerenciamento!$J$4:$J$368</c:f>
              <c:numCache>
                <c:formatCode>_-[$$-F0000]* #,##0.00_ ;_-[$$-F0000]* \-#,##0.00\ ;_-[$$-F0000]* "-"??_ ;_-@_ 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93-40CC-9367-1CC73A64A169}"/>
            </c:ext>
          </c:extLst>
        </c:ser>
        <c:ser>
          <c:idx val="9"/>
          <c:order val="9"/>
          <c:tx>
            <c:strRef>
              <c:f>Gerenciamento!$K$2:$K$3</c:f>
              <c:strCache>
                <c:ptCount val="2"/>
                <c:pt idx="0">
                  <c:v>Resultados do Dia</c:v>
                </c:pt>
                <c:pt idx="1">
                  <c:v>Lucro em %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Gerenciamento!$A$4:$A$368</c:f>
              <c:strCache>
                <c:ptCount val="365"/>
                <c:pt idx="0">
                  <c:v>&gt;</c:v>
                </c:pt>
                <c:pt idx="1">
                  <c:v>&gt;</c:v>
                </c:pt>
                <c:pt idx="2">
                  <c:v>&gt;</c:v>
                </c:pt>
                <c:pt idx="3">
                  <c:v>&gt;</c:v>
                </c:pt>
                <c:pt idx="4">
                  <c:v>&gt;</c:v>
                </c:pt>
                <c:pt idx="5">
                  <c:v>&gt;</c:v>
                </c:pt>
                <c:pt idx="6">
                  <c:v>&gt;</c:v>
                </c:pt>
                <c:pt idx="7">
                  <c:v>&gt;</c:v>
                </c:pt>
                <c:pt idx="8">
                  <c:v>&gt;</c:v>
                </c:pt>
                <c:pt idx="9">
                  <c:v>&gt;</c:v>
                </c:pt>
                <c:pt idx="10">
                  <c:v>&gt;</c:v>
                </c:pt>
                <c:pt idx="11">
                  <c:v>&gt;</c:v>
                </c:pt>
                <c:pt idx="12">
                  <c:v>&gt;</c:v>
                </c:pt>
                <c:pt idx="13">
                  <c:v>&gt;</c:v>
                </c:pt>
                <c:pt idx="14">
                  <c:v>&gt;</c:v>
                </c:pt>
                <c:pt idx="15">
                  <c:v>&gt;</c:v>
                </c:pt>
                <c:pt idx="16">
                  <c:v>&gt;</c:v>
                </c:pt>
                <c:pt idx="17">
                  <c:v>&gt;</c:v>
                </c:pt>
                <c:pt idx="18">
                  <c:v>&gt;</c:v>
                </c:pt>
                <c:pt idx="19">
                  <c:v>&gt;</c:v>
                </c:pt>
                <c:pt idx="20">
                  <c:v>&gt;</c:v>
                </c:pt>
                <c:pt idx="21">
                  <c:v>&gt;</c:v>
                </c:pt>
                <c:pt idx="22">
                  <c:v>&gt;</c:v>
                </c:pt>
                <c:pt idx="23">
                  <c:v>&gt;</c:v>
                </c:pt>
                <c:pt idx="24">
                  <c:v>&gt;</c:v>
                </c:pt>
                <c:pt idx="25">
                  <c:v>&gt;</c:v>
                </c:pt>
                <c:pt idx="26">
                  <c:v>&gt;</c:v>
                </c:pt>
                <c:pt idx="27">
                  <c:v>&gt;</c:v>
                </c:pt>
                <c:pt idx="28">
                  <c:v>&gt;</c:v>
                </c:pt>
                <c:pt idx="29">
                  <c:v>&gt;</c:v>
                </c:pt>
                <c:pt idx="30">
                  <c:v>&gt;</c:v>
                </c:pt>
                <c:pt idx="31">
                  <c:v>&gt;</c:v>
                </c:pt>
                <c:pt idx="32">
                  <c:v>&gt;</c:v>
                </c:pt>
                <c:pt idx="33">
                  <c:v>&gt;</c:v>
                </c:pt>
                <c:pt idx="34">
                  <c:v>&gt;</c:v>
                </c:pt>
                <c:pt idx="35">
                  <c:v>&gt;</c:v>
                </c:pt>
                <c:pt idx="36">
                  <c:v>&gt;</c:v>
                </c:pt>
                <c:pt idx="37">
                  <c:v>&gt;</c:v>
                </c:pt>
                <c:pt idx="38">
                  <c:v>&gt;</c:v>
                </c:pt>
                <c:pt idx="39">
                  <c:v>&gt;</c:v>
                </c:pt>
                <c:pt idx="40">
                  <c:v>&gt;</c:v>
                </c:pt>
                <c:pt idx="41">
                  <c:v>&gt;</c:v>
                </c:pt>
                <c:pt idx="42">
                  <c:v>&gt;</c:v>
                </c:pt>
                <c:pt idx="43">
                  <c:v>&gt;</c:v>
                </c:pt>
                <c:pt idx="44">
                  <c:v>&gt;</c:v>
                </c:pt>
                <c:pt idx="45">
                  <c:v>&gt;</c:v>
                </c:pt>
                <c:pt idx="46">
                  <c:v>&gt;</c:v>
                </c:pt>
                <c:pt idx="47">
                  <c:v>&gt;</c:v>
                </c:pt>
                <c:pt idx="48">
                  <c:v>&gt;</c:v>
                </c:pt>
                <c:pt idx="49">
                  <c:v>&gt;</c:v>
                </c:pt>
                <c:pt idx="50">
                  <c:v>&gt;</c:v>
                </c:pt>
                <c:pt idx="51">
                  <c:v>&gt;</c:v>
                </c:pt>
                <c:pt idx="52">
                  <c:v>&gt;</c:v>
                </c:pt>
                <c:pt idx="53">
                  <c:v>&gt;</c:v>
                </c:pt>
                <c:pt idx="54">
                  <c:v>&gt;</c:v>
                </c:pt>
                <c:pt idx="55">
                  <c:v>&gt;</c:v>
                </c:pt>
                <c:pt idx="56">
                  <c:v>&gt;</c:v>
                </c:pt>
                <c:pt idx="57">
                  <c:v>&gt;</c:v>
                </c:pt>
                <c:pt idx="58">
                  <c:v>&gt;</c:v>
                </c:pt>
                <c:pt idx="59">
                  <c:v>&gt;</c:v>
                </c:pt>
                <c:pt idx="60">
                  <c:v>&gt;</c:v>
                </c:pt>
                <c:pt idx="61">
                  <c:v>&gt;</c:v>
                </c:pt>
                <c:pt idx="62">
                  <c:v>&gt;</c:v>
                </c:pt>
                <c:pt idx="63">
                  <c:v>&gt;</c:v>
                </c:pt>
                <c:pt idx="64">
                  <c:v>&gt;</c:v>
                </c:pt>
                <c:pt idx="65">
                  <c:v>&gt;</c:v>
                </c:pt>
                <c:pt idx="66">
                  <c:v>&gt;</c:v>
                </c:pt>
                <c:pt idx="67">
                  <c:v>&gt;</c:v>
                </c:pt>
                <c:pt idx="68">
                  <c:v>&gt;</c:v>
                </c:pt>
                <c:pt idx="69">
                  <c:v>&gt;</c:v>
                </c:pt>
                <c:pt idx="70">
                  <c:v>&gt;</c:v>
                </c:pt>
                <c:pt idx="71">
                  <c:v>&gt;</c:v>
                </c:pt>
                <c:pt idx="72">
                  <c:v>&gt;</c:v>
                </c:pt>
                <c:pt idx="73">
                  <c:v>&gt;</c:v>
                </c:pt>
                <c:pt idx="74">
                  <c:v>&gt;</c:v>
                </c:pt>
                <c:pt idx="75">
                  <c:v>&gt;</c:v>
                </c:pt>
                <c:pt idx="76">
                  <c:v>&gt;</c:v>
                </c:pt>
                <c:pt idx="77">
                  <c:v>&gt;</c:v>
                </c:pt>
                <c:pt idx="78">
                  <c:v>&gt;</c:v>
                </c:pt>
                <c:pt idx="79">
                  <c:v>&gt;</c:v>
                </c:pt>
                <c:pt idx="80">
                  <c:v>&gt;</c:v>
                </c:pt>
                <c:pt idx="81">
                  <c:v>&gt;</c:v>
                </c:pt>
                <c:pt idx="82">
                  <c:v>&gt;</c:v>
                </c:pt>
                <c:pt idx="83">
                  <c:v>&gt;</c:v>
                </c:pt>
                <c:pt idx="84">
                  <c:v>&gt;</c:v>
                </c:pt>
                <c:pt idx="85">
                  <c:v>&gt;</c:v>
                </c:pt>
                <c:pt idx="86">
                  <c:v>&gt;</c:v>
                </c:pt>
                <c:pt idx="87">
                  <c:v>&gt;</c:v>
                </c:pt>
                <c:pt idx="88">
                  <c:v>&gt;</c:v>
                </c:pt>
                <c:pt idx="89">
                  <c:v>&gt;</c:v>
                </c:pt>
                <c:pt idx="90">
                  <c:v>&gt;</c:v>
                </c:pt>
                <c:pt idx="91">
                  <c:v>&gt;</c:v>
                </c:pt>
                <c:pt idx="92">
                  <c:v>&gt;</c:v>
                </c:pt>
                <c:pt idx="93">
                  <c:v>&gt;</c:v>
                </c:pt>
                <c:pt idx="94">
                  <c:v>&gt;</c:v>
                </c:pt>
                <c:pt idx="95">
                  <c:v>&gt;</c:v>
                </c:pt>
                <c:pt idx="96">
                  <c:v>&gt;</c:v>
                </c:pt>
                <c:pt idx="97">
                  <c:v>&gt;</c:v>
                </c:pt>
                <c:pt idx="98">
                  <c:v>&gt;</c:v>
                </c:pt>
                <c:pt idx="99">
                  <c:v>&gt;</c:v>
                </c:pt>
                <c:pt idx="100">
                  <c:v>&gt;</c:v>
                </c:pt>
                <c:pt idx="101">
                  <c:v>&gt;</c:v>
                </c:pt>
                <c:pt idx="102">
                  <c:v>&gt;</c:v>
                </c:pt>
                <c:pt idx="103">
                  <c:v>&gt;</c:v>
                </c:pt>
                <c:pt idx="104">
                  <c:v>&gt;</c:v>
                </c:pt>
                <c:pt idx="105">
                  <c:v>&gt;</c:v>
                </c:pt>
                <c:pt idx="106">
                  <c:v>&gt;</c:v>
                </c:pt>
                <c:pt idx="107">
                  <c:v>&gt;</c:v>
                </c:pt>
                <c:pt idx="108">
                  <c:v>&gt;</c:v>
                </c:pt>
                <c:pt idx="109">
                  <c:v>&gt;</c:v>
                </c:pt>
                <c:pt idx="110">
                  <c:v>&gt;</c:v>
                </c:pt>
                <c:pt idx="111">
                  <c:v>&gt;</c:v>
                </c:pt>
                <c:pt idx="112">
                  <c:v>&gt;</c:v>
                </c:pt>
                <c:pt idx="113">
                  <c:v>&gt;</c:v>
                </c:pt>
                <c:pt idx="114">
                  <c:v>&gt;</c:v>
                </c:pt>
                <c:pt idx="115">
                  <c:v>&gt;</c:v>
                </c:pt>
                <c:pt idx="116">
                  <c:v>&gt;</c:v>
                </c:pt>
                <c:pt idx="117">
                  <c:v>&gt;</c:v>
                </c:pt>
                <c:pt idx="118">
                  <c:v>&gt;</c:v>
                </c:pt>
                <c:pt idx="119">
                  <c:v>&gt;</c:v>
                </c:pt>
                <c:pt idx="120">
                  <c:v>&gt;</c:v>
                </c:pt>
                <c:pt idx="121">
                  <c:v>&gt;</c:v>
                </c:pt>
                <c:pt idx="122">
                  <c:v>&gt;</c:v>
                </c:pt>
                <c:pt idx="123">
                  <c:v>&gt;</c:v>
                </c:pt>
                <c:pt idx="124">
                  <c:v>&gt;</c:v>
                </c:pt>
                <c:pt idx="125">
                  <c:v>&gt;</c:v>
                </c:pt>
                <c:pt idx="126">
                  <c:v>&gt;</c:v>
                </c:pt>
                <c:pt idx="127">
                  <c:v>&gt;</c:v>
                </c:pt>
                <c:pt idx="128">
                  <c:v>&gt;</c:v>
                </c:pt>
                <c:pt idx="129">
                  <c:v>&gt;</c:v>
                </c:pt>
                <c:pt idx="130">
                  <c:v>&gt;</c:v>
                </c:pt>
                <c:pt idx="131">
                  <c:v>&gt;</c:v>
                </c:pt>
                <c:pt idx="132">
                  <c:v>&gt;</c:v>
                </c:pt>
                <c:pt idx="133">
                  <c:v>&gt;</c:v>
                </c:pt>
                <c:pt idx="134">
                  <c:v>&gt;</c:v>
                </c:pt>
                <c:pt idx="135">
                  <c:v>&gt;</c:v>
                </c:pt>
                <c:pt idx="136">
                  <c:v>&gt;</c:v>
                </c:pt>
                <c:pt idx="137">
                  <c:v>&gt;</c:v>
                </c:pt>
                <c:pt idx="138">
                  <c:v>&gt;</c:v>
                </c:pt>
                <c:pt idx="139">
                  <c:v>&gt;</c:v>
                </c:pt>
                <c:pt idx="140">
                  <c:v>&gt;</c:v>
                </c:pt>
                <c:pt idx="141">
                  <c:v>&gt;</c:v>
                </c:pt>
                <c:pt idx="142">
                  <c:v>&gt;</c:v>
                </c:pt>
                <c:pt idx="143">
                  <c:v>&gt;</c:v>
                </c:pt>
                <c:pt idx="144">
                  <c:v>&gt;</c:v>
                </c:pt>
                <c:pt idx="145">
                  <c:v>&gt;</c:v>
                </c:pt>
                <c:pt idx="146">
                  <c:v>&gt;</c:v>
                </c:pt>
                <c:pt idx="147">
                  <c:v>&gt;</c:v>
                </c:pt>
                <c:pt idx="148">
                  <c:v>&gt;</c:v>
                </c:pt>
                <c:pt idx="149">
                  <c:v>&gt;</c:v>
                </c:pt>
                <c:pt idx="150">
                  <c:v>&gt;</c:v>
                </c:pt>
                <c:pt idx="151">
                  <c:v>&gt;</c:v>
                </c:pt>
                <c:pt idx="152">
                  <c:v>&gt;</c:v>
                </c:pt>
                <c:pt idx="153">
                  <c:v>&gt;</c:v>
                </c:pt>
                <c:pt idx="154">
                  <c:v>&gt;</c:v>
                </c:pt>
                <c:pt idx="155">
                  <c:v>&gt;</c:v>
                </c:pt>
                <c:pt idx="156">
                  <c:v>&gt;</c:v>
                </c:pt>
                <c:pt idx="157">
                  <c:v>&gt;</c:v>
                </c:pt>
                <c:pt idx="158">
                  <c:v>&gt;</c:v>
                </c:pt>
                <c:pt idx="159">
                  <c:v>&gt;</c:v>
                </c:pt>
                <c:pt idx="160">
                  <c:v>&gt;</c:v>
                </c:pt>
                <c:pt idx="161">
                  <c:v>&gt;</c:v>
                </c:pt>
                <c:pt idx="162">
                  <c:v>&gt;</c:v>
                </c:pt>
                <c:pt idx="163">
                  <c:v>&gt;</c:v>
                </c:pt>
                <c:pt idx="164">
                  <c:v>&gt;</c:v>
                </c:pt>
                <c:pt idx="165">
                  <c:v>&gt;</c:v>
                </c:pt>
                <c:pt idx="166">
                  <c:v>&gt;</c:v>
                </c:pt>
                <c:pt idx="167">
                  <c:v>&gt;</c:v>
                </c:pt>
                <c:pt idx="168">
                  <c:v>&gt;</c:v>
                </c:pt>
                <c:pt idx="169">
                  <c:v>&gt;</c:v>
                </c:pt>
                <c:pt idx="170">
                  <c:v>&gt;</c:v>
                </c:pt>
                <c:pt idx="171">
                  <c:v>&gt;</c:v>
                </c:pt>
                <c:pt idx="172">
                  <c:v>&gt;</c:v>
                </c:pt>
                <c:pt idx="173">
                  <c:v>&gt;</c:v>
                </c:pt>
                <c:pt idx="174">
                  <c:v>&gt;</c:v>
                </c:pt>
                <c:pt idx="175">
                  <c:v>&gt;</c:v>
                </c:pt>
                <c:pt idx="176">
                  <c:v>&gt;</c:v>
                </c:pt>
                <c:pt idx="177">
                  <c:v>&gt;</c:v>
                </c:pt>
                <c:pt idx="178">
                  <c:v>&gt;</c:v>
                </c:pt>
                <c:pt idx="179">
                  <c:v>&gt;</c:v>
                </c:pt>
                <c:pt idx="180">
                  <c:v>&gt;</c:v>
                </c:pt>
                <c:pt idx="181">
                  <c:v>&gt;</c:v>
                </c:pt>
                <c:pt idx="182">
                  <c:v>&gt;</c:v>
                </c:pt>
                <c:pt idx="183">
                  <c:v>&gt;</c:v>
                </c:pt>
                <c:pt idx="184">
                  <c:v>&gt;</c:v>
                </c:pt>
                <c:pt idx="185">
                  <c:v>&gt;</c:v>
                </c:pt>
                <c:pt idx="186">
                  <c:v>&gt;</c:v>
                </c:pt>
                <c:pt idx="187">
                  <c:v>&gt;</c:v>
                </c:pt>
                <c:pt idx="188">
                  <c:v>&gt;</c:v>
                </c:pt>
                <c:pt idx="189">
                  <c:v>&gt;</c:v>
                </c:pt>
                <c:pt idx="190">
                  <c:v>&gt;</c:v>
                </c:pt>
                <c:pt idx="191">
                  <c:v>&gt;</c:v>
                </c:pt>
                <c:pt idx="192">
                  <c:v>&gt;</c:v>
                </c:pt>
                <c:pt idx="193">
                  <c:v>&gt;</c:v>
                </c:pt>
                <c:pt idx="194">
                  <c:v>&gt;</c:v>
                </c:pt>
                <c:pt idx="195">
                  <c:v>&gt;</c:v>
                </c:pt>
                <c:pt idx="196">
                  <c:v>&gt;</c:v>
                </c:pt>
                <c:pt idx="197">
                  <c:v>&gt;</c:v>
                </c:pt>
                <c:pt idx="198">
                  <c:v>&gt;</c:v>
                </c:pt>
                <c:pt idx="199">
                  <c:v>&gt;</c:v>
                </c:pt>
                <c:pt idx="200">
                  <c:v>&gt;</c:v>
                </c:pt>
                <c:pt idx="201">
                  <c:v>&gt;</c:v>
                </c:pt>
                <c:pt idx="202">
                  <c:v>&gt;</c:v>
                </c:pt>
                <c:pt idx="203">
                  <c:v>&gt;</c:v>
                </c:pt>
                <c:pt idx="204">
                  <c:v>&gt;</c:v>
                </c:pt>
                <c:pt idx="205">
                  <c:v>&gt;</c:v>
                </c:pt>
                <c:pt idx="206">
                  <c:v>&gt;</c:v>
                </c:pt>
                <c:pt idx="207">
                  <c:v>&gt;</c:v>
                </c:pt>
                <c:pt idx="208">
                  <c:v>&gt;</c:v>
                </c:pt>
                <c:pt idx="209">
                  <c:v>&gt;</c:v>
                </c:pt>
                <c:pt idx="210">
                  <c:v>&gt;</c:v>
                </c:pt>
                <c:pt idx="211">
                  <c:v>&gt;</c:v>
                </c:pt>
                <c:pt idx="212">
                  <c:v>&gt;</c:v>
                </c:pt>
                <c:pt idx="213">
                  <c:v>&gt;</c:v>
                </c:pt>
                <c:pt idx="214">
                  <c:v>&gt;</c:v>
                </c:pt>
                <c:pt idx="215">
                  <c:v>&gt;</c:v>
                </c:pt>
                <c:pt idx="216">
                  <c:v>&gt;</c:v>
                </c:pt>
                <c:pt idx="217">
                  <c:v>&gt;</c:v>
                </c:pt>
                <c:pt idx="218">
                  <c:v>&gt;</c:v>
                </c:pt>
                <c:pt idx="219">
                  <c:v>&gt;</c:v>
                </c:pt>
                <c:pt idx="220">
                  <c:v>&gt;</c:v>
                </c:pt>
                <c:pt idx="221">
                  <c:v>&gt;</c:v>
                </c:pt>
                <c:pt idx="222">
                  <c:v>&gt;</c:v>
                </c:pt>
                <c:pt idx="223">
                  <c:v>&gt;</c:v>
                </c:pt>
                <c:pt idx="224">
                  <c:v>&gt;</c:v>
                </c:pt>
                <c:pt idx="225">
                  <c:v>&gt;</c:v>
                </c:pt>
                <c:pt idx="226">
                  <c:v>&gt;</c:v>
                </c:pt>
                <c:pt idx="227">
                  <c:v>&gt;</c:v>
                </c:pt>
                <c:pt idx="228">
                  <c:v>&gt;</c:v>
                </c:pt>
                <c:pt idx="229">
                  <c:v>&gt;</c:v>
                </c:pt>
                <c:pt idx="230">
                  <c:v>&gt;</c:v>
                </c:pt>
                <c:pt idx="231">
                  <c:v>&gt;</c:v>
                </c:pt>
                <c:pt idx="232">
                  <c:v>&gt;</c:v>
                </c:pt>
                <c:pt idx="233">
                  <c:v>&gt;</c:v>
                </c:pt>
                <c:pt idx="234">
                  <c:v>&gt;</c:v>
                </c:pt>
                <c:pt idx="235">
                  <c:v>&gt;</c:v>
                </c:pt>
                <c:pt idx="236">
                  <c:v>&gt;</c:v>
                </c:pt>
                <c:pt idx="237">
                  <c:v>&gt;</c:v>
                </c:pt>
                <c:pt idx="238">
                  <c:v>&gt;</c:v>
                </c:pt>
                <c:pt idx="239">
                  <c:v>&gt;</c:v>
                </c:pt>
                <c:pt idx="240">
                  <c:v>&gt;</c:v>
                </c:pt>
                <c:pt idx="241">
                  <c:v>&gt;</c:v>
                </c:pt>
                <c:pt idx="242">
                  <c:v>&gt;</c:v>
                </c:pt>
                <c:pt idx="243">
                  <c:v>&gt;</c:v>
                </c:pt>
                <c:pt idx="244">
                  <c:v>&gt;</c:v>
                </c:pt>
                <c:pt idx="245">
                  <c:v>&gt;</c:v>
                </c:pt>
                <c:pt idx="246">
                  <c:v>&gt;</c:v>
                </c:pt>
                <c:pt idx="247">
                  <c:v>&gt;</c:v>
                </c:pt>
                <c:pt idx="248">
                  <c:v>&gt;</c:v>
                </c:pt>
                <c:pt idx="249">
                  <c:v>&gt;</c:v>
                </c:pt>
                <c:pt idx="250">
                  <c:v>&gt;</c:v>
                </c:pt>
                <c:pt idx="251">
                  <c:v>&gt;</c:v>
                </c:pt>
                <c:pt idx="252">
                  <c:v>&gt;</c:v>
                </c:pt>
                <c:pt idx="253">
                  <c:v>&gt;</c:v>
                </c:pt>
                <c:pt idx="254">
                  <c:v>&gt;</c:v>
                </c:pt>
                <c:pt idx="255">
                  <c:v>&gt;</c:v>
                </c:pt>
                <c:pt idx="256">
                  <c:v>&gt;</c:v>
                </c:pt>
                <c:pt idx="257">
                  <c:v>&gt;</c:v>
                </c:pt>
                <c:pt idx="258">
                  <c:v>&gt;</c:v>
                </c:pt>
                <c:pt idx="259">
                  <c:v>&gt;</c:v>
                </c:pt>
                <c:pt idx="260">
                  <c:v>&gt;</c:v>
                </c:pt>
                <c:pt idx="261">
                  <c:v>&gt;</c:v>
                </c:pt>
                <c:pt idx="262">
                  <c:v>&gt;</c:v>
                </c:pt>
                <c:pt idx="263">
                  <c:v>&gt;</c:v>
                </c:pt>
                <c:pt idx="264">
                  <c:v>&gt;</c:v>
                </c:pt>
                <c:pt idx="265">
                  <c:v>&gt;</c:v>
                </c:pt>
                <c:pt idx="266">
                  <c:v>&gt;</c:v>
                </c:pt>
                <c:pt idx="267">
                  <c:v>&gt;</c:v>
                </c:pt>
                <c:pt idx="268">
                  <c:v>&gt;</c:v>
                </c:pt>
                <c:pt idx="269">
                  <c:v>&gt;</c:v>
                </c:pt>
                <c:pt idx="270">
                  <c:v>&gt;</c:v>
                </c:pt>
                <c:pt idx="271">
                  <c:v>&gt;</c:v>
                </c:pt>
                <c:pt idx="272">
                  <c:v>&gt;</c:v>
                </c:pt>
                <c:pt idx="273">
                  <c:v>&gt;</c:v>
                </c:pt>
                <c:pt idx="274">
                  <c:v>&gt;</c:v>
                </c:pt>
                <c:pt idx="275">
                  <c:v>&gt;</c:v>
                </c:pt>
                <c:pt idx="276">
                  <c:v>&gt;</c:v>
                </c:pt>
                <c:pt idx="277">
                  <c:v>&gt;</c:v>
                </c:pt>
                <c:pt idx="278">
                  <c:v>&gt;</c:v>
                </c:pt>
                <c:pt idx="279">
                  <c:v>&gt;</c:v>
                </c:pt>
                <c:pt idx="280">
                  <c:v>&gt;</c:v>
                </c:pt>
                <c:pt idx="281">
                  <c:v>&gt;</c:v>
                </c:pt>
                <c:pt idx="282">
                  <c:v>&gt;</c:v>
                </c:pt>
                <c:pt idx="283">
                  <c:v>&gt;</c:v>
                </c:pt>
                <c:pt idx="284">
                  <c:v>&gt;</c:v>
                </c:pt>
                <c:pt idx="285">
                  <c:v>&gt;</c:v>
                </c:pt>
                <c:pt idx="286">
                  <c:v>&gt;</c:v>
                </c:pt>
                <c:pt idx="287">
                  <c:v>&gt;</c:v>
                </c:pt>
                <c:pt idx="288">
                  <c:v>&gt;</c:v>
                </c:pt>
                <c:pt idx="289">
                  <c:v>&gt;</c:v>
                </c:pt>
                <c:pt idx="290">
                  <c:v>&gt;</c:v>
                </c:pt>
                <c:pt idx="291">
                  <c:v>&gt;</c:v>
                </c:pt>
                <c:pt idx="292">
                  <c:v>&gt;</c:v>
                </c:pt>
                <c:pt idx="293">
                  <c:v>&gt;</c:v>
                </c:pt>
                <c:pt idx="294">
                  <c:v>&gt;</c:v>
                </c:pt>
                <c:pt idx="295">
                  <c:v>&gt;</c:v>
                </c:pt>
                <c:pt idx="296">
                  <c:v>&gt;</c:v>
                </c:pt>
                <c:pt idx="297">
                  <c:v>&gt;</c:v>
                </c:pt>
                <c:pt idx="298">
                  <c:v>&gt;</c:v>
                </c:pt>
                <c:pt idx="299">
                  <c:v>&gt;</c:v>
                </c:pt>
                <c:pt idx="300">
                  <c:v>&gt;</c:v>
                </c:pt>
                <c:pt idx="301">
                  <c:v>&gt;</c:v>
                </c:pt>
                <c:pt idx="302">
                  <c:v>&gt;</c:v>
                </c:pt>
                <c:pt idx="303">
                  <c:v>&gt;</c:v>
                </c:pt>
                <c:pt idx="304">
                  <c:v>&gt;</c:v>
                </c:pt>
                <c:pt idx="305">
                  <c:v>&gt;</c:v>
                </c:pt>
                <c:pt idx="306">
                  <c:v>&gt;</c:v>
                </c:pt>
                <c:pt idx="307">
                  <c:v>&gt;</c:v>
                </c:pt>
                <c:pt idx="308">
                  <c:v>&gt;</c:v>
                </c:pt>
                <c:pt idx="309">
                  <c:v>&gt;</c:v>
                </c:pt>
                <c:pt idx="310">
                  <c:v>&gt;</c:v>
                </c:pt>
                <c:pt idx="311">
                  <c:v>&gt;</c:v>
                </c:pt>
                <c:pt idx="312">
                  <c:v>&gt;</c:v>
                </c:pt>
                <c:pt idx="313">
                  <c:v>&gt;</c:v>
                </c:pt>
                <c:pt idx="314">
                  <c:v>&gt;</c:v>
                </c:pt>
                <c:pt idx="315">
                  <c:v>&gt;</c:v>
                </c:pt>
                <c:pt idx="316">
                  <c:v>&gt;</c:v>
                </c:pt>
                <c:pt idx="317">
                  <c:v>&gt;</c:v>
                </c:pt>
                <c:pt idx="318">
                  <c:v>&gt;</c:v>
                </c:pt>
                <c:pt idx="319">
                  <c:v>&gt;</c:v>
                </c:pt>
                <c:pt idx="320">
                  <c:v>&gt;</c:v>
                </c:pt>
                <c:pt idx="321">
                  <c:v>&gt;</c:v>
                </c:pt>
                <c:pt idx="322">
                  <c:v>&gt;</c:v>
                </c:pt>
                <c:pt idx="323">
                  <c:v>&gt;</c:v>
                </c:pt>
                <c:pt idx="324">
                  <c:v>&gt;</c:v>
                </c:pt>
                <c:pt idx="325">
                  <c:v>&gt;</c:v>
                </c:pt>
                <c:pt idx="326">
                  <c:v>&gt;</c:v>
                </c:pt>
                <c:pt idx="327">
                  <c:v>&gt;</c:v>
                </c:pt>
                <c:pt idx="328">
                  <c:v>&gt;</c:v>
                </c:pt>
                <c:pt idx="329">
                  <c:v>&gt;</c:v>
                </c:pt>
                <c:pt idx="330">
                  <c:v>&gt;</c:v>
                </c:pt>
                <c:pt idx="331">
                  <c:v>&gt;</c:v>
                </c:pt>
                <c:pt idx="332">
                  <c:v>&gt;</c:v>
                </c:pt>
                <c:pt idx="333">
                  <c:v>&gt;</c:v>
                </c:pt>
                <c:pt idx="334">
                  <c:v>&gt;</c:v>
                </c:pt>
                <c:pt idx="335">
                  <c:v>&gt;</c:v>
                </c:pt>
                <c:pt idx="336">
                  <c:v>&gt;</c:v>
                </c:pt>
                <c:pt idx="337">
                  <c:v>&gt;</c:v>
                </c:pt>
                <c:pt idx="338">
                  <c:v>&gt;</c:v>
                </c:pt>
                <c:pt idx="339">
                  <c:v>&gt;</c:v>
                </c:pt>
                <c:pt idx="340">
                  <c:v>&gt;</c:v>
                </c:pt>
                <c:pt idx="341">
                  <c:v>&gt;</c:v>
                </c:pt>
                <c:pt idx="342">
                  <c:v>&gt;</c:v>
                </c:pt>
                <c:pt idx="343">
                  <c:v>&gt;</c:v>
                </c:pt>
                <c:pt idx="344">
                  <c:v>&gt;</c:v>
                </c:pt>
                <c:pt idx="345">
                  <c:v>&gt;</c:v>
                </c:pt>
                <c:pt idx="346">
                  <c:v>&gt;</c:v>
                </c:pt>
                <c:pt idx="347">
                  <c:v>&gt;</c:v>
                </c:pt>
                <c:pt idx="348">
                  <c:v>&gt;</c:v>
                </c:pt>
                <c:pt idx="349">
                  <c:v>&gt;</c:v>
                </c:pt>
                <c:pt idx="350">
                  <c:v>&gt;</c:v>
                </c:pt>
                <c:pt idx="351">
                  <c:v>&gt;</c:v>
                </c:pt>
                <c:pt idx="352">
                  <c:v>&gt;</c:v>
                </c:pt>
                <c:pt idx="353">
                  <c:v>&gt;</c:v>
                </c:pt>
                <c:pt idx="354">
                  <c:v>&gt;</c:v>
                </c:pt>
                <c:pt idx="355">
                  <c:v>&gt;</c:v>
                </c:pt>
                <c:pt idx="356">
                  <c:v>&gt;</c:v>
                </c:pt>
                <c:pt idx="357">
                  <c:v>&gt;</c:v>
                </c:pt>
                <c:pt idx="358">
                  <c:v>&gt;</c:v>
                </c:pt>
                <c:pt idx="359">
                  <c:v>&gt;</c:v>
                </c:pt>
                <c:pt idx="360">
                  <c:v>&gt;</c:v>
                </c:pt>
                <c:pt idx="361">
                  <c:v>&gt;</c:v>
                </c:pt>
                <c:pt idx="362">
                  <c:v>&gt;</c:v>
                </c:pt>
                <c:pt idx="363">
                  <c:v>&gt;</c:v>
                </c:pt>
                <c:pt idx="364">
                  <c:v>&gt;</c:v>
                </c:pt>
              </c:strCache>
            </c:strRef>
          </c:cat>
          <c:val>
            <c:numRef>
              <c:f>Gerenciamento!$K$4:$K$368</c:f>
              <c:numCache>
                <c:formatCode>0.00%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93-40CC-9367-1CC73A64A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8122120"/>
        <c:axId val="388123104"/>
      </c:barChart>
      <c:catAx>
        <c:axId val="388122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123104"/>
        <c:crosses val="autoZero"/>
        <c:auto val="1"/>
        <c:lblAlgn val="ctr"/>
        <c:lblOffset val="100"/>
        <c:noMultiLvlLbl val="0"/>
      </c:catAx>
      <c:valAx>
        <c:axId val="38812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12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2D2E43C-1BB3-4E16-8FAC-97717274F012}">
  <sheetPr/>
  <sheetViews>
    <sheetView zoomScale="7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Gerenciament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Config.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</xdr:row>
      <xdr:rowOff>9525</xdr:rowOff>
    </xdr:from>
    <xdr:to>
      <xdr:col>3</xdr:col>
      <xdr:colOff>800100</xdr:colOff>
      <xdr:row>18</xdr:row>
      <xdr:rowOff>0</xdr:rowOff>
    </xdr:to>
    <xdr:sp macro="" textlink="">
      <xdr:nvSpPr>
        <xdr:cNvPr id="7" name="Retângulo Arredondad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14325" y="3248025"/>
          <a:ext cx="1847850" cy="48577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142340"/>
              </a:solidFill>
            </a:rPr>
            <a:t>Ir para a Planilha</a:t>
          </a:r>
        </a:p>
      </xdr:txBody>
    </xdr:sp>
    <xdr:clientData/>
  </xdr:twoCellAnchor>
  <xdr:twoCellAnchor>
    <xdr:from>
      <xdr:col>2</xdr:col>
      <xdr:colOff>457199</xdr:colOff>
      <xdr:row>5</xdr:row>
      <xdr:rowOff>9525</xdr:rowOff>
    </xdr:from>
    <xdr:to>
      <xdr:col>4</xdr:col>
      <xdr:colOff>9525</xdr:colOff>
      <xdr:row>5</xdr:row>
      <xdr:rowOff>314325</xdr:rowOff>
    </xdr:to>
    <xdr:sp macro="[0]!Dolar" textlink="">
      <xdr:nvSpPr>
        <xdr:cNvPr id="9" name="Retângulo Arredondad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52549" y="1219200"/>
          <a:ext cx="1400176" cy="3048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DOLAR AMERICANO</a:t>
          </a:r>
        </a:p>
        <a:p>
          <a:pPr algn="ctr"/>
          <a:r>
            <a:rPr lang="pt-BR" sz="1100" b="1"/>
            <a:t> </a:t>
          </a:r>
        </a:p>
        <a:p>
          <a:pPr algn="ctr"/>
          <a:endParaRPr lang="pt-BR" sz="1100" b="1"/>
        </a:p>
      </xdr:txBody>
    </xdr:sp>
    <xdr:clientData/>
  </xdr:twoCellAnchor>
  <xdr:oneCellAnchor>
    <xdr:from>
      <xdr:col>3</xdr:col>
      <xdr:colOff>1028700</xdr:colOff>
      <xdr:row>0</xdr:row>
      <xdr:rowOff>276225</xdr:rowOff>
    </xdr:from>
    <xdr:ext cx="184731" cy="264560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90775" y="276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>
            <a:solidFill>
              <a:schemeClr val="accent2"/>
            </a:solidFill>
          </a:endParaRPr>
        </a:p>
      </xdr:txBody>
    </xdr:sp>
    <xdr:clientData/>
  </xdr:oneCellAnchor>
  <xdr:twoCellAnchor editAs="oneCell">
    <xdr:from>
      <xdr:col>14</xdr:col>
      <xdr:colOff>504825</xdr:colOff>
      <xdr:row>1</xdr:row>
      <xdr:rowOff>142875</xdr:rowOff>
    </xdr:from>
    <xdr:to>
      <xdr:col>19</xdr:col>
      <xdr:colOff>390525</xdr:colOff>
      <xdr:row>13</xdr:row>
      <xdr:rowOff>314325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D2B609B-C502-4076-A0D3-76EA07B14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0" y="428625"/>
          <a:ext cx="2933700" cy="2933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40845" cy="601104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AE9F670-6541-4167-A6F7-1D7F2EB62E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24848</xdr:colOff>
      <xdr:row>11</xdr:row>
      <xdr:rowOff>0</xdr:rowOff>
    </xdr:from>
    <xdr:to>
      <xdr:col>15</xdr:col>
      <xdr:colOff>24848</xdr:colOff>
      <xdr:row>12</xdr:row>
      <xdr:rowOff>182218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62022" y="2940326"/>
          <a:ext cx="1797326" cy="43069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142340"/>
              </a:solidFill>
            </a:rPr>
            <a:t>&lt;  Configurações</a:t>
          </a:r>
        </a:p>
      </xdr:txBody>
    </xdr:sp>
    <xdr:clientData/>
  </xdr:twoCellAnchor>
  <xdr:twoCellAnchor editAs="oneCell">
    <xdr:from>
      <xdr:col>12</xdr:col>
      <xdr:colOff>275167</xdr:colOff>
      <xdr:row>13</xdr:row>
      <xdr:rowOff>116416</xdr:rowOff>
    </xdr:from>
    <xdr:to>
      <xdr:col>14</xdr:col>
      <xdr:colOff>258233</xdr:colOff>
      <xdr:row>20</xdr:row>
      <xdr:rowOff>120649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A47EB6B-989D-4DA4-A6F1-DE5C1EF6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5584" y="3534833"/>
          <a:ext cx="1708149" cy="17081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O18"/>
  <sheetViews>
    <sheetView showGridLines="0" showRowColHeaders="0" zoomScaleNormal="100" workbookViewId="0">
      <selection activeCell="D13" sqref="D13"/>
    </sheetView>
  </sheetViews>
  <sheetFormatPr defaultRowHeight="20.100000000000001" customHeight="1" x14ac:dyDescent="0.25"/>
  <cols>
    <col min="1" max="1" width="4.28515625" style="39" customWidth="1"/>
    <col min="2" max="2" width="9.140625" style="1"/>
    <col min="3" max="3" width="7" style="1" customWidth="1"/>
    <col min="4" max="4" width="20.7109375" style="1" customWidth="1"/>
    <col min="5" max="5" width="4.85546875" style="1" customWidth="1"/>
    <col min="6" max="6" width="9.140625" style="1"/>
    <col min="7" max="7" width="9.140625" style="1" customWidth="1"/>
    <col min="8" max="9" width="9.140625" style="1"/>
    <col min="10" max="10" width="6" style="1" customWidth="1"/>
    <col min="11" max="12" width="9.140625" style="1"/>
    <col min="13" max="13" width="10.140625" style="1" bestFit="1" customWidth="1"/>
    <col min="14" max="16384" width="9.140625" style="1"/>
  </cols>
  <sheetData>
    <row r="1" spans="1:15" ht="22.5" customHeight="1" x14ac:dyDescent="0.25"/>
    <row r="2" spans="1:15" ht="31.5" x14ac:dyDescent="0.25">
      <c r="B2" s="2"/>
    </row>
    <row r="3" spans="1:15" ht="2.25" customHeight="1" x14ac:dyDescent="0.25"/>
    <row r="5" spans="1:15" ht="20.100000000000001" customHeight="1" x14ac:dyDescent="0.25">
      <c r="B5" s="3" t="s">
        <v>0</v>
      </c>
    </row>
    <row r="6" spans="1:15" ht="26.25" customHeight="1" x14ac:dyDescent="0.25">
      <c r="A6" s="45" t="s">
        <v>29</v>
      </c>
      <c r="B6" s="46" t="s">
        <v>28</v>
      </c>
      <c r="E6" s="10" t="s">
        <v>2</v>
      </c>
      <c r="F6" s="4" t="s">
        <v>34</v>
      </c>
      <c r="G6" s="47"/>
      <c r="H6" s="47"/>
      <c r="J6" s="40"/>
      <c r="K6" s="40"/>
    </row>
    <row r="7" spans="1:15" ht="9.75" customHeight="1" x14ac:dyDescent="0.25">
      <c r="A7" s="45"/>
      <c r="B7" s="44"/>
      <c r="E7" s="47"/>
      <c r="F7" s="47"/>
      <c r="G7" s="47"/>
      <c r="H7" s="47"/>
      <c r="K7" s="41"/>
    </row>
    <row r="8" spans="1:15" ht="27" customHeight="1" x14ac:dyDescent="0.25">
      <c r="A8" s="45" t="s">
        <v>30</v>
      </c>
      <c r="B8" s="46" t="s">
        <v>1</v>
      </c>
      <c r="D8" s="66">
        <v>40</v>
      </c>
      <c r="E8" s="10" t="s">
        <v>2</v>
      </c>
      <c r="F8" s="42" t="s">
        <v>3</v>
      </c>
      <c r="G8" s="47"/>
      <c r="H8" s="47"/>
      <c r="M8" s="40"/>
    </row>
    <row r="9" spans="1:15" ht="9" customHeight="1" x14ac:dyDescent="0.25">
      <c r="A9" s="45"/>
      <c r="B9" s="44"/>
      <c r="D9" s="5"/>
      <c r="E9" s="47"/>
      <c r="F9" s="47"/>
      <c r="G9" s="47"/>
      <c r="H9" s="47"/>
    </row>
    <row r="10" spans="1:15" ht="27" customHeight="1" x14ac:dyDescent="0.25">
      <c r="A10" s="45" t="s">
        <v>31</v>
      </c>
      <c r="B10" s="46" t="s">
        <v>4</v>
      </c>
      <c r="D10" s="66">
        <v>1000</v>
      </c>
      <c r="E10" s="10" t="s">
        <v>2</v>
      </c>
      <c r="F10" s="4" t="s">
        <v>5</v>
      </c>
      <c r="G10" s="47"/>
      <c r="H10" s="47"/>
      <c r="O10" s="41"/>
    </row>
    <row r="11" spans="1:15" ht="9" customHeight="1" x14ac:dyDescent="0.25">
      <c r="A11" s="45"/>
      <c r="B11" s="44"/>
      <c r="E11" s="47"/>
      <c r="F11" s="47"/>
      <c r="G11" s="47"/>
      <c r="H11" s="47"/>
      <c r="M11" s="25"/>
    </row>
    <row r="12" spans="1:15" ht="27" customHeight="1" x14ac:dyDescent="0.25">
      <c r="A12" s="45" t="s">
        <v>32</v>
      </c>
      <c r="B12" s="46" t="s">
        <v>6</v>
      </c>
      <c r="D12" s="56">
        <v>0.01</v>
      </c>
      <c r="E12" s="10" t="s">
        <v>2</v>
      </c>
      <c r="F12" s="4" t="s">
        <v>7</v>
      </c>
      <c r="G12" s="47"/>
      <c r="H12" s="47"/>
    </row>
    <row r="13" spans="1:15" ht="9.75" customHeight="1" x14ac:dyDescent="0.25"/>
    <row r="14" spans="1:15" ht="27" customHeight="1" x14ac:dyDescent="0.25">
      <c r="B14" s="48" t="s">
        <v>8</v>
      </c>
      <c r="D14" s="6">
        <f>IF(COUNTIF(Gerenciamento!$S$4:$S$368,"meta")&gt;=1,COUNTIF(Gerenciamento!$S$4:$S$368,"meta")+1,COUNTIF(Gerenciamento!$S$4:$S$368,"meta"))</f>
        <v>324</v>
      </c>
      <c r="E14" s="7" t="s">
        <v>9</v>
      </c>
      <c r="F14" s="8"/>
      <c r="G14" s="8"/>
      <c r="H14" s="8"/>
      <c r="I14" s="8"/>
      <c r="J14" s="10" t="s">
        <v>2</v>
      </c>
      <c r="K14" s="4" t="s">
        <v>26</v>
      </c>
    </row>
    <row r="15" spans="1:15" ht="8.25" customHeight="1" x14ac:dyDescent="0.25">
      <c r="E15" s="9"/>
    </row>
    <row r="16" spans="1:15" ht="6.75" customHeight="1" x14ac:dyDescent="0.25"/>
    <row r="17" spans="2:5" ht="20.100000000000001" customHeight="1" x14ac:dyDescent="0.25">
      <c r="B17" s="38"/>
      <c r="C17" s="38"/>
      <c r="D17" s="38"/>
      <c r="E17" s="55"/>
    </row>
    <row r="18" spans="2:5" ht="20.100000000000001" customHeight="1" x14ac:dyDescent="0.25">
      <c r="B18" s="38"/>
      <c r="C18" s="38"/>
      <c r="D18" s="38"/>
      <c r="E18" s="2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T368"/>
  <sheetViews>
    <sheetView showGridLines="0" showRowColHeaders="0" tabSelected="1" zoomScale="90" zoomScaleNormal="90" zoomScaleSheetLayoutView="50" workbookViewId="0">
      <selection activeCell="H5" sqref="H5"/>
    </sheetView>
  </sheetViews>
  <sheetFormatPr defaultRowHeight="15" x14ac:dyDescent="0.25"/>
  <cols>
    <col min="1" max="1" width="4.28515625" style="21" customWidth="1"/>
    <col min="2" max="2" width="7.28515625" style="10" customWidth="1"/>
    <col min="3" max="3" width="19.5703125" style="11" customWidth="1"/>
    <col min="4" max="4" width="19.42578125" style="11" customWidth="1"/>
    <col min="5" max="5" width="5.5703125" style="4" customWidth="1"/>
    <col min="6" max="6" width="17.85546875" style="50" customWidth="1"/>
    <col min="7" max="7" width="3.28515625" style="12" customWidth="1"/>
    <col min="8" max="10" width="19.42578125" style="13" customWidth="1"/>
    <col min="11" max="11" width="19.42578125" style="51" customWidth="1"/>
    <col min="12" max="12" width="3.140625" style="4" customWidth="1"/>
    <col min="13" max="13" width="18.85546875" style="4" customWidth="1"/>
    <col min="14" max="14" width="7" style="4" customWidth="1"/>
    <col min="15" max="16" width="9.140625" style="4"/>
    <col min="17" max="17" width="11.7109375" style="4" customWidth="1"/>
    <col min="18" max="18" width="16.5703125" style="27" hidden="1" customWidth="1"/>
    <col min="19" max="19" width="5.5703125" style="28" hidden="1" customWidth="1"/>
    <col min="20" max="20" width="13.42578125" style="29" hidden="1" customWidth="1"/>
    <col min="21" max="16384" width="9.140625" style="4"/>
  </cols>
  <sheetData>
    <row r="1" spans="1:20" ht="22.5" customHeight="1" x14ac:dyDescent="0.25">
      <c r="A1" s="43"/>
    </row>
    <row r="2" spans="1:20" ht="22.5" customHeight="1" x14ac:dyDescent="0.25">
      <c r="B2" s="73" t="s">
        <v>10</v>
      </c>
      <c r="C2" s="76" t="s">
        <v>11</v>
      </c>
      <c r="D2" s="77"/>
      <c r="E2" s="78" t="s">
        <v>33</v>
      </c>
      <c r="F2" s="79"/>
      <c r="H2" s="74" t="s">
        <v>12</v>
      </c>
      <c r="I2" s="75"/>
      <c r="J2" s="75"/>
      <c r="K2" s="75"/>
      <c r="M2" s="67" t="s">
        <v>13</v>
      </c>
      <c r="N2" s="68"/>
      <c r="O2" s="68"/>
      <c r="P2" s="14"/>
      <c r="R2" s="30"/>
      <c r="T2" s="30"/>
    </row>
    <row r="3" spans="1:20" ht="24.75" customHeight="1" x14ac:dyDescent="0.25">
      <c r="B3" s="73"/>
      <c r="C3" s="15" t="s">
        <v>14</v>
      </c>
      <c r="D3" s="15" t="s">
        <v>15</v>
      </c>
      <c r="E3" s="58">
        <v>5</v>
      </c>
      <c r="F3" s="49" t="s">
        <v>16</v>
      </c>
      <c r="H3" s="57" t="s">
        <v>17</v>
      </c>
      <c r="I3" s="15" t="s">
        <v>18</v>
      </c>
      <c r="J3" s="15" t="s">
        <v>19</v>
      </c>
      <c r="K3" s="52" t="s">
        <v>20</v>
      </c>
      <c r="M3" s="16" t="s">
        <v>21</v>
      </c>
      <c r="N3" s="17">
        <f>IF(COUNTIF($G$4:$G$368,"meta")&gt;=1,COUNTIF($G$4:$G$368,"meta")+1,COUNTIF($G$4:$G$368,"meta"))</f>
        <v>324</v>
      </c>
      <c r="O3" s="18" t="s">
        <v>22</v>
      </c>
      <c r="R3" s="31" t="s">
        <v>14</v>
      </c>
      <c r="T3" s="31" t="s">
        <v>17</v>
      </c>
    </row>
    <row r="4" spans="1:20" ht="21" customHeight="1" x14ac:dyDescent="0.25">
      <c r="A4" s="22" t="s">
        <v>25</v>
      </c>
      <c r="B4" s="20">
        <v>1</v>
      </c>
      <c r="C4" s="60">
        <f>('Config.'!D8*'Config.'!D12)+'Config.'!D8</f>
        <v>40.4</v>
      </c>
      <c r="D4" s="60">
        <f>C4-'Config.'!D8</f>
        <v>0.39999999999999858</v>
      </c>
      <c r="E4" s="59">
        <v>0.8</v>
      </c>
      <c r="F4" s="61">
        <f t="shared" ref="F4:F67" si="0">IF(COUNTBLANK(E4)=0,(D4/E4)/$E$3,"-")</f>
        <v>9.9999999999999645E-2</v>
      </c>
      <c r="G4" s="12" t="str">
        <f>IF(COUNTBLANK(H4)=1,IF(C4&lt;='Config.'!$D$10,"meta","nops"),"")</f>
        <v>meta</v>
      </c>
      <c r="H4" s="62"/>
      <c r="I4" s="63" t="str">
        <f>IF(COUNTBLANK(H4)=1,"",H4-'Config.'!$D$8)</f>
        <v/>
      </c>
      <c r="J4" s="63" t="str">
        <f t="shared" ref="J4:J67" si="1">IF(I4="","",I4-D4)</f>
        <v/>
      </c>
      <c r="K4" s="53" t="str">
        <f>IF(COUNTBLANK(H4)=1,"",(H4-'Config.'!D8)/'Config.'!D8)</f>
        <v/>
      </c>
      <c r="M4" s="19"/>
      <c r="N4" s="19"/>
      <c r="O4" s="19"/>
      <c r="R4" s="27">
        <f>('Config.'!D8*'Config.'!D12)+'Config.'!D8</f>
        <v>40.4</v>
      </c>
      <c r="S4" s="28" t="str">
        <f>IF(COUNTBLANK(T4)=1,IF(R4&lt;='Config.'!$D$10,"meta","nops"),"")</f>
        <v>meta</v>
      </c>
      <c r="T4" s="32"/>
    </row>
    <row r="5" spans="1:20" ht="20.100000000000001" customHeight="1" x14ac:dyDescent="0.25">
      <c r="A5" s="22" t="s">
        <v>25</v>
      </c>
      <c r="B5" s="20">
        <v>2</v>
      </c>
      <c r="C5" s="60">
        <f>IF(COUNTBLANK(H4)=1,(C4*'Config.'!$D$12)+C4,(H4*'Config.'!$D$12)+H4)</f>
        <v>40.804000000000002</v>
      </c>
      <c r="D5" s="60">
        <f t="shared" ref="D5:D68" si="2">IF(COUNTBLANK(H4)=1,C5-C4,C5-H4)</f>
        <v>0.40400000000000347</v>
      </c>
      <c r="E5" s="59">
        <v>0.8</v>
      </c>
      <c r="F5" s="61">
        <f t="shared" si="0"/>
        <v>0.10100000000000087</v>
      </c>
      <c r="G5" s="12" t="str">
        <f>IF(COUNTBLANK(H5)=1,IF(C5&lt;='Config.'!$D$10,"meta","nops"),"")</f>
        <v>meta</v>
      </c>
      <c r="H5" s="62"/>
      <c r="I5" s="63" t="str">
        <f t="shared" ref="I5:I68" si="3">IF(COUNTBLANK(H5)=1,"",H5-H4)</f>
        <v/>
      </c>
      <c r="J5" s="63" t="str">
        <f t="shared" si="1"/>
        <v/>
      </c>
      <c r="K5" s="54" t="str">
        <f t="shared" ref="K5:K68" si="4">IF(COUNTBLANK(H5)=1,"",(H5-H4)/H4)</f>
        <v/>
      </c>
      <c r="M5" s="67" t="s">
        <v>24</v>
      </c>
      <c r="N5" s="68"/>
      <c r="O5" s="68"/>
      <c r="R5" s="27">
        <f>IF(COUNTBLANK(T4)=1,(R4*'Config.'!$D$12)+R4,(T4*'Config.'!$D$12)+T4)</f>
        <v>40.804000000000002</v>
      </c>
      <c r="S5" s="28" t="str">
        <f>IF(COUNTBLANK(T5)=1,IF(R5&lt;='Config.'!$D$10,"meta","nops"),"")</f>
        <v>meta</v>
      </c>
      <c r="T5" s="32"/>
    </row>
    <row r="6" spans="1:20" ht="20.100000000000001" customHeight="1" x14ac:dyDescent="0.25">
      <c r="A6" s="22" t="s">
        <v>25</v>
      </c>
      <c r="B6" s="20">
        <v>3</v>
      </c>
      <c r="C6" s="60">
        <f>IF(COUNTBLANK(H5)=1,(C5*'Config.'!$D$12)+C5,(H5*'Config.'!$D$12)+H5)</f>
        <v>41.212040000000002</v>
      </c>
      <c r="D6" s="60">
        <f t="shared" si="2"/>
        <v>0.40803999999999974</v>
      </c>
      <c r="E6" s="59">
        <v>0.8</v>
      </c>
      <c r="F6" s="61">
        <f t="shared" si="0"/>
        <v>0.10200999999999993</v>
      </c>
      <c r="G6" s="12" t="str">
        <f>IF(COUNTBLANK(H6)=1,IF(C6&lt;='Config.'!$D$10,"meta","nops"),"")</f>
        <v>meta</v>
      </c>
      <c r="H6" s="62"/>
      <c r="I6" s="64" t="str">
        <f t="shared" si="3"/>
        <v/>
      </c>
      <c r="J6" s="63" t="str">
        <f t="shared" si="1"/>
        <v/>
      </c>
      <c r="K6" s="54" t="str">
        <f t="shared" si="4"/>
        <v/>
      </c>
      <c r="M6" s="26">
        <f>(($M$7+'Config.'!$D$8)-'Config.'!$D$8)/'Config.'!$D$8</f>
        <v>0</v>
      </c>
      <c r="N6" s="69" t="s">
        <v>23</v>
      </c>
      <c r="O6" s="71" t="str">
        <f>CONCATENATE(COUNT($K$4:$K$368)," dia(s)")</f>
        <v>0 dia(s)</v>
      </c>
      <c r="R6" s="27">
        <f>IF(COUNTBLANK(T5)=1,(R5*'Config.'!$D$12)+R5,(T5*'Config.'!$D$12)+T5)</f>
        <v>41.212040000000002</v>
      </c>
      <c r="S6" s="28" t="str">
        <f>IF(COUNTBLANK(T6)=1,IF(R6&lt;='Config.'!$D$10,"meta","nops"),"")</f>
        <v>meta</v>
      </c>
      <c r="T6" s="32"/>
    </row>
    <row r="7" spans="1:20" ht="21.75" customHeight="1" x14ac:dyDescent="0.25">
      <c r="A7" s="22" t="s">
        <v>25</v>
      </c>
      <c r="B7" s="20">
        <v>4</v>
      </c>
      <c r="C7" s="60">
        <f>IF(COUNTBLANK(H6)=1,(C6*'Config.'!$D$12)+C6,(H6*'Config.'!$D$12)+H6)</f>
        <v>41.624160400000001</v>
      </c>
      <c r="D7" s="60">
        <f t="shared" si="2"/>
        <v>0.41212039999999917</v>
      </c>
      <c r="E7" s="59">
        <v>0.8</v>
      </c>
      <c r="F7" s="61">
        <f t="shared" si="0"/>
        <v>0.10303009999999979</v>
      </c>
      <c r="G7" s="12" t="str">
        <f>IF(COUNTBLANK(H7)=1,IF(C7&lt;='Config.'!$D$10,"meta","nops"),"")</f>
        <v>meta</v>
      </c>
      <c r="H7" s="62"/>
      <c r="I7" s="63" t="str">
        <f t="shared" si="3"/>
        <v/>
      </c>
      <c r="J7" s="63" t="str">
        <f t="shared" si="1"/>
        <v/>
      </c>
      <c r="K7" s="54" t="str">
        <f t="shared" si="4"/>
        <v/>
      </c>
      <c r="M7" s="65">
        <f>SUM($I$4:$I$368)</f>
        <v>0</v>
      </c>
      <c r="N7" s="70"/>
      <c r="O7" s="72"/>
      <c r="P7" s="36">
        <f>COUNT($K$4:$K$368)</f>
        <v>0</v>
      </c>
      <c r="R7" s="27">
        <f>IF(COUNTBLANK(T6)=1,(R6*'Config.'!$D$12)+R6,(T6*'Config.'!$D$12)+T6)</f>
        <v>41.624160400000001</v>
      </c>
      <c r="S7" s="28" t="str">
        <f>IF(COUNTBLANK(T7)=1,IF(R7&lt;='Config.'!$D$10,"meta","nops"),"")</f>
        <v>meta</v>
      </c>
      <c r="T7" s="32"/>
    </row>
    <row r="8" spans="1:20" ht="18.75" customHeight="1" x14ac:dyDescent="0.25">
      <c r="A8" s="22" t="s">
        <v>25</v>
      </c>
      <c r="B8" s="20">
        <v>5</v>
      </c>
      <c r="C8" s="60">
        <f>IF(COUNTBLANK(H7)=1,(C7*'Config.'!$D$12)+C7,(H7*'Config.'!$D$12)+H7)</f>
        <v>42.040402004000001</v>
      </c>
      <c r="D8" s="60">
        <f t="shared" si="2"/>
        <v>0.41624160399999965</v>
      </c>
      <c r="E8" s="59">
        <v>0.8</v>
      </c>
      <c r="F8" s="61">
        <f t="shared" si="0"/>
        <v>0.10406040099999991</v>
      </c>
      <c r="G8" s="12" t="str">
        <f>IF(COUNTBLANK(H8)=1,IF(C8&lt;='Config.'!$D$10,"meta","nops"),"")</f>
        <v>meta</v>
      </c>
      <c r="H8" s="62"/>
      <c r="I8" s="63" t="str">
        <f t="shared" si="3"/>
        <v/>
      </c>
      <c r="J8" s="63" t="str">
        <f t="shared" si="1"/>
        <v/>
      </c>
      <c r="K8" s="54" t="str">
        <f t="shared" si="4"/>
        <v/>
      </c>
      <c r="Q8" s="23"/>
      <c r="R8" s="27">
        <f>IF(COUNTBLANK(T7)=1,(R7*'Config.'!$D$12)+R7,(T7*'Config.'!$D$12)+T7)</f>
        <v>42.040402004000001</v>
      </c>
      <c r="S8" s="28" t="str">
        <f>IF(COUNTBLANK(T8)=1,IF(R8&lt;='Config.'!$D$10,"meta","nops"),"")</f>
        <v>meta</v>
      </c>
      <c r="T8" s="32"/>
    </row>
    <row r="9" spans="1:20" ht="18.75" customHeight="1" x14ac:dyDescent="0.25">
      <c r="A9" s="22" t="s">
        <v>25</v>
      </c>
      <c r="B9" s="20">
        <v>6</v>
      </c>
      <c r="C9" s="60">
        <f>IF(COUNTBLANK(H8)=1,(C8*'Config.'!$D$12)+C8,(H8*'Config.'!$D$12)+H8)</f>
        <v>42.460806024040004</v>
      </c>
      <c r="D9" s="60">
        <f t="shared" si="2"/>
        <v>0.42040402004000299</v>
      </c>
      <c r="E9" s="59">
        <v>0.8</v>
      </c>
      <c r="F9" s="61">
        <f t="shared" si="0"/>
        <v>0.10510100501000075</v>
      </c>
      <c r="G9" s="12" t="str">
        <f>IF(COUNTBLANK(H9)=1,IF(C9&lt;='Config.'!$D$10,"meta","nops"),"")</f>
        <v>meta</v>
      </c>
      <c r="H9" s="62"/>
      <c r="I9" s="63" t="str">
        <f t="shared" si="3"/>
        <v/>
      </c>
      <c r="J9" s="63" t="str">
        <f t="shared" si="1"/>
        <v/>
      </c>
      <c r="K9" s="54" t="str">
        <f t="shared" si="4"/>
        <v/>
      </c>
      <c r="M9" s="67" t="s">
        <v>27</v>
      </c>
      <c r="N9" s="68"/>
      <c r="O9" s="68"/>
      <c r="Q9" s="24"/>
      <c r="R9" s="27">
        <f>IF(COUNTBLANK(T8)=1,(R8*'Config.'!$D$12)+R8,(T8*'Config.'!$D$12)+T8)</f>
        <v>42.460806024040004</v>
      </c>
      <c r="S9" s="28" t="str">
        <f>IF(COUNTBLANK(T9)=1,IF(R9&lt;='Config.'!$D$10,"meta","nops"),"")</f>
        <v>meta</v>
      </c>
      <c r="T9" s="32"/>
    </row>
    <row r="10" spans="1:20" ht="21" customHeight="1" x14ac:dyDescent="0.25">
      <c r="A10" s="22" t="s">
        <v>25</v>
      </c>
      <c r="B10" s="20">
        <v>7</v>
      </c>
      <c r="C10" s="60">
        <f>IF(COUNTBLANK(H9)=1,(C9*'Config.'!$D$12)+C9,(H9*'Config.'!$D$12)+H9)</f>
        <v>42.885414084280406</v>
      </c>
      <c r="D10" s="60">
        <f t="shared" si="2"/>
        <v>0.4246080602404021</v>
      </c>
      <c r="E10" s="59">
        <v>0.8</v>
      </c>
      <c r="F10" s="61">
        <f t="shared" si="0"/>
        <v>0.10615201506010052</v>
      </c>
      <c r="G10" s="12" t="str">
        <f>IF(COUNTBLANK(H10)=1,IF(C10&lt;='Config.'!$D$10,"meta","nops"),"")</f>
        <v>meta</v>
      </c>
      <c r="H10" s="62"/>
      <c r="I10" s="63" t="str">
        <f t="shared" si="3"/>
        <v/>
      </c>
      <c r="J10" s="63" t="str">
        <f t="shared" si="1"/>
        <v/>
      </c>
      <c r="K10" s="54" t="str">
        <f t="shared" si="4"/>
        <v/>
      </c>
      <c r="M10" s="37">
        <f>IFERROR($M$6/$P$7,0)</f>
        <v>0</v>
      </c>
      <c r="N10" s="34" t="s">
        <v>23</v>
      </c>
      <c r="O10" s="33" t="str">
        <f>CONCATENATE(COUNT($K$4:$K$368)," dia(s)")</f>
        <v>0 dia(s)</v>
      </c>
      <c r="R10" s="27">
        <f>IF(COUNTBLANK(T9)=1,(R9*'Config.'!$D$12)+R9,(T9*'Config.'!$D$12)+T9)</f>
        <v>42.885414084280406</v>
      </c>
      <c r="S10" s="28" t="str">
        <f>IF(COUNTBLANK(T10)=1,IF(R10&lt;='Config.'!$D$10,"meta","nops"),"")</f>
        <v>meta</v>
      </c>
      <c r="T10" s="32"/>
    </row>
    <row r="11" spans="1:20" ht="21" customHeight="1" x14ac:dyDescent="0.25">
      <c r="A11" s="22" t="s">
        <v>25</v>
      </c>
      <c r="B11" s="20">
        <v>8</v>
      </c>
      <c r="C11" s="60">
        <f>IF(COUNTBLANK(H10)=1,(C10*'Config.'!$D$12)+C10,(H10*'Config.'!$D$12)+H10)</f>
        <v>43.314268225123207</v>
      </c>
      <c r="D11" s="60">
        <f t="shared" si="2"/>
        <v>0.42885414084280171</v>
      </c>
      <c r="E11" s="59">
        <v>0.8</v>
      </c>
      <c r="F11" s="61">
        <f t="shared" si="0"/>
        <v>0.10721353521070043</v>
      </c>
      <c r="G11" s="12" t="str">
        <f>IF(COUNTBLANK(H11)=1,IF(C11&lt;='Config.'!$D$10,"meta","nops"),"")</f>
        <v>meta</v>
      </c>
      <c r="H11" s="62"/>
      <c r="I11" s="63" t="str">
        <f t="shared" si="3"/>
        <v/>
      </c>
      <c r="J11" s="63" t="str">
        <f t="shared" si="1"/>
        <v/>
      </c>
      <c r="K11" s="54" t="str">
        <f t="shared" si="4"/>
        <v/>
      </c>
      <c r="M11" s="19"/>
      <c r="N11" s="19"/>
      <c r="O11" s="35"/>
      <c r="R11" s="27">
        <f>IF(COUNTBLANK(T10)=1,(R10*'Config.'!$D$12)+R10,(T10*'Config.'!$D$12)+T10)</f>
        <v>43.314268225123207</v>
      </c>
      <c r="S11" s="28" t="str">
        <f>IF(COUNTBLANK(T11)=1,IF(R11&lt;='Config.'!$D$10,"meta","nops"),"")</f>
        <v>meta</v>
      </c>
      <c r="T11" s="32"/>
    </row>
    <row r="12" spans="1:20" ht="20.100000000000001" customHeight="1" x14ac:dyDescent="0.25">
      <c r="A12" s="22" t="s">
        <v>25</v>
      </c>
      <c r="B12" s="20">
        <v>9</v>
      </c>
      <c r="C12" s="60">
        <f>IF(COUNTBLANK(H11)=1,(C11*'Config.'!$D$12)+C11,(H11*'Config.'!$D$12)+H11)</f>
        <v>43.747410907374437</v>
      </c>
      <c r="D12" s="60">
        <f t="shared" si="2"/>
        <v>0.43314268225122987</v>
      </c>
      <c r="E12" s="59">
        <v>0.8</v>
      </c>
      <c r="F12" s="61">
        <f t="shared" si="0"/>
        <v>0.10828567056280747</v>
      </c>
      <c r="G12" s="12" t="str">
        <f>IF(COUNTBLANK(H12)=1,IF(C12&lt;='Config.'!$D$10,"meta","nops"),"")</f>
        <v>meta</v>
      </c>
      <c r="H12" s="62"/>
      <c r="I12" s="63" t="str">
        <f t="shared" si="3"/>
        <v/>
      </c>
      <c r="J12" s="63" t="str">
        <f t="shared" si="1"/>
        <v/>
      </c>
      <c r="K12" s="54" t="str">
        <f t="shared" si="4"/>
        <v/>
      </c>
      <c r="R12" s="27">
        <f>IF(COUNTBLANK(T11)=1,(R11*'Config.'!$D$12)+R11,(T11*'Config.'!$D$12)+T11)</f>
        <v>43.747410907374437</v>
      </c>
      <c r="S12" s="28" t="str">
        <f>IF(COUNTBLANK(T12)=1,IF(R12&lt;='Config.'!$D$10,"meta","nops"),"")</f>
        <v>meta</v>
      </c>
      <c r="T12" s="32"/>
    </row>
    <row r="13" spans="1:20" ht="20.100000000000001" customHeight="1" x14ac:dyDescent="0.25">
      <c r="A13" s="22" t="s">
        <v>25</v>
      </c>
      <c r="B13" s="20">
        <v>10</v>
      </c>
      <c r="C13" s="60">
        <f>IF(COUNTBLANK(H12)=1,(C12*'Config.'!$D$12)+C12,(H12*'Config.'!$D$12)+H12)</f>
        <v>44.184885016448185</v>
      </c>
      <c r="D13" s="60">
        <f t="shared" si="2"/>
        <v>0.43747410907374729</v>
      </c>
      <c r="E13" s="59">
        <v>0.8</v>
      </c>
      <c r="F13" s="61">
        <f t="shared" si="0"/>
        <v>0.10936852726843682</v>
      </c>
      <c r="G13" s="12" t="str">
        <f>IF(COUNTBLANK(H13)=1,IF(C13&lt;='Config.'!$D$10,"meta","nops"),"")</f>
        <v>meta</v>
      </c>
      <c r="H13" s="62"/>
      <c r="I13" s="63" t="str">
        <f t="shared" si="3"/>
        <v/>
      </c>
      <c r="J13" s="63" t="str">
        <f t="shared" si="1"/>
        <v/>
      </c>
      <c r="K13" s="54" t="str">
        <f t="shared" si="4"/>
        <v/>
      </c>
      <c r="R13" s="27">
        <f>IF(COUNTBLANK(T12)=1,(R12*'Config.'!$D$12)+R12,(T12*'Config.'!$D$12)+T12)</f>
        <v>44.184885016448185</v>
      </c>
      <c r="S13" s="28" t="str">
        <f>IF(COUNTBLANK(T13)=1,IF(R13&lt;='Config.'!$D$10,"meta","nops"),"")</f>
        <v>meta</v>
      </c>
      <c r="T13" s="32"/>
    </row>
    <row r="14" spans="1:20" ht="20.100000000000001" customHeight="1" x14ac:dyDescent="0.25">
      <c r="A14" s="22" t="s">
        <v>25</v>
      </c>
      <c r="B14" s="20">
        <v>11</v>
      </c>
      <c r="C14" s="60">
        <f>IF(COUNTBLANK(H13)=1,(C13*'Config.'!$D$12)+C13,(H13*'Config.'!$D$12)+H13)</f>
        <v>44.626733866612668</v>
      </c>
      <c r="D14" s="60">
        <f t="shared" si="2"/>
        <v>0.44184885016448305</v>
      </c>
      <c r="E14" s="59">
        <v>0.8</v>
      </c>
      <c r="F14" s="61">
        <f t="shared" si="0"/>
        <v>0.11046221254112076</v>
      </c>
      <c r="G14" s="12" t="str">
        <f>IF(COUNTBLANK(H14)=1,IF(C14&lt;='Config.'!$D$10,"meta","nops"),"")</f>
        <v>meta</v>
      </c>
      <c r="H14" s="62"/>
      <c r="I14" s="63" t="str">
        <f t="shared" si="3"/>
        <v/>
      </c>
      <c r="J14" s="63" t="str">
        <f t="shared" si="1"/>
        <v/>
      </c>
      <c r="K14" s="54" t="str">
        <f t="shared" si="4"/>
        <v/>
      </c>
      <c r="R14" s="27">
        <f>IF(COUNTBLANK(T13)=1,(R13*'Config.'!$D$12)+R13,(T13*'Config.'!$D$12)+T13)</f>
        <v>44.626733866612668</v>
      </c>
      <c r="S14" s="28" t="str">
        <f>IF(COUNTBLANK(T14)=1,IF(R14&lt;='Config.'!$D$10,"meta","nops"),"")</f>
        <v>meta</v>
      </c>
      <c r="T14" s="32"/>
    </row>
    <row r="15" spans="1:20" ht="20.100000000000001" customHeight="1" x14ac:dyDescent="0.25">
      <c r="A15" s="22" t="s">
        <v>25</v>
      </c>
      <c r="B15" s="20">
        <v>12</v>
      </c>
      <c r="C15" s="60">
        <f>IF(COUNTBLANK(H14)=1,(C14*'Config.'!$D$12)+C14,(H14*'Config.'!$D$12)+H14)</f>
        <v>45.073001205278793</v>
      </c>
      <c r="D15" s="60">
        <f t="shared" si="2"/>
        <v>0.44626733866612511</v>
      </c>
      <c r="E15" s="59">
        <v>0.8</v>
      </c>
      <c r="F15" s="61">
        <f t="shared" si="0"/>
        <v>0.11156683466653128</v>
      </c>
      <c r="G15" s="12" t="str">
        <f>IF(COUNTBLANK(H15)=1,IF(C15&lt;='Config.'!$D$10,"meta","nops"),"")</f>
        <v>meta</v>
      </c>
      <c r="H15" s="62"/>
      <c r="I15" s="63" t="str">
        <f t="shared" si="3"/>
        <v/>
      </c>
      <c r="J15" s="63" t="str">
        <f t="shared" si="1"/>
        <v/>
      </c>
      <c r="K15" s="54" t="str">
        <f t="shared" si="4"/>
        <v/>
      </c>
      <c r="R15" s="27">
        <f>IF(COUNTBLANK(T14)=1,(R14*'Config.'!$D$12)+R14,(T14*'Config.'!$D$12)+T14)</f>
        <v>45.073001205278793</v>
      </c>
      <c r="S15" s="28" t="str">
        <f>IF(COUNTBLANK(T15)=1,IF(R15&lt;='Config.'!$D$10,"meta","nops"),"")</f>
        <v>meta</v>
      </c>
      <c r="T15" s="32"/>
    </row>
    <row r="16" spans="1:20" ht="20.100000000000001" customHeight="1" x14ac:dyDescent="0.25">
      <c r="A16" s="22" t="s">
        <v>25</v>
      </c>
      <c r="B16" s="20">
        <v>13</v>
      </c>
      <c r="C16" s="60">
        <f>IF(COUNTBLANK(H15)=1,(C15*'Config.'!$D$12)+C15,(H15*'Config.'!$D$12)+H15)</f>
        <v>45.52373121733158</v>
      </c>
      <c r="D16" s="60">
        <f t="shared" si="2"/>
        <v>0.45073001205278729</v>
      </c>
      <c r="E16" s="59">
        <v>0.8</v>
      </c>
      <c r="F16" s="61">
        <f t="shared" si="0"/>
        <v>0.11268250301319682</v>
      </c>
      <c r="G16" s="12" t="str">
        <f>IF(COUNTBLANK(H16)=1,IF(C16&lt;='Config.'!$D$10,"meta","nops"),"")</f>
        <v>meta</v>
      </c>
      <c r="H16" s="62"/>
      <c r="I16" s="63" t="str">
        <f t="shared" si="3"/>
        <v/>
      </c>
      <c r="J16" s="63" t="str">
        <f t="shared" si="1"/>
        <v/>
      </c>
      <c r="K16" s="54" t="str">
        <f t="shared" si="4"/>
        <v/>
      </c>
      <c r="R16" s="27">
        <f>IF(COUNTBLANK(T15)=1,(R15*'Config.'!$D$12)+R15,(T15*'Config.'!$D$12)+T15)</f>
        <v>45.52373121733158</v>
      </c>
      <c r="S16" s="28" t="str">
        <f>IF(COUNTBLANK(T16)=1,IF(R16&lt;='Config.'!$D$10,"meta","nops"),"")</f>
        <v>meta</v>
      </c>
      <c r="T16" s="32"/>
    </row>
    <row r="17" spans="1:20" ht="20.100000000000001" customHeight="1" x14ac:dyDescent="0.25">
      <c r="A17" s="22" t="s">
        <v>25</v>
      </c>
      <c r="B17" s="20">
        <v>14</v>
      </c>
      <c r="C17" s="60">
        <f>IF(COUNTBLANK(H16)=1,(C16*'Config.'!$D$12)+C16,(H16*'Config.'!$D$12)+H16)</f>
        <v>45.978968529504897</v>
      </c>
      <c r="D17" s="60">
        <f t="shared" si="2"/>
        <v>0.45523731217331687</v>
      </c>
      <c r="E17" s="59">
        <v>0.8</v>
      </c>
      <c r="F17" s="61">
        <f t="shared" si="0"/>
        <v>0.11380932804332922</v>
      </c>
      <c r="G17" s="12" t="str">
        <f>IF(COUNTBLANK(H17)=1,IF(C17&lt;='Config.'!$D$10,"meta","nops"),"")</f>
        <v>meta</v>
      </c>
      <c r="H17" s="62"/>
      <c r="I17" s="63" t="str">
        <f t="shared" si="3"/>
        <v/>
      </c>
      <c r="J17" s="63" t="str">
        <f t="shared" si="1"/>
        <v/>
      </c>
      <c r="K17" s="54" t="str">
        <f t="shared" si="4"/>
        <v/>
      </c>
      <c r="R17" s="27">
        <f>IF(COUNTBLANK(T16)=1,(R16*'Config.'!$D$12)+R16,(T16*'Config.'!$D$12)+T16)</f>
        <v>45.978968529504897</v>
      </c>
      <c r="S17" s="28" t="str">
        <f>IF(COUNTBLANK(T17)=1,IF(R17&lt;='Config.'!$D$10,"meta","nops"),"")</f>
        <v>meta</v>
      </c>
      <c r="T17" s="32"/>
    </row>
    <row r="18" spans="1:20" ht="20.100000000000001" customHeight="1" x14ac:dyDescent="0.25">
      <c r="A18" s="22" t="s">
        <v>25</v>
      </c>
      <c r="B18" s="20">
        <v>15</v>
      </c>
      <c r="C18" s="60">
        <f>IF(COUNTBLANK(H17)=1,(C17*'Config.'!$D$12)+C17,(H17*'Config.'!$D$12)+H17)</f>
        <v>46.438758214799947</v>
      </c>
      <c r="D18" s="60">
        <f t="shared" si="2"/>
        <v>0.45978968529504982</v>
      </c>
      <c r="E18" s="59">
        <v>0.8</v>
      </c>
      <c r="F18" s="61">
        <f t="shared" si="0"/>
        <v>0.11494742132376246</v>
      </c>
      <c r="G18" s="12" t="str">
        <f>IF(COUNTBLANK(H18)=1,IF(C18&lt;='Config.'!$D$10,"meta","nops"),"")</f>
        <v>meta</v>
      </c>
      <c r="H18" s="62"/>
      <c r="I18" s="63" t="str">
        <f t="shared" si="3"/>
        <v/>
      </c>
      <c r="J18" s="63" t="str">
        <f t="shared" si="1"/>
        <v/>
      </c>
      <c r="K18" s="54" t="str">
        <f t="shared" si="4"/>
        <v/>
      </c>
      <c r="R18" s="27">
        <f>IF(COUNTBLANK(T17)=1,(R17*'Config.'!$D$12)+R17,(T17*'Config.'!$D$12)+T17)</f>
        <v>46.438758214799947</v>
      </c>
      <c r="S18" s="28" t="str">
        <f>IF(COUNTBLANK(T18)=1,IF(R18&lt;='Config.'!$D$10,"meta","nops"),"")</f>
        <v>meta</v>
      </c>
      <c r="T18" s="32"/>
    </row>
    <row r="19" spans="1:20" ht="20.100000000000001" customHeight="1" x14ac:dyDescent="0.25">
      <c r="A19" s="22" t="s">
        <v>25</v>
      </c>
      <c r="B19" s="20">
        <v>16</v>
      </c>
      <c r="C19" s="60">
        <f>IF(COUNTBLANK(H18)=1,(C18*'Config.'!$D$12)+C18,(H18*'Config.'!$D$12)+H18)</f>
        <v>46.903145796947946</v>
      </c>
      <c r="D19" s="60">
        <f t="shared" si="2"/>
        <v>0.46438758214799947</v>
      </c>
      <c r="E19" s="59">
        <v>0.8</v>
      </c>
      <c r="F19" s="61">
        <f t="shared" si="0"/>
        <v>0.11609689553699987</v>
      </c>
      <c r="G19" s="12" t="str">
        <f>IF(COUNTBLANK(H19)=1,IF(C19&lt;='Config.'!$D$10,"meta","nops"),"")</f>
        <v>meta</v>
      </c>
      <c r="H19" s="62"/>
      <c r="I19" s="63" t="str">
        <f t="shared" si="3"/>
        <v/>
      </c>
      <c r="J19" s="63" t="str">
        <f t="shared" si="1"/>
        <v/>
      </c>
      <c r="K19" s="54" t="str">
        <f t="shared" si="4"/>
        <v/>
      </c>
      <c r="R19" s="27">
        <f>IF(COUNTBLANK(T18)=1,(R18*'Config.'!$D$12)+R18,(T18*'Config.'!$D$12)+T18)</f>
        <v>46.903145796947946</v>
      </c>
      <c r="S19" s="28" t="str">
        <f>IF(COUNTBLANK(T19)=1,IF(R19&lt;='Config.'!$D$10,"meta","nops"),"")</f>
        <v>meta</v>
      </c>
      <c r="T19" s="32"/>
    </row>
    <row r="20" spans="1:20" ht="20.100000000000001" customHeight="1" x14ac:dyDescent="0.25">
      <c r="A20" s="22" t="s">
        <v>25</v>
      </c>
      <c r="B20" s="20">
        <v>17</v>
      </c>
      <c r="C20" s="60">
        <f>IF(COUNTBLANK(H19)=1,(C19*'Config.'!$D$12)+C19,(H19*'Config.'!$D$12)+H19)</f>
        <v>47.372177254917425</v>
      </c>
      <c r="D20" s="60">
        <f t="shared" si="2"/>
        <v>0.46903145796947854</v>
      </c>
      <c r="E20" s="59">
        <v>0.8</v>
      </c>
      <c r="F20" s="61">
        <f t="shared" si="0"/>
        <v>0.11725786449236963</v>
      </c>
      <c r="G20" s="12" t="str">
        <f>IF(COUNTBLANK(H20)=1,IF(C20&lt;='Config.'!$D$10,"meta","nops"),"")</f>
        <v>meta</v>
      </c>
      <c r="H20" s="62"/>
      <c r="I20" s="63" t="str">
        <f t="shared" si="3"/>
        <v/>
      </c>
      <c r="J20" s="63" t="str">
        <f t="shared" si="1"/>
        <v/>
      </c>
      <c r="K20" s="54" t="str">
        <f t="shared" si="4"/>
        <v/>
      </c>
      <c r="R20" s="27">
        <f>IF(COUNTBLANK(T19)=1,(R19*'Config.'!$D$12)+R19,(T19*'Config.'!$D$12)+T19)</f>
        <v>47.372177254917425</v>
      </c>
      <c r="S20" s="28" t="str">
        <f>IF(COUNTBLANK(T20)=1,IF(R20&lt;='Config.'!$D$10,"meta","nops"),"")</f>
        <v>meta</v>
      </c>
      <c r="T20" s="32"/>
    </row>
    <row r="21" spans="1:20" ht="20.100000000000001" customHeight="1" x14ac:dyDescent="0.25">
      <c r="A21" s="22" t="s">
        <v>25</v>
      </c>
      <c r="B21" s="20">
        <v>18</v>
      </c>
      <c r="C21" s="60">
        <f>IF(COUNTBLANK(H20)=1,(C20*'Config.'!$D$12)+C20,(H20*'Config.'!$D$12)+H20)</f>
        <v>47.845899027466601</v>
      </c>
      <c r="D21" s="60">
        <f t="shared" si="2"/>
        <v>0.47372177254917602</v>
      </c>
      <c r="E21" s="59">
        <v>0.8</v>
      </c>
      <c r="F21" s="61">
        <f t="shared" si="0"/>
        <v>0.11843044313729401</v>
      </c>
      <c r="G21" s="12" t="str">
        <f>IF(COUNTBLANK(H21)=1,IF(C21&lt;='Config.'!$D$10,"meta","nops"),"")</f>
        <v>meta</v>
      </c>
      <c r="H21" s="62"/>
      <c r="I21" s="63" t="str">
        <f t="shared" si="3"/>
        <v/>
      </c>
      <c r="J21" s="63" t="str">
        <f t="shared" si="1"/>
        <v/>
      </c>
      <c r="K21" s="54" t="str">
        <f t="shared" si="4"/>
        <v/>
      </c>
      <c r="R21" s="27">
        <f>IF(COUNTBLANK(T20)=1,(R20*'Config.'!$D$12)+R20,(T20*'Config.'!$D$12)+T20)</f>
        <v>47.845899027466601</v>
      </c>
      <c r="S21" s="28" t="str">
        <f>IF(COUNTBLANK(T21)=1,IF(R21&lt;='Config.'!$D$10,"meta","nops"),"")</f>
        <v>meta</v>
      </c>
      <c r="T21" s="32"/>
    </row>
    <row r="22" spans="1:20" ht="20.100000000000001" customHeight="1" x14ac:dyDescent="0.25">
      <c r="A22" s="22" t="s">
        <v>25</v>
      </c>
      <c r="B22" s="20">
        <v>19</v>
      </c>
      <c r="C22" s="60">
        <f>IF(COUNTBLANK(H21)=1,(C21*'Config.'!$D$12)+C21,(H21*'Config.'!$D$12)+H21)</f>
        <v>48.324358017741268</v>
      </c>
      <c r="D22" s="60">
        <f t="shared" si="2"/>
        <v>0.47845899027466743</v>
      </c>
      <c r="E22" s="59">
        <v>0.8</v>
      </c>
      <c r="F22" s="61">
        <f t="shared" si="0"/>
        <v>0.11961474756866686</v>
      </c>
      <c r="G22" s="12" t="str">
        <f>IF(COUNTBLANK(H22)=1,IF(C22&lt;='Config.'!$D$10,"meta","nops"),"")</f>
        <v>meta</v>
      </c>
      <c r="H22" s="62"/>
      <c r="I22" s="63" t="str">
        <f t="shared" si="3"/>
        <v/>
      </c>
      <c r="J22" s="63" t="str">
        <f t="shared" si="1"/>
        <v/>
      </c>
      <c r="K22" s="54" t="str">
        <f t="shared" si="4"/>
        <v/>
      </c>
      <c r="R22" s="27">
        <f>IF(COUNTBLANK(T21)=1,(R21*'Config.'!$D$12)+R21,(T21*'Config.'!$D$12)+T21)</f>
        <v>48.324358017741268</v>
      </c>
      <c r="S22" s="28" t="str">
        <f>IF(COUNTBLANK(T22)=1,IF(R22&lt;='Config.'!$D$10,"meta","nops"),"")</f>
        <v>meta</v>
      </c>
      <c r="T22" s="32"/>
    </row>
    <row r="23" spans="1:20" ht="20.100000000000001" customHeight="1" x14ac:dyDescent="0.25">
      <c r="A23" s="22" t="s">
        <v>25</v>
      </c>
      <c r="B23" s="20">
        <v>20</v>
      </c>
      <c r="C23" s="60">
        <f>IF(COUNTBLANK(H22)=1,(C22*'Config.'!$D$12)+C22,(H22*'Config.'!$D$12)+H22)</f>
        <v>48.807601597918683</v>
      </c>
      <c r="D23" s="60">
        <f t="shared" si="2"/>
        <v>0.48324358017741531</v>
      </c>
      <c r="E23" s="59">
        <v>0.8</v>
      </c>
      <c r="F23" s="61">
        <f t="shared" si="0"/>
        <v>0.12081089504435383</v>
      </c>
      <c r="G23" s="12" t="str">
        <f>IF(COUNTBLANK(H23)=1,IF(C23&lt;='Config.'!$D$10,"meta","nops"),"")</f>
        <v>meta</v>
      </c>
      <c r="H23" s="62"/>
      <c r="I23" s="63" t="str">
        <f t="shared" si="3"/>
        <v/>
      </c>
      <c r="J23" s="63" t="str">
        <f t="shared" si="1"/>
        <v/>
      </c>
      <c r="K23" s="54" t="str">
        <f t="shared" si="4"/>
        <v/>
      </c>
      <c r="R23" s="27">
        <f>IF(COUNTBLANK(T22)=1,(R22*'Config.'!$D$12)+R22,(T22*'Config.'!$D$12)+T22)</f>
        <v>48.807601597918683</v>
      </c>
      <c r="S23" s="28" t="str">
        <f>IF(COUNTBLANK(T23)=1,IF(R23&lt;='Config.'!$D$10,"meta","nops"),"")</f>
        <v>meta</v>
      </c>
      <c r="T23" s="32"/>
    </row>
    <row r="24" spans="1:20" ht="20.100000000000001" customHeight="1" x14ac:dyDescent="0.25">
      <c r="A24" s="22" t="s">
        <v>25</v>
      </c>
      <c r="B24" s="20">
        <v>21</v>
      </c>
      <c r="C24" s="60">
        <f>IF(COUNTBLANK(H23)=1,(C23*'Config.'!$D$12)+C23,(H23*'Config.'!$D$12)+H23)</f>
        <v>49.295677613897873</v>
      </c>
      <c r="D24" s="60">
        <f t="shared" si="2"/>
        <v>0.48807601597918904</v>
      </c>
      <c r="E24" s="59">
        <v>0.8</v>
      </c>
      <c r="F24" s="61">
        <f t="shared" si="0"/>
        <v>0.12201900399479726</v>
      </c>
      <c r="G24" s="12" t="str">
        <f>IF(COUNTBLANK(H24)=1,IF(C24&lt;='Config.'!$D$10,"meta","nops"),"")</f>
        <v>meta</v>
      </c>
      <c r="H24" s="62"/>
      <c r="I24" s="63" t="str">
        <f t="shared" si="3"/>
        <v/>
      </c>
      <c r="J24" s="63" t="str">
        <f t="shared" si="1"/>
        <v/>
      </c>
      <c r="K24" s="54" t="str">
        <f t="shared" si="4"/>
        <v/>
      </c>
      <c r="R24" s="27">
        <f>IF(COUNTBLANK(T23)=1,(R23*'Config.'!$D$12)+R23,(T23*'Config.'!$D$12)+T23)</f>
        <v>49.295677613897873</v>
      </c>
      <c r="S24" s="28" t="str">
        <f>IF(COUNTBLANK(T24)=1,IF(R24&lt;='Config.'!$D$10,"meta","nops"),"")</f>
        <v>meta</v>
      </c>
      <c r="T24" s="32"/>
    </row>
    <row r="25" spans="1:20" ht="20.100000000000001" customHeight="1" x14ac:dyDescent="0.25">
      <c r="A25" s="22" t="s">
        <v>25</v>
      </c>
      <c r="B25" s="20">
        <v>22</v>
      </c>
      <c r="C25" s="60">
        <f>IF(COUNTBLANK(H24)=1,(C24*'Config.'!$D$12)+C24,(H24*'Config.'!$D$12)+H24)</f>
        <v>49.788634390036854</v>
      </c>
      <c r="D25" s="60">
        <f t="shared" si="2"/>
        <v>0.49295677613898192</v>
      </c>
      <c r="E25" s="59">
        <v>0.8</v>
      </c>
      <c r="F25" s="61">
        <f t="shared" si="0"/>
        <v>0.12323919403474548</v>
      </c>
      <c r="G25" s="12" t="str">
        <f>IF(COUNTBLANK(H25)=1,IF(C25&lt;='Config.'!$D$10,"meta","nops"),"")</f>
        <v>meta</v>
      </c>
      <c r="H25" s="62"/>
      <c r="I25" s="63" t="str">
        <f t="shared" si="3"/>
        <v/>
      </c>
      <c r="J25" s="63" t="str">
        <f t="shared" si="1"/>
        <v/>
      </c>
      <c r="K25" s="54" t="str">
        <f t="shared" si="4"/>
        <v/>
      </c>
      <c r="R25" s="27">
        <f>IF(COUNTBLANK(T24)=1,(R24*'Config.'!$D$12)+R24,(T24*'Config.'!$D$12)+T24)</f>
        <v>49.788634390036854</v>
      </c>
      <c r="S25" s="28" t="str">
        <f>IF(COUNTBLANK(T25)=1,IF(R25&lt;='Config.'!$D$10,"meta","nops"),"")</f>
        <v>meta</v>
      </c>
      <c r="T25" s="32"/>
    </row>
    <row r="26" spans="1:20" ht="20.100000000000001" customHeight="1" x14ac:dyDescent="0.25">
      <c r="A26" s="22" t="s">
        <v>25</v>
      </c>
      <c r="B26" s="20">
        <v>23</v>
      </c>
      <c r="C26" s="60">
        <f>IF(COUNTBLANK(H25)=1,(C25*'Config.'!$D$12)+C25,(H25*'Config.'!$D$12)+H25)</f>
        <v>50.286520733937223</v>
      </c>
      <c r="D26" s="60">
        <f t="shared" si="2"/>
        <v>0.4978863439003689</v>
      </c>
      <c r="E26" s="59">
        <v>0.8</v>
      </c>
      <c r="F26" s="61">
        <f t="shared" si="0"/>
        <v>0.12447158597509222</v>
      </c>
      <c r="G26" s="12" t="str">
        <f>IF(COUNTBLANK(H26)=1,IF(C26&lt;='Config.'!$D$10,"meta","nops"),"")</f>
        <v>meta</v>
      </c>
      <c r="H26" s="62"/>
      <c r="I26" s="63" t="str">
        <f t="shared" si="3"/>
        <v/>
      </c>
      <c r="J26" s="63" t="str">
        <f t="shared" si="1"/>
        <v/>
      </c>
      <c r="K26" s="54" t="str">
        <f t="shared" si="4"/>
        <v/>
      </c>
      <c r="R26" s="27">
        <f>IF(COUNTBLANK(T25)=1,(R25*'Config.'!$D$12)+R25,(T25*'Config.'!$D$12)+T25)</f>
        <v>50.286520733937223</v>
      </c>
      <c r="S26" s="28" t="str">
        <f>IF(COUNTBLANK(T26)=1,IF(R26&lt;='Config.'!$D$10,"meta","nops"),"")</f>
        <v>meta</v>
      </c>
      <c r="T26" s="32"/>
    </row>
    <row r="27" spans="1:20" ht="20.100000000000001" customHeight="1" x14ac:dyDescent="0.25">
      <c r="A27" s="22" t="s">
        <v>25</v>
      </c>
      <c r="B27" s="20">
        <v>24</v>
      </c>
      <c r="C27" s="60">
        <f>IF(COUNTBLANK(H26)=1,(C26*'Config.'!$D$12)+C26,(H26*'Config.'!$D$12)+H26)</f>
        <v>50.789385941276592</v>
      </c>
      <c r="D27" s="60">
        <f t="shared" si="2"/>
        <v>0.50286520733936868</v>
      </c>
      <c r="E27" s="59">
        <v>0.8</v>
      </c>
      <c r="F27" s="61">
        <f t="shared" si="0"/>
        <v>0.12571630183484217</v>
      </c>
      <c r="G27" s="12" t="str">
        <f>IF(COUNTBLANK(H27)=1,IF(C27&lt;='Config.'!$D$10,"meta","nops"),"")</f>
        <v>meta</v>
      </c>
      <c r="H27" s="62"/>
      <c r="I27" s="63" t="str">
        <f t="shared" si="3"/>
        <v/>
      </c>
      <c r="J27" s="63" t="str">
        <f t="shared" si="1"/>
        <v/>
      </c>
      <c r="K27" s="54" t="str">
        <f t="shared" si="4"/>
        <v/>
      </c>
      <c r="R27" s="27">
        <f>IF(COUNTBLANK(T26)=1,(R26*'Config.'!$D$12)+R26,(T26*'Config.'!$D$12)+T26)</f>
        <v>50.789385941276592</v>
      </c>
      <c r="S27" s="28" t="str">
        <f>IF(COUNTBLANK(T27)=1,IF(R27&lt;='Config.'!$D$10,"meta","nops"),"")</f>
        <v>meta</v>
      </c>
      <c r="T27" s="32"/>
    </row>
    <row r="28" spans="1:20" ht="20.100000000000001" customHeight="1" x14ac:dyDescent="0.25">
      <c r="A28" s="22" t="s">
        <v>25</v>
      </c>
      <c r="B28" s="20">
        <v>25</v>
      </c>
      <c r="C28" s="60">
        <f>IF(COUNTBLANK(H27)=1,(C27*'Config.'!$D$12)+C27,(H27*'Config.'!$D$12)+H27)</f>
        <v>51.29727980068936</v>
      </c>
      <c r="D28" s="60">
        <f t="shared" si="2"/>
        <v>0.50789385941276777</v>
      </c>
      <c r="E28" s="59">
        <v>0.8</v>
      </c>
      <c r="F28" s="61">
        <f t="shared" si="0"/>
        <v>0.12697346485319194</v>
      </c>
      <c r="G28" s="12" t="str">
        <f>IF(COUNTBLANK(H28)=1,IF(C28&lt;='Config.'!$D$10,"meta","nops"),"")</f>
        <v>meta</v>
      </c>
      <c r="H28" s="62"/>
      <c r="I28" s="63" t="str">
        <f t="shared" si="3"/>
        <v/>
      </c>
      <c r="J28" s="63" t="str">
        <f t="shared" si="1"/>
        <v/>
      </c>
      <c r="K28" s="54" t="str">
        <f t="shared" si="4"/>
        <v/>
      </c>
      <c r="R28" s="27">
        <f>IF(COUNTBLANK(T27)=1,(R27*'Config.'!$D$12)+R27,(T27*'Config.'!$D$12)+T27)</f>
        <v>51.29727980068936</v>
      </c>
      <c r="S28" s="28" t="str">
        <f>IF(COUNTBLANK(T28)=1,IF(R28&lt;='Config.'!$D$10,"meta","nops"),"")</f>
        <v>meta</v>
      </c>
      <c r="T28" s="32"/>
    </row>
    <row r="29" spans="1:20" ht="20.100000000000001" customHeight="1" x14ac:dyDescent="0.25">
      <c r="A29" s="22" t="s">
        <v>25</v>
      </c>
      <c r="B29" s="20">
        <v>26</v>
      </c>
      <c r="C29" s="60">
        <f>IF(COUNTBLANK(H28)=1,(C28*'Config.'!$D$12)+C28,(H28*'Config.'!$D$12)+H28)</f>
        <v>51.810252598696252</v>
      </c>
      <c r="D29" s="60">
        <f t="shared" si="2"/>
        <v>0.51297279800689211</v>
      </c>
      <c r="E29" s="59">
        <v>0.8</v>
      </c>
      <c r="F29" s="61">
        <f t="shared" si="0"/>
        <v>0.12824319950172303</v>
      </c>
      <c r="G29" s="12" t="str">
        <f>IF(COUNTBLANK(H29)=1,IF(C29&lt;='Config.'!$D$10,"meta","nops"),"")</f>
        <v>meta</v>
      </c>
      <c r="H29" s="62"/>
      <c r="I29" s="63" t="str">
        <f t="shared" si="3"/>
        <v/>
      </c>
      <c r="J29" s="63" t="str">
        <f t="shared" si="1"/>
        <v/>
      </c>
      <c r="K29" s="54" t="str">
        <f t="shared" si="4"/>
        <v/>
      </c>
      <c r="R29" s="27">
        <f>IF(COUNTBLANK(T28)=1,(R28*'Config.'!$D$12)+R28,(T28*'Config.'!$D$12)+T28)</f>
        <v>51.810252598696252</v>
      </c>
      <c r="S29" s="28" t="str">
        <f>IF(COUNTBLANK(T29)=1,IF(R29&lt;='Config.'!$D$10,"meta","nops"),"")</f>
        <v>meta</v>
      </c>
      <c r="T29" s="32"/>
    </row>
    <row r="30" spans="1:20" ht="20.100000000000001" customHeight="1" x14ac:dyDescent="0.25">
      <c r="A30" s="22" t="s">
        <v>25</v>
      </c>
      <c r="B30" s="20">
        <v>27</v>
      </c>
      <c r="C30" s="60">
        <f>IF(COUNTBLANK(H29)=1,(C29*'Config.'!$D$12)+C29,(H29*'Config.'!$D$12)+H29)</f>
        <v>52.328355124683213</v>
      </c>
      <c r="D30" s="60">
        <f t="shared" si="2"/>
        <v>0.51810252598696138</v>
      </c>
      <c r="E30" s="59">
        <v>0.8</v>
      </c>
      <c r="F30" s="61">
        <f t="shared" si="0"/>
        <v>0.12952563149674035</v>
      </c>
      <c r="G30" s="12" t="str">
        <f>IF(COUNTBLANK(H30)=1,IF(C30&lt;='Config.'!$D$10,"meta","nops"),"")</f>
        <v>meta</v>
      </c>
      <c r="H30" s="62"/>
      <c r="I30" s="63" t="str">
        <f t="shared" si="3"/>
        <v/>
      </c>
      <c r="J30" s="63" t="str">
        <f t="shared" si="1"/>
        <v/>
      </c>
      <c r="K30" s="54" t="str">
        <f t="shared" si="4"/>
        <v/>
      </c>
      <c r="R30" s="27">
        <f>IF(COUNTBLANK(T29)=1,(R29*'Config.'!$D$12)+R29,(T29*'Config.'!$D$12)+T29)</f>
        <v>52.328355124683213</v>
      </c>
      <c r="S30" s="28" t="str">
        <f>IF(COUNTBLANK(T30)=1,IF(R30&lt;='Config.'!$D$10,"meta","nops"),"")</f>
        <v>meta</v>
      </c>
      <c r="T30" s="32"/>
    </row>
    <row r="31" spans="1:20" ht="20.100000000000001" customHeight="1" x14ac:dyDescent="0.25">
      <c r="A31" s="22" t="s">
        <v>25</v>
      </c>
      <c r="B31" s="20">
        <v>28</v>
      </c>
      <c r="C31" s="60">
        <f>IF(COUNTBLANK(H30)=1,(C30*'Config.'!$D$12)+C30,(H30*'Config.'!$D$12)+H30)</f>
        <v>52.851638675930047</v>
      </c>
      <c r="D31" s="60">
        <f t="shared" si="2"/>
        <v>0.52328355124683412</v>
      </c>
      <c r="E31" s="59">
        <v>0.8</v>
      </c>
      <c r="F31" s="61">
        <f t="shared" si="0"/>
        <v>0.13082088781170853</v>
      </c>
      <c r="G31" s="12" t="str">
        <f>IF(COUNTBLANK(H31)=1,IF(C31&lt;='Config.'!$D$10,"meta","nops"),"")</f>
        <v>meta</v>
      </c>
      <c r="H31" s="62"/>
      <c r="I31" s="63" t="str">
        <f t="shared" si="3"/>
        <v/>
      </c>
      <c r="J31" s="63" t="str">
        <f t="shared" si="1"/>
        <v/>
      </c>
      <c r="K31" s="54" t="str">
        <f t="shared" si="4"/>
        <v/>
      </c>
      <c r="R31" s="27">
        <f>IF(COUNTBLANK(T30)=1,(R30*'Config.'!$D$12)+R30,(T30*'Config.'!$D$12)+T30)</f>
        <v>52.851638675930047</v>
      </c>
      <c r="S31" s="28" t="str">
        <f>IF(COUNTBLANK(T31)=1,IF(R31&lt;='Config.'!$D$10,"meta","nops"),"")</f>
        <v>meta</v>
      </c>
      <c r="T31" s="32"/>
    </row>
    <row r="32" spans="1:20" ht="20.100000000000001" customHeight="1" x14ac:dyDescent="0.25">
      <c r="A32" s="22" t="s">
        <v>25</v>
      </c>
      <c r="B32" s="20">
        <v>29</v>
      </c>
      <c r="C32" s="60">
        <f>IF(COUNTBLANK(H31)=1,(C31*'Config.'!$D$12)+C31,(H31*'Config.'!$D$12)+H31)</f>
        <v>53.380155062689347</v>
      </c>
      <c r="D32" s="60">
        <f t="shared" si="2"/>
        <v>0.52851638675929991</v>
      </c>
      <c r="E32" s="59">
        <v>0.8</v>
      </c>
      <c r="F32" s="61">
        <f t="shared" si="0"/>
        <v>0.13212909668982498</v>
      </c>
      <c r="G32" s="12" t="str">
        <f>IF(COUNTBLANK(H32)=1,IF(C32&lt;='Config.'!$D$10,"meta","nops"),"")</f>
        <v>meta</v>
      </c>
      <c r="H32" s="62"/>
      <c r="I32" s="63" t="str">
        <f t="shared" si="3"/>
        <v/>
      </c>
      <c r="J32" s="63" t="str">
        <f t="shared" si="1"/>
        <v/>
      </c>
      <c r="K32" s="54" t="str">
        <f t="shared" si="4"/>
        <v/>
      </c>
      <c r="R32" s="27">
        <f>IF(COUNTBLANK(T31)=1,(R31*'Config.'!$D$12)+R31,(T31*'Config.'!$D$12)+T31)</f>
        <v>53.380155062689347</v>
      </c>
      <c r="S32" s="28" t="str">
        <f>IF(COUNTBLANK(T32)=1,IF(R32&lt;='Config.'!$D$10,"meta","nops"),"")</f>
        <v>meta</v>
      </c>
      <c r="T32" s="32"/>
    </row>
    <row r="33" spans="1:20" ht="20.100000000000001" customHeight="1" x14ac:dyDescent="0.25">
      <c r="A33" s="22" t="s">
        <v>25</v>
      </c>
      <c r="B33" s="20">
        <v>30</v>
      </c>
      <c r="C33" s="60">
        <f>IF(COUNTBLANK(H32)=1,(C32*'Config.'!$D$12)+C32,(H32*'Config.'!$D$12)+H32)</f>
        <v>53.913956613316238</v>
      </c>
      <c r="D33" s="60">
        <f t="shared" si="2"/>
        <v>0.53380155062689028</v>
      </c>
      <c r="E33" s="59">
        <v>0.8</v>
      </c>
      <c r="F33" s="61">
        <f t="shared" si="0"/>
        <v>0.13345038765672257</v>
      </c>
      <c r="G33" s="12" t="str">
        <f>IF(COUNTBLANK(H33)=1,IF(C33&lt;='Config.'!$D$10,"meta","nops"),"")</f>
        <v>meta</v>
      </c>
      <c r="H33" s="62"/>
      <c r="I33" s="63" t="str">
        <f t="shared" si="3"/>
        <v/>
      </c>
      <c r="J33" s="63" t="str">
        <f t="shared" si="1"/>
        <v/>
      </c>
      <c r="K33" s="54" t="str">
        <f t="shared" si="4"/>
        <v/>
      </c>
      <c r="R33" s="27">
        <f>IF(COUNTBLANK(T32)=1,(R32*'Config.'!$D$12)+R32,(T32*'Config.'!$D$12)+T32)</f>
        <v>53.913956613316238</v>
      </c>
      <c r="S33" s="28" t="str">
        <f>IF(COUNTBLANK(T33)=1,IF(R33&lt;='Config.'!$D$10,"meta","nops"),"")</f>
        <v>meta</v>
      </c>
      <c r="T33" s="32"/>
    </row>
    <row r="34" spans="1:20" ht="20.100000000000001" customHeight="1" x14ac:dyDescent="0.25">
      <c r="A34" s="22" t="s">
        <v>25</v>
      </c>
      <c r="B34" s="20">
        <v>31</v>
      </c>
      <c r="C34" s="60">
        <f>IF(COUNTBLANK(H33)=1,(C33*'Config.'!$D$12)+C33,(H33*'Config.'!$D$12)+H33)</f>
        <v>54.453096179449403</v>
      </c>
      <c r="D34" s="60">
        <f t="shared" si="2"/>
        <v>0.53913956613316572</v>
      </c>
      <c r="E34" s="59">
        <v>0.8</v>
      </c>
      <c r="F34" s="61">
        <f t="shared" si="0"/>
        <v>0.13478489153329143</v>
      </c>
      <c r="G34" s="12" t="str">
        <f>IF(COUNTBLANK(H34)=1,IF(C34&lt;='Config.'!$D$10,"meta","nops"),"")</f>
        <v>meta</v>
      </c>
      <c r="H34" s="62"/>
      <c r="I34" s="63" t="str">
        <f t="shared" si="3"/>
        <v/>
      </c>
      <c r="J34" s="63" t="str">
        <f t="shared" si="1"/>
        <v/>
      </c>
      <c r="K34" s="54" t="str">
        <f t="shared" si="4"/>
        <v/>
      </c>
      <c r="R34" s="27">
        <f>IF(COUNTBLANK(T33)=1,(R33*'Config.'!$D$12)+R33,(T33*'Config.'!$D$12)+T33)</f>
        <v>54.453096179449403</v>
      </c>
      <c r="S34" s="28" t="str">
        <f>IF(COUNTBLANK(T34)=1,IF(R34&lt;='Config.'!$D$10,"meta","nops"),"")</f>
        <v>meta</v>
      </c>
      <c r="T34" s="32"/>
    </row>
    <row r="35" spans="1:20" ht="20.100000000000001" customHeight="1" x14ac:dyDescent="0.25">
      <c r="A35" s="22" t="s">
        <v>25</v>
      </c>
      <c r="B35" s="20">
        <v>32</v>
      </c>
      <c r="C35" s="60">
        <f>IF(COUNTBLANK(H34)=1,(C34*'Config.'!$D$12)+C34,(H34*'Config.'!$D$12)+H34)</f>
        <v>54.997627141243896</v>
      </c>
      <c r="D35" s="60">
        <f t="shared" si="2"/>
        <v>0.5445309617944929</v>
      </c>
      <c r="E35" s="59">
        <v>0.8</v>
      </c>
      <c r="F35" s="61">
        <f t="shared" si="0"/>
        <v>0.13613274044862322</v>
      </c>
      <c r="G35" s="12" t="str">
        <f>IF(COUNTBLANK(H35)=1,IF(C35&lt;='Config.'!$D$10,"meta","nops"),"")</f>
        <v>meta</v>
      </c>
      <c r="H35" s="62"/>
      <c r="I35" s="63" t="str">
        <f t="shared" si="3"/>
        <v/>
      </c>
      <c r="J35" s="63" t="str">
        <f t="shared" si="1"/>
        <v/>
      </c>
      <c r="K35" s="54" t="str">
        <f t="shared" si="4"/>
        <v/>
      </c>
      <c r="R35" s="27">
        <f>IF(COUNTBLANK(T34)=1,(R34*'Config.'!$D$12)+R34,(T34*'Config.'!$D$12)+T34)</f>
        <v>54.997627141243896</v>
      </c>
      <c r="S35" s="28" t="str">
        <f>IF(COUNTBLANK(T35)=1,IF(R35&lt;='Config.'!$D$10,"meta","nops"),"")</f>
        <v>meta</v>
      </c>
      <c r="T35" s="32"/>
    </row>
    <row r="36" spans="1:20" ht="20.100000000000001" customHeight="1" x14ac:dyDescent="0.25">
      <c r="A36" s="22" t="s">
        <v>25</v>
      </c>
      <c r="B36" s="20">
        <v>33</v>
      </c>
      <c r="C36" s="60">
        <f>IF(COUNTBLANK(H35)=1,(C35*'Config.'!$D$12)+C35,(H35*'Config.'!$D$12)+H35)</f>
        <v>55.547603412656336</v>
      </c>
      <c r="D36" s="60">
        <f t="shared" si="2"/>
        <v>0.5499762714124401</v>
      </c>
      <c r="E36" s="59">
        <v>0.8</v>
      </c>
      <c r="F36" s="61">
        <f t="shared" si="0"/>
        <v>0.13749406785311002</v>
      </c>
      <c r="G36" s="12" t="str">
        <f>IF(COUNTBLANK(H36)=1,IF(C36&lt;='Config.'!$D$10,"meta","nops"),"")</f>
        <v>meta</v>
      </c>
      <c r="H36" s="62"/>
      <c r="I36" s="63" t="str">
        <f t="shared" si="3"/>
        <v/>
      </c>
      <c r="J36" s="63" t="str">
        <f t="shared" si="1"/>
        <v/>
      </c>
      <c r="K36" s="54" t="str">
        <f t="shared" si="4"/>
        <v/>
      </c>
      <c r="R36" s="27">
        <f>IF(COUNTBLANK(T35)=1,(R35*'Config.'!$D$12)+R35,(T35*'Config.'!$D$12)+T35)</f>
        <v>55.547603412656336</v>
      </c>
      <c r="S36" s="28" t="str">
        <f>IF(COUNTBLANK(T36)=1,IF(R36&lt;='Config.'!$D$10,"meta","nops"),"")</f>
        <v>meta</v>
      </c>
      <c r="T36" s="32"/>
    </row>
    <row r="37" spans="1:20" ht="20.100000000000001" customHeight="1" x14ac:dyDescent="0.25">
      <c r="A37" s="22" t="s">
        <v>25</v>
      </c>
      <c r="B37" s="20">
        <v>34</v>
      </c>
      <c r="C37" s="60">
        <f>IF(COUNTBLANK(H36)=1,(C36*'Config.'!$D$12)+C36,(H36*'Config.'!$D$12)+H36)</f>
        <v>56.1030794467829</v>
      </c>
      <c r="D37" s="60">
        <f t="shared" si="2"/>
        <v>0.55547603412656343</v>
      </c>
      <c r="E37" s="59">
        <v>0.8</v>
      </c>
      <c r="F37" s="61">
        <f t="shared" si="0"/>
        <v>0.13886900853164086</v>
      </c>
      <c r="G37" s="12" t="str">
        <f>IF(COUNTBLANK(H37)=1,IF(C37&lt;='Config.'!$D$10,"meta","nops"),"")</f>
        <v>meta</v>
      </c>
      <c r="H37" s="62"/>
      <c r="I37" s="63" t="str">
        <f t="shared" si="3"/>
        <v/>
      </c>
      <c r="J37" s="63" t="str">
        <f t="shared" si="1"/>
        <v/>
      </c>
      <c r="K37" s="54" t="str">
        <f t="shared" si="4"/>
        <v/>
      </c>
      <c r="R37" s="27">
        <f>IF(COUNTBLANK(T36)=1,(R36*'Config.'!$D$12)+R36,(T36*'Config.'!$D$12)+T36)</f>
        <v>56.1030794467829</v>
      </c>
      <c r="S37" s="28" t="str">
        <f>IF(COUNTBLANK(T37)=1,IF(R37&lt;='Config.'!$D$10,"meta","nops"),"")</f>
        <v>meta</v>
      </c>
      <c r="T37" s="32"/>
    </row>
    <row r="38" spans="1:20" ht="20.100000000000001" customHeight="1" x14ac:dyDescent="0.25">
      <c r="A38" s="22" t="s">
        <v>25</v>
      </c>
      <c r="B38" s="20">
        <v>35</v>
      </c>
      <c r="C38" s="60">
        <f>IF(COUNTBLANK(H37)=1,(C37*'Config.'!$D$12)+C37,(H37*'Config.'!$D$12)+H37)</f>
        <v>56.664110241250725</v>
      </c>
      <c r="D38" s="60">
        <f t="shared" si="2"/>
        <v>0.56103079446782544</v>
      </c>
      <c r="E38" s="59">
        <v>0.8</v>
      </c>
      <c r="F38" s="61">
        <f t="shared" si="0"/>
        <v>0.14025769861695636</v>
      </c>
      <c r="G38" s="12" t="str">
        <f>IF(COUNTBLANK(H38)=1,IF(C38&lt;='Config.'!$D$10,"meta","nops"),"")</f>
        <v>meta</v>
      </c>
      <c r="H38" s="62"/>
      <c r="I38" s="63" t="str">
        <f t="shared" si="3"/>
        <v/>
      </c>
      <c r="J38" s="63" t="str">
        <f t="shared" si="1"/>
        <v/>
      </c>
      <c r="K38" s="54" t="str">
        <f t="shared" si="4"/>
        <v/>
      </c>
      <c r="R38" s="27">
        <f>IF(COUNTBLANK(T37)=1,(R37*'Config.'!$D$12)+R37,(T37*'Config.'!$D$12)+T37)</f>
        <v>56.664110241250725</v>
      </c>
      <c r="S38" s="28" t="str">
        <f>IF(COUNTBLANK(T38)=1,IF(R38&lt;='Config.'!$D$10,"meta","nops"),"")</f>
        <v>meta</v>
      </c>
      <c r="T38" s="32"/>
    </row>
    <row r="39" spans="1:20" ht="20.100000000000001" customHeight="1" x14ac:dyDescent="0.25">
      <c r="A39" s="22" t="s">
        <v>25</v>
      </c>
      <c r="B39" s="20">
        <v>36</v>
      </c>
      <c r="C39" s="60">
        <f>IF(COUNTBLANK(H38)=1,(C38*'Config.'!$D$12)+C38,(H38*'Config.'!$D$12)+H38)</f>
        <v>57.230751343663229</v>
      </c>
      <c r="D39" s="60">
        <f t="shared" si="2"/>
        <v>0.56664110241250398</v>
      </c>
      <c r="E39" s="59">
        <v>0.8</v>
      </c>
      <c r="F39" s="61">
        <f t="shared" si="0"/>
        <v>0.141660275603126</v>
      </c>
      <c r="G39" s="12" t="str">
        <f>IF(COUNTBLANK(H39)=1,IF(C39&lt;='Config.'!$D$10,"meta","nops"),"")</f>
        <v>meta</v>
      </c>
      <c r="H39" s="62"/>
      <c r="I39" s="63" t="str">
        <f t="shared" si="3"/>
        <v/>
      </c>
      <c r="J39" s="63" t="str">
        <f t="shared" si="1"/>
        <v/>
      </c>
      <c r="K39" s="54" t="str">
        <f t="shared" si="4"/>
        <v/>
      </c>
      <c r="R39" s="27">
        <f>IF(COUNTBLANK(T38)=1,(R38*'Config.'!$D$12)+R38,(T38*'Config.'!$D$12)+T38)</f>
        <v>57.230751343663229</v>
      </c>
      <c r="S39" s="28" t="str">
        <f>IF(COUNTBLANK(T39)=1,IF(R39&lt;='Config.'!$D$10,"meta","nops"),"")</f>
        <v>meta</v>
      </c>
      <c r="T39" s="32"/>
    </row>
    <row r="40" spans="1:20" ht="20.100000000000001" customHeight="1" x14ac:dyDescent="0.25">
      <c r="A40" s="22" t="s">
        <v>25</v>
      </c>
      <c r="B40" s="20">
        <v>37</v>
      </c>
      <c r="C40" s="60">
        <f>IF(COUNTBLANK(H39)=1,(C39*'Config.'!$D$12)+C39,(H39*'Config.'!$D$12)+H39)</f>
        <v>57.803058857099863</v>
      </c>
      <c r="D40" s="60">
        <f t="shared" si="2"/>
        <v>0.572307513436634</v>
      </c>
      <c r="E40" s="59">
        <v>0.8</v>
      </c>
      <c r="F40" s="61">
        <f t="shared" si="0"/>
        <v>0.1430768783591585</v>
      </c>
      <c r="G40" s="12" t="str">
        <f>IF(COUNTBLANK(H40)=1,IF(C40&lt;='Config.'!$D$10,"meta","nops"),"")</f>
        <v>meta</v>
      </c>
      <c r="H40" s="62"/>
      <c r="I40" s="63" t="str">
        <f t="shared" si="3"/>
        <v/>
      </c>
      <c r="J40" s="63" t="str">
        <f t="shared" si="1"/>
        <v/>
      </c>
      <c r="K40" s="54" t="str">
        <f t="shared" si="4"/>
        <v/>
      </c>
      <c r="R40" s="27">
        <f>IF(COUNTBLANK(T39)=1,(R39*'Config.'!$D$12)+R39,(T39*'Config.'!$D$12)+T39)</f>
        <v>57.803058857099863</v>
      </c>
      <c r="S40" s="28" t="str">
        <f>IF(COUNTBLANK(T40)=1,IF(R40&lt;='Config.'!$D$10,"meta","nops"),"")</f>
        <v>meta</v>
      </c>
      <c r="T40" s="32"/>
    </row>
    <row r="41" spans="1:20" ht="20.100000000000001" customHeight="1" x14ac:dyDescent="0.25">
      <c r="A41" s="22" t="s">
        <v>25</v>
      </c>
      <c r="B41" s="20">
        <v>38</v>
      </c>
      <c r="C41" s="60">
        <f>IF(COUNTBLANK(H40)=1,(C40*'Config.'!$D$12)+C40,(H40*'Config.'!$D$12)+H40)</f>
        <v>58.38108944567086</v>
      </c>
      <c r="D41" s="60">
        <f t="shared" si="2"/>
        <v>0.57803058857099643</v>
      </c>
      <c r="E41" s="59">
        <v>0.8</v>
      </c>
      <c r="F41" s="61">
        <f t="shared" si="0"/>
        <v>0.14450764714274911</v>
      </c>
      <c r="G41" s="12" t="str">
        <f>IF(COUNTBLANK(H41)=1,IF(C41&lt;='Config.'!$D$10,"meta","nops"),"")</f>
        <v>meta</v>
      </c>
      <c r="H41" s="62"/>
      <c r="I41" s="63" t="str">
        <f t="shared" si="3"/>
        <v/>
      </c>
      <c r="J41" s="63" t="str">
        <f t="shared" si="1"/>
        <v/>
      </c>
      <c r="K41" s="54" t="str">
        <f t="shared" si="4"/>
        <v/>
      </c>
      <c r="R41" s="27">
        <f>IF(COUNTBLANK(T40)=1,(R40*'Config.'!$D$12)+R40,(T40*'Config.'!$D$12)+T40)</f>
        <v>58.38108944567086</v>
      </c>
      <c r="S41" s="28" t="str">
        <f>IF(COUNTBLANK(T41)=1,IF(R41&lt;='Config.'!$D$10,"meta","nops"),"")</f>
        <v>meta</v>
      </c>
      <c r="T41" s="32"/>
    </row>
    <row r="42" spans="1:20" ht="20.100000000000001" customHeight="1" x14ac:dyDescent="0.25">
      <c r="A42" s="22" t="s">
        <v>25</v>
      </c>
      <c r="B42" s="20">
        <v>39</v>
      </c>
      <c r="C42" s="60">
        <f>IF(COUNTBLANK(H41)=1,(C41*'Config.'!$D$12)+C41,(H41*'Config.'!$D$12)+H41)</f>
        <v>58.964900340127571</v>
      </c>
      <c r="D42" s="60">
        <f t="shared" si="2"/>
        <v>0.58381089445671108</v>
      </c>
      <c r="E42" s="59">
        <v>0.8</v>
      </c>
      <c r="F42" s="61">
        <f t="shared" si="0"/>
        <v>0.14595272361417777</v>
      </c>
      <c r="G42" s="12" t="str">
        <f>IF(COUNTBLANK(H42)=1,IF(C42&lt;='Config.'!$D$10,"meta","nops"),"")</f>
        <v>meta</v>
      </c>
      <c r="H42" s="62"/>
      <c r="I42" s="63" t="str">
        <f t="shared" si="3"/>
        <v/>
      </c>
      <c r="J42" s="63" t="str">
        <f t="shared" si="1"/>
        <v/>
      </c>
      <c r="K42" s="54" t="str">
        <f t="shared" si="4"/>
        <v/>
      </c>
      <c r="R42" s="27">
        <f>IF(COUNTBLANK(T41)=1,(R41*'Config.'!$D$12)+R41,(T41*'Config.'!$D$12)+T41)</f>
        <v>58.964900340127571</v>
      </c>
      <c r="S42" s="28" t="str">
        <f>IF(COUNTBLANK(T42)=1,IF(R42&lt;='Config.'!$D$10,"meta","nops"),"")</f>
        <v>meta</v>
      </c>
      <c r="T42" s="32"/>
    </row>
    <row r="43" spans="1:20" ht="20.100000000000001" customHeight="1" x14ac:dyDescent="0.25">
      <c r="A43" s="22" t="s">
        <v>25</v>
      </c>
      <c r="B43" s="20">
        <v>40</v>
      </c>
      <c r="C43" s="60">
        <f>IF(COUNTBLANK(H42)=1,(C42*'Config.'!$D$12)+C42,(H42*'Config.'!$D$12)+H42)</f>
        <v>59.554549343528848</v>
      </c>
      <c r="D43" s="60">
        <f t="shared" si="2"/>
        <v>0.58964900340127713</v>
      </c>
      <c r="E43" s="59">
        <v>0.8</v>
      </c>
      <c r="F43" s="61">
        <f t="shared" si="0"/>
        <v>0.14741225085031928</v>
      </c>
      <c r="G43" s="12" t="str">
        <f>IF(COUNTBLANK(H43)=1,IF(C43&lt;='Config.'!$D$10,"meta","nops"),"")</f>
        <v>meta</v>
      </c>
      <c r="H43" s="62"/>
      <c r="I43" s="63" t="str">
        <f t="shared" si="3"/>
        <v/>
      </c>
      <c r="J43" s="63" t="str">
        <f t="shared" si="1"/>
        <v/>
      </c>
      <c r="K43" s="54" t="str">
        <f t="shared" si="4"/>
        <v/>
      </c>
      <c r="R43" s="27">
        <f>IF(COUNTBLANK(T42)=1,(R42*'Config.'!$D$12)+R42,(T42*'Config.'!$D$12)+T42)</f>
        <v>59.554549343528848</v>
      </c>
      <c r="S43" s="28" t="str">
        <f>IF(COUNTBLANK(T43)=1,IF(R43&lt;='Config.'!$D$10,"meta","nops"),"")</f>
        <v>meta</v>
      </c>
      <c r="T43" s="32"/>
    </row>
    <row r="44" spans="1:20" ht="20.100000000000001" customHeight="1" x14ac:dyDescent="0.25">
      <c r="A44" s="22" t="s">
        <v>25</v>
      </c>
      <c r="B44" s="20">
        <v>41</v>
      </c>
      <c r="C44" s="60">
        <f>IF(COUNTBLANK(H43)=1,(C43*'Config.'!$D$12)+C43,(H43*'Config.'!$D$12)+H43)</f>
        <v>60.150094836964136</v>
      </c>
      <c r="D44" s="60">
        <f t="shared" si="2"/>
        <v>0.59554549343528862</v>
      </c>
      <c r="E44" s="59">
        <v>0.8</v>
      </c>
      <c r="F44" s="61">
        <f t="shared" si="0"/>
        <v>0.14888637335882215</v>
      </c>
      <c r="G44" s="12" t="str">
        <f>IF(COUNTBLANK(H44)=1,IF(C44&lt;='Config.'!$D$10,"meta","nops"),"")</f>
        <v>meta</v>
      </c>
      <c r="H44" s="62"/>
      <c r="I44" s="63" t="str">
        <f t="shared" si="3"/>
        <v/>
      </c>
      <c r="J44" s="63" t="str">
        <f t="shared" si="1"/>
        <v/>
      </c>
      <c r="K44" s="54" t="str">
        <f t="shared" si="4"/>
        <v/>
      </c>
      <c r="R44" s="27">
        <f>IF(COUNTBLANK(T43)=1,(R43*'Config.'!$D$12)+R43,(T43*'Config.'!$D$12)+T43)</f>
        <v>60.150094836964136</v>
      </c>
      <c r="S44" s="28" t="str">
        <f>IF(COUNTBLANK(T44)=1,IF(R44&lt;='Config.'!$D$10,"meta","nops"),"")</f>
        <v>meta</v>
      </c>
      <c r="T44" s="32"/>
    </row>
    <row r="45" spans="1:20" ht="20.100000000000001" customHeight="1" x14ac:dyDescent="0.25">
      <c r="A45" s="22" t="s">
        <v>25</v>
      </c>
      <c r="B45" s="20">
        <v>42</v>
      </c>
      <c r="C45" s="60">
        <f>IF(COUNTBLANK(H44)=1,(C44*'Config.'!$D$12)+C44,(H44*'Config.'!$D$12)+H44)</f>
        <v>60.751595785333777</v>
      </c>
      <c r="D45" s="60">
        <f t="shared" si="2"/>
        <v>0.6015009483696403</v>
      </c>
      <c r="E45" s="59">
        <v>0.8</v>
      </c>
      <c r="F45" s="61">
        <f t="shared" si="0"/>
        <v>0.15037523709241007</v>
      </c>
      <c r="G45" s="12" t="str">
        <f>IF(COUNTBLANK(H45)=1,IF(C45&lt;='Config.'!$D$10,"meta","nops"),"")</f>
        <v>meta</v>
      </c>
      <c r="H45" s="62"/>
      <c r="I45" s="63" t="str">
        <f t="shared" si="3"/>
        <v/>
      </c>
      <c r="J45" s="63" t="str">
        <f t="shared" si="1"/>
        <v/>
      </c>
      <c r="K45" s="54" t="str">
        <f t="shared" si="4"/>
        <v/>
      </c>
      <c r="R45" s="27">
        <f>IF(COUNTBLANK(T44)=1,(R44*'Config.'!$D$12)+R44,(T44*'Config.'!$D$12)+T44)</f>
        <v>60.751595785333777</v>
      </c>
      <c r="S45" s="28" t="str">
        <f>IF(COUNTBLANK(T45)=1,IF(R45&lt;='Config.'!$D$10,"meta","nops"),"")</f>
        <v>meta</v>
      </c>
      <c r="T45" s="32"/>
    </row>
    <row r="46" spans="1:20" ht="20.100000000000001" customHeight="1" x14ac:dyDescent="0.25">
      <c r="A46" s="22" t="s">
        <v>25</v>
      </c>
      <c r="B46" s="20">
        <v>43</v>
      </c>
      <c r="C46" s="60">
        <f>IF(COUNTBLANK(H45)=1,(C45*'Config.'!$D$12)+C45,(H45*'Config.'!$D$12)+H45)</f>
        <v>61.359111743187114</v>
      </c>
      <c r="D46" s="60">
        <f t="shared" si="2"/>
        <v>0.60751595785333734</v>
      </c>
      <c r="E46" s="59">
        <v>0.8</v>
      </c>
      <c r="F46" s="61">
        <f t="shared" si="0"/>
        <v>0.15187898946333434</v>
      </c>
      <c r="G46" s="12" t="str">
        <f>IF(COUNTBLANK(H46)=1,IF(C46&lt;='Config.'!$D$10,"meta","nops"),"")</f>
        <v>meta</v>
      </c>
      <c r="H46" s="62"/>
      <c r="I46" s="63" t="str">
        <f t="shared" si="3"/>
        <v/>
      </c>
      <c r="J46" s="63" t="str">
        <f t="shared" si="1"/>
        <v/>
      </c>
      <c r="K46" s="54" t="str">
        <f t="shared" si="4"/>
        <v/>
      </c>
      <c r="R46" s="27">
        <f>IF(COUNTBLANK(T45)=1,(R45*'Config.'!$D$12)+R45,(T45*'Config.'!$D$12)+T45)</f>
        <v>61.359111743187114</v>
      </c>
      <c r="S46" s="28" t="str">
        <f>IF(COUNTBLANK(T46)=1,IF(R46&lt;='Config.'!$D$10,"meta","nops"),"")</f>
        <v>meta</v>
      </c>
      <c r="T46" s="32"/>
    </row>
    <row r="47" spans="1:20" ht="20.100000000000001" customHeight="1" x14ac:dyDescent="0.25">
      <c r="A47" s="22" t="s">
        <v>25</v>
      </c>
      <c r="B47" s="20">
        <v>44</v>
      </c>
      <c r="C47" s="60">
        <f>IF(COUNTBLANK(H46)=1,(C46*'Config.'!$D$12)+C46,(H46*'Config.'!$D$12)+H46)</f>
        <v>61.972702860618988</v>
      </c>
      <c r="D47" s="60">
        <f t="shared" si="2"/>
        <v>0.61359111743187356</v>
      </c>
      <c r="E47" s="59">
        <v>0.8</v>
      </c>
      <c r="F47" s="61">
        <f t="shared" si="0"/>
        <v>0.15339777935796839</v>
      </c>
      <c r="G47" s="12" t="str">
        <f>IF(COUNTBLANK(H47)=1,IF(C47&lt;='Config.'!$D$10,"meta","nops"),"")</f>
        <v>meta</v>
      </c>
      <c r="H47" s="62"/>
      <c r="I47" s="63" t="str">
        <f t="shared" si="3"/>
        <v/>
      </c>
      <c r="J47" s="63" t="str">
        <f t="shared" si="1"/>
        <v/>
      </c>
      <c r="K47" s="54" t="str">
        <f t="shared" si="4"/>
        <v/>
      </c>
      <c r="R47" s="27">
        <f>IF(COUNTBLANK(T46)=1,(R46*'Config.'!$D$12)+R46,(T46*'Config.'!$D$12)+T46)</f>
        <v>61.972702860618988</v>
      </c>
      <c r="S47" s="28" t="str">
        <f>IF(COUNTBLANK(T47)=1,IF(R47&lt;='Config.'!$D$10,"meta","nops"),"")</f>
        <v>meta</v>
      </c>
      <c r="T47" s="32"/>
    </row>
    <row r="48" spans="1:20" ht="20.100000000000001" customHeight="1" x14ac:dyDescent="0.25">
      <c r="A48" s="22" t="s">
        <v>25</v>
      </c>
      <c r="B48" s="20">
        <v>45</v>
      </c>
      <c r="C48" s="60">
        <f>IF(COUNTBLANK(H47)=1,(C47*'Config.'!$D$12)+C47,(H47*'Config.'!$D$12)+H47)</f>
        <v>62.59242988922518</v>
      </c>
      <c r="D48" s="60">
        <f t="shared" si="2"/>
        <v>0.61972702860619222</v>
      </c>
      <c r="E48" s="59">
        <v>0.8</v>
      </c>
      <c r="F48" s="61">
        <f t="shared" si="0"/>
        <v>0.15493175715154806</v>
      </c>
      <c r="G48" s="12" t="str">
        <f>IF(COUNTBLANK(H48)=1,IF(C48&lt;='Config.'!$D$10,"meta","nops"),"")</f>
        <v>meta</v>
      </c>
      <c r="H48" s="62"/>
      <c r="I48" s="63" t="str">
        <f t="shared" si="3"/>
        <v/>
      </c>
      <c r="J48" s="63" t="str">
        <f t="shared" si="1"/>
        <v/>
      </c>
      <c r="K48" s="54" t="str">
        <f t="shared" si="4"/>
        <v/>
      </c>
      <c r="R48" s="27">
        <f>IF(COUNTBLANK(T47)=1,(R47*'Config.'!$D$12)+R47,(T47*'Config.'!$D$12)+T47)</f>
        <v>62.59242988922518</v>
      </c>
      <c r="S48" s="28" t="str">
        <f>IF(COUNTBLANK(T48)=1,IF(R48&lt;='Config.'!$D$10,"meta","nops"),"")</f>
        <v>meta</v>
      </c>
      <c r="T48" s="32"/>
    </row>
    <row r="49" spans="1:20" ht="20.100000000000001" customHeight="1" x14ac:dyDescent="0.25">
      <c r="A49" s="22" t="s">
        <v>25</v>
      </c>
      <c r="B49" s="20">
        <v>46</v>
      </c>
      <c r="C49" s="60">
        <f>IF(COUNTBLANK(H48)=1,(C48*'Config.'!$D$12)+C48,(H48*'Config.'!$D$12)+H48)</f>
        <v>63.218354188117431</v>
      </c>
      <c r="D49" s="60">
        <f t="shared" si="2"/>
        <v>0.62592429889225087</v>
      </c>
      <c r="E49" s="59">
        <v>0.8</v>
      </c>
      <c r="F49" s="61">
        <f t="shared" si="0"/>
        <v>0.15648107472306272</v>
      </c>
      <c r="G49" s="12" t="str">
        <f>IF(COUNTBLANK(H49)=1,IF(C49&lt;='Config.'!$D$10,"meta","nops"),"")</f>
        <v>meta</v>
      </c>
      <c r="H49" s="62"/>
      <c r="I49" s="63" t="str">
        <f t="shared" si="3"/>
        <v/>
      </c>
      <c r="J49" s="63" t="str">
        <f t="shared" si="1"/>
        <v/>
      </c>
      <c r="K49" s="54" t="str">
        <f t="shared" si="4"/>
        <v/>
      </c>
      <c r="R49" s="27">
        <f>IF(COUNTBLANK(T48)=1,(R48*'Config.'!$D$12)+R48,(T48*'Config.'!$D$12)+T48)</f>
        <v>63.218354188117431</v>
      </c>
      <c r="S49" s="28" t="str">
        <f>IF(COUNTBLANK(T49)=1,IF(R49&lt;='Config.'!$D$10,"meta","nops"),"")</f>
        <v>meta</v>
      </c>
      <c r="T49" s="32"/>
    </row>
    <row r="50" spans="1:20" ht="20.100000000000001" customHeight="1" x14ac:dyDescent="0.25">
      <c r="A50" s="22" t="s">
        <v>25</v>
      </c>
      <c r="B50" s="20">
        <v>47</v>
      </c>
      <c r="C50" s="60">
        <f>IF(COUNTBLANK(H49)=1,(C49*'Config.'!$D$12)+C49,(H49*'Config.'!$D$12)+H49)</f>
        <v>63.850537729998607</v>
      </c>
      <c r="D50" s="60">
        <f t="shared" si="2"/>
        <v>0.63218354188117587</v>
      </c>
      <c r="E50" s="59">
        <v>0.8</v>
      </c>
      <c r="F50" s="61">
        <f t="shared" si="0"/>
        <v>0.15804588547029397</v>
      </c>
      <c r="G50" s="12" t="str">
        <f>IF(COUNTBLANK(H50)=1,IF(C50&lt;='Config.'!$D$10,"meta","nops"),"")</f>
        <v>meta</v>
      </c>
      <c r="H50" s="62"/>
      <c r="I50" s="63" t="str">
        <f t="shared" si="3"/>
        <v/>
      </c>
      <c r="J50" s="63" t="str">
        <f t="shared" si="1"/>
        <v/>
      </c>
      <c r="K50" s="54" t="str">
        <f t="shared" si="4"/>
        <v/>
      </c>
      <c r="R50" s="27">
        <f>IF(COUNTBLANK(T49)=1,(R49*'Config.'!$D$12)+R49,(T49*'Config.'!$D$12)+T49)</f>
        <v>63.850537729998607</v>
      </c>
      <c r="S50" s="28" t="str">
        <f>IF(COUNTBLANK(T50)=1,IF(R50&lt;='Config.'!$D$10,"meta","nops"),"")</f>
        <v>meta</v>
      </c>
      <c r="T50" s="32"/>
    </row>
    <row r="51" spans="1:20" ht="20.100000000000001" customHeight="1" x14ac:dyDescent="0.25">
      <c r="A51" s="22" t="s">
        <v>25</v>
      </c>
      <c r="B51" s="20">
        <v>48</v>
      </c>
      <c r="C51" s="60">
        <f>IF(COUNTBLANK(H50)=1,(C50*'Config.'!$D$12)+C50,(H50*'Config.'!$D$12)+H50)</f>
        <v>64.489043107298599</v>
      </c>
      <c r="D51" s="60">
        <f t="shared" si="2"/>
        <v>0.63850537729999246</v>
      </c>
      <c r="E51" s="59">
        <v>0.8</v>
      </c>
      <c r="F51" s="61">
        <f t="shared" si="0"/>
        <v>0.15962634432499812</v>
      </c>
      <c r="G51" s="12" t="str">
        <f>IF(COUNTBLANK(H51)=1,IF(C51&lt;='Config.'!$D$10,"meta","nops"),"")</f>
        <v>meta</v>
      </c>
      <c r="H51" s="62"/>
      <c r="I51" s="63" t="str">
        <f t="shared" si="3"/>
        <v/>
      </c>
      <c r="J51" s="63" t="str">
        <f t="shared" si="1"/>
        <v/>
      </c>
      <c r="K51" s="54" t="str">
        <f t="shared" si="4"/>
        <v/>
      </c>
      <c r="R51" s="27">
        <f>IF(COUNTBLANK(T50)=1,(R50*'Config.'!$D$12)+R50,(T50*'Config.'!$D$12)+T50)</f>
        <v>64.489043107298599</v>
      </c>
      <c r="S51" s="28" t="str">
        <f>IF(COUNTBLANK(T51)=1,IF(R51&lt;='Config.'!$D$10,"meta","nops"),"")</f>
        <v>meta</v>
      </c>
      <c r="T51" s="32"/>
    </row>
    <row r="52" spans="1:20" ht="20.100000000000001" customHeight="1" x14ac:dyDescent="0.25">
      <c r="A52" s="22" t="s">
        <v>25</v>
      </c>
      <c r="B52" s="20">
        <v>49</v>
      </c>
      <c r="C52" s="60">
        <f>IF(COUNTBLANK(H51)=1,(C51*'Config.'!$D$12)+C51,(H51*'Config.'!$D$12)+H51)</f>
        <v>65.133933538371579</v>
      </c>
      <c r="D52" s="60">
        <f t="shared" si="2"/>
        <v>0.64489043107298016</v>
      </c>
      <c r="E52" s="59">
        <v>0.8</v>
      </c>
      <c r="F52" s="61">
        <f t="shared" si="0"/>
        <v>0.16122260776824504</v>
      </c>
      <c r="G52" s="12" t="str">
        <f>IF(COUNTBLANK(H52)=1,IF(C52&lt;='Config.'!$D$10,"meta","nops"),"")</f>
        <v>meta</v>
      </c>
      <c r="H52" s="62"/>
      <c r="I52" s="63" t="str">
        <f t="shared" si="3"/>
        <v/>
      </c>
      <c r="J52" s="63" t="str">
        <f t="shared" si="1"/>
        <v/>
      </c>
      <c r="K52" s="54" t="str">
        <f t="shared" si="4"/>
        <v/>
      </c>
      <c r="R52" s="27">
        <f>IF(COUNTBLANK(T51)=1,(R51*'Config.'!$D$12)+R51,(T51*'Config.'!$D$12)+T51)</f>
        <v>65.133933538371579</v>
      </c>
      <c r="S52" s="28" t="str">
        <f>IF(COUNTBLANK(T52)=1,IF(R52&lt;='Config.'!$D$10,"meta","nops"),"")</f>
        <v>meta</v>
      </c>
      <c r="T52" s="32"/>
    </row>
    <row r="53" spans="1:20" ht="20.100000000000001" customHeight="1" x14ac:dyDescent="0.25">
      <c r="A53" s="22" t="s">
        <v>25</v>
      </c>
      <c r="B53" s="20">
        <v>50</v>
      </c>
      <c r="C53" s="60">
        <f>IF(COUNTBLANK(H52)=1,(C52*'Config.'!$D$12)+C52,(H52*'Config.'!$D$12)+H52)</f>
        <v>65.785272873755289</v>
      </c>
      <c r="D53" s="60">
        <f t="shared" si="2"/>
        <v>0.65133933538371025</v>
      </c>
      <c r="E53" s="59">
        <v>0.8</v>
      </c>
      <c r="F53" s="61">
        <f t="shared" si="0"/>
        <v>0.16283483384592756</v>
      </c>
      <c r="G53" s="12" t="str">
        <f>IF(COUNTBLANK(H53)=1,IF(C53&lt;='Config.'!$D$10,"meta","nops"),"")</f>
        <v>meta</v>
      </c>
      <c r="H53" s="62"/>
      <c r="I53" s="63" t="str">
        <f t="shared" si="3"/>
        <v/>
      </c>
      <c r="J53" s="63" t="str">
        <f t="shared" si="1"/>
        <v/>
      </c>
      <c r="K53" s="54" t="str">
        <f t="shared" si="4"/>
        <v/>
      </c>
      <c r="R53" s="27">
        <f>IF(COUNTBLANK(T52)=1,(R52*'Config.'!$D$12)+R52,(T52*'Config.'!$D$12)+T52)</f>
        <v>65.785272873755289</v>
      </c>
      <c r="S53" s="28" t="str">
        <f>IF(COUNTBLANK(T53)=1,IF(R53&lt;='Config.'!$D$10,"meta","nops"),"")</f>
        <v>meta</v>
      </c>
      <c r="T53" s="32"/>
    </row>
    <row r="54" spans="1:20" ht="20.100000000000001" customHeight="1" x14ac:dyDescent="0.25">
      <c r="A54" s="22" t="s">
        <v>25</v>
      </c>
      <c r="B54" s="20">
        <v>51</v>
      </c>
      <c r="C54" s="60">
        <f>IF(COUNTBLANK(H53)=1,(C53*'Config.'!$D$12)+C53,(H53*'Config.'!$D$12)+H53)</f>
        <v>66.443125602492842</v>
      </c>
      <c r="D54" s="60">
        <f t="shared" si="2"/>
        <v>0.65785272873755218</v>
      </c>
      <c r="E54" s="59">
        <v>0.8</v>
      </c>
      <c r="F54" s="61">
        <f t="shared" si="0"/>
        <v>0.16446318218438805</v>
      </c>
      <c r="G54" s="12" t="str">
        <f>IF(COUNTBLANK(H54)=1,IF(C54&lt;='Config.'!$D$10,"meta","nops"),"")</f>
        <v>meta</v>
      </c>
      <c r="H54" s="62"/>
      <c r="I54" s="63" t="str">
        <f t="shared" si="3"/>
        <v/>
      </c>
      <c r="J54" s="63" t="str">
        <f t="shared" si="1"/>
        <v/>
      </c>
      <c r="K54" s="54" t="str">
        <f t="shared" si="4"/>
        <v/>
      </c>
      <c r="R54" s="27">
        <f>IF(COUNTBLANK(T53)=1,(R53*'Config.'!$D$12)+R53,(T53*'Config.'!$D$12)+T53)</f>
        <v>66.443125602492842</v>
      </c>
      <c r="S54" s="28" t="str">
        <f>IF(COUNTBLANK(T54)=1,IF(R54&lt;='Config.'!$D$10,"meta","nops"),"")</f>
        <v>meta</v>
      </c>
      <c r="T54" s="32"/>
    </row>
    <row r="55" spans="1:20" ht="20.100000000000001" customHeight="1" x14ac:dyDescent="0.25">
      <c r="A55" s="22" t="s">
        <v>25</v>
      </c>
      <c r="B55" s="20">
        <v>52</v>
      </c>
      <c r="C55" s="60">
        <f>IF(COUNTBLANK(H54)=1,(C54*'Config.'!$D$12)+C54,(H54*'Config.'!$D$12)+H54)</f>
        <v>67.107556858517768</v>
      </c>
      <c r="D55" s="60">
        <f t="shared" si="2"/>
        <v>0.66443125602492614</v>
      </c>
      <c r="E55" s="59">
        <v>0.8</v>
      </c>
      <c r="F55" s="61">
        <f t="shared" si="0"/>
        <v>0.16610781400623154</v>
      </c>
      <c r="G55" s="12" t="str">
        <f>IF(COUNTBLANK(H55)=1,IF(C55&lt;='Config.'!$D$10,"meta","nops"),"")</f>
        <v>meta</v>
      </c>
      <c r="H55" s="62"/>
      <c r="I55" s="63" t="str">
        <f t="shared" si="3"/>
        <v/>
      </c>
      <c r="J55" s="63" t="str">
        <f t="shared" si="1"/>
        <v/>
      </c>
      <c r="K55" s="54" t="str">
        <f t="shared" si="4"/>
        <v/>
      </c>
      <c r="R55" s="27">
        <f>IF(COUNTBLANK(T54)=1,(R54*'Config.'!$D$12)+R54,(T54*'Config.'!$D$12)+T54)</f>
        <v>67.107556858517768</v>
      </c>
      <c r="S55" s="28" t="str">
        <f>IF(COUNTBLANK(T55)=1,IF(R55&lt;='Config.'!$D$10,"meta","nops"),"")</f>
        <v>meta</v>
      </c>
      <c r="T55" s="32"/>
    </row>
    <row r="56" spans="1:20" ht="20.100000000000001" customHeight="1" x14ac:dyDescent="0.25">
      <c r="A56" s="22" t="s">
        <v>25</v>
      </c>
      <c r="B56" s="20">
        <v>53</v>
      </c>
      <c r="C56" s="60">
        <f>IF(COUNTBLANK(H55)=1,(C55*'Config.'!$D$12)+C55,(H55*'Config.'!$D$12)+H55)</f>
        <v>67.778632427102949</v>
      </c>
      <c r="D56" s="60">
        <f t="shared" si="2"/>
        <v>0.6710755685851808</v>
      </c>
      <c r="E56" s="59">
        <v>0.8</v>
      </c>
      <c r="F56" s="61">
        <f t="shared" si="0"/>
        <v>0.1677688921462952</v>
      </c>
      <c r="G56" s="12" t="str">
        <f>IF(COUNTBLANK(H56)=1,IF(C56&lt;='Config.'!$D$10,"meta","nops"),"")</f>
        <v>meta</v>
      </c>
      <c r="H56" s="62"/>
      <c r="I56" s="63" t="str">
        <f t="shared" si="3"/>
        <v/>
      </c>
      <c r="J56" s="63" t="str">
        <f t="shared" si="1"/>
        <v/>
      </c>
      <c r="K56" s="54" t="str">
        <f t="shared" si="4"/>
        <v/>
      </c>
      <c r="R56" s="27">
        <f>IF(COUNTBLANK(T55)=1,(R55*'Config.'!$D$12)+R55,(T55*'Config.'!$D$12)+T55)</f>
        <v>67.778632427102949</v>
      </c>
      <c r="S56" s="28" t="str">
        <f>IF(COUNTBLANK(T56)=1,IF(R56&lt;='Config.'!$D$10,"meta","nops"),"")</f>
        <v>meta</v>
      </c>
      <c r="T56" s="32"/>
    </row>
    <row r="57" spans="1:20" ht="20.100000000000001" customHeight="1" x14ac:dyDescent="0.25">
      <c r="A57" s="22" t="s">
        <v>25</v>
      </c>
      <c r="B57" s="20">
        <v>54</v>
      </c>
      <c r="C57" s="60">
        <f>IF(COUNTBLANK(H56)=1,(C56*'Config.'!$D$12)+C56,(H56*'Config.'!$D$12)+H56)</f>
        <v>68.456418751373974</v>
      </c>
      <c r="D57" s="60">
        <f t="shared" si="2"/>
        <v>0.67778632427102536</v>
      </c>
      <c r="E57" s="59">
        <v>0.8</v>
      </c>
      <c r="F57" s="61">
        <f t="shared" si="0"/>
        <v>0.16944658106775634</v>
      </c>
      <c r="G57" s="12" t="str">
        <f>IF(COUNTBLANK(H57)=1,IF(C57&lt;='Config.'!$D$10,"meta","nops"),"")</f>
        <v>meta</v>
      </c>
      <c r="H57" s="62"/>
      <c r="I57" s="63" t="str">
        <f t="shared" si="3"/>
        <v/>
      </c>
      <c r="J57" s="63" t="str">
        <f t="shared" si="1"/>
        <v/>
      </c>
      <c r="K57" s="54" t="str">
        <f t="shared" si="4"/>
        <v/>
      </c>
      <c r="R57" s="27">
        <f>IF(COUNTBLANK(T56)=1,(R56*'Config.'!$D$12)+R56,(T56*'Config.'!$D$12)+T56)</f>
        <v>68.456418751373974</v>
      </c>
      <c r="S57" s="28" t="str">
        <f>IF(COUNTBLANK(T57)=1,IF(R57&lt;='Config.'!$D$10,"meta","nops"),"")</f>
        <v>meta</v>
      </c>
      <c r="T57" s="32"/>
    </row>
    <row r="58" spans="1:20" ht="20.100000000000001" customHeight="1" x14ac:dyDescent="0.25">
      <c r="A58" s="22" t="s">
        <v>25</v>
      </c>
      <c r="B58" s="20">
        <v>55</v>
      </c>
      <c r="C58" s="60">
        <f>IF(COUNTBLANK(H57)=1,(C57*'Config.'!$D$12)+C57,(H57*'Config.'!$D$12)+H57)</f>
        <v>69.140982938887717</v>
      </c>
      <c r="D58" s="60">
        <f t="shared" si="2"/>
        <v>0.68456418751374315</v>
      </c>
      <c r="E58" s="59">
        <v>0.8</v>
      </c>
      <c r="F58" s="61">
        <f t="shared" si="0"/>
        <v>0.17114104687843579</v>
      </c>
      <c r="G58" s="12" t="str">
        <f>IF(COUNTBLANK(H58)=1,IF(C58&lt;='Config.'!$D$10,"meta","nops"),"")</f>
        <v>meta</v>
      </c>
      <c r="H58" s="62"/>
      <c r="I58" s="63" t="str">
        <f t="shared" si="3"/>
        <v/>
      </c>
      <c r="J58" s="63" t="str">
        <f t="shared" si="1"/>
        <v/>
      </c>
      <c r="K58" s="54" t="str">
        <f t="shared" si="4"/>
        <v/>
      </c>
      <c r="R58" s="27">
        <f>IF(COUNTBLANK(T57)=1,(R57*'Config.'!$D$12)+R57,(T57*'Config.'!$D$12)+T57)</f>
        <v>69.140982938887717</v>
      </c>
      <c r="S58" s="28" t="str">
        <f>IF(COUNTBLANK(T58)=1,IF(R58&lt;='Config.'!$D$10,"meta","nops"),"")</f>
        <v>meta</v>
      </c>
      <c r="T58" s="32"/>
    </row>
    <row r="59" spans="1:20" ht="20.100000000000001" customHeight="1" x14ac:dyDescent="0.25">
      <c r="A59" s="22" t="s">
        <v>25</v>
      </c>
      <c r="B59" s="20">
        <v>56</v>
      </c>
      <c r="C59" s="60">
        <f>IF(COUNTBLANK(H58)=1,(C58*'Config.'!$D$12)+C58,(H58*'Config.'!$D$12)+H58)</f>
        <v>69.832392768276591</v>
      </c>
      <c r="D59" s="60">
        <f t="shared" si="2"/>
        <v>0.69140982938887419</v>
      </c>
      <c r="E59" s="59">
        <v>0.8</v>
      </c>
      <c r="F59" s="61">
        <f t="shared" si="0"/>
        <v>0.17285245734721855</v>
      </c>
      <c r="G59" s="12" t="str">
        <f>IF(COUNTBLANK(H59)=1,IF(C59&lt;='Config.'!$D$10,"meta","nops"),"")</f>
        <v>meta</v>
      </c>
      <c r="H59" s="62"/>
      <c r="I59" s="63" t="str">
        <f t="shared" si="3"/>
        <v/>
      </c>
      <c r="J59" s="63" t="str">
        <f t="shared" si="1"/>
        <v/>
      </c>
      <c r="K59" s="54" t="str">
        <f t="shared" si="4"/>
        <v/>
      </c>
      <c r="R59" s="27">
        <f>IF(COUNTBLANK(T58)=1,(R58*'Config.'!$D$12)+R58,(T58*'Config.'!$D$12)+T58)</f>
        <v>69.832392768276591</v>
      </c>
      <c r="S59" s="28" t="str">
        <f>IF(COUNTBLANK(T59)=1,IF(R59&lt;='Config.'!$D$10,"meta","nops"),"")</f>
        <v>meta</v>
      </c>
      <c r="T59" s="32"/>
    </row>
    <row r="60" spans="1:20" ht="20.100000000000001" customHeight="1" x14ac:dyDescent="0.25">
      <c r="A60" s="22" t="s">
        <v>25</v>
      </c>
      <c r="B60" s="20">
        <v>57</v>
      </c>
      <c r="C60" s="60">
        <f>IF(COUNTBLANK(H59)=1,(C59*'Config.'!$D$12)+C59,(H59*'Config.'!$D$12)+H59)</f>
        <v>70.530716695959356</v>
      </c>
      <c r="D60" s="60">
        <f t="shared" si="2"/>
        <v>0.69832392768276463</v>
      </c>
      <c r="E60" s="59">
        <v>0.8</v>
      </c>
      <c r="F60" s="61">
        <f t="shared" si="0"/>
        <v>0.17458098192069116</v>
      </c>
      <c r="G60" s="12" t="str">
        <f>IF(COUNTBLANK(H60)=1,IF(C60&lt;='Config.'!$D$10,"meta","nops"),"")</f>
        <v>meta</v>
      </c>
      <c r="H60" s="62"/>
      <c r="I60" s="63" t="str">
        <f t="shared" si="3"/>
        <v/>
      </c>
      <c r="J60" s="63" t="str">
        <f t="shared" si="1"/>
        <v/>
      </c>
      <c r="K60" s="54" t="str">
        <f t="shared" si="4"/>
        <v/>
      </c>
      <c r="R60" s="27">
        <f>IF(COUNTBLANK(T59)=1,(R59*'Config.'!$D$12)+R59,(T59*'Config.'!$D$12)+T59)</f>
        <v>70.530716695959356</v>
      </c>
      <c r="S60" s="28" t="str">
        <f>IF(COUNTBLANK(T60)=1,IF(R60&lt;='Config.'!$D$10,"meta","nops"),"")</f>
        <v>meta</v>
      </c>
      <c r="T60" s="32"/>
    </row>
    <row r="61" spans="1:20" ht="20.100000000000001" customHeight="1" x14ac:dyDescent="0.25">
      <c r="A61" s="22" t="s">
        <v>25</v>
      </c>
      <c r="B61" s="20">
        <v>58</v>
      </c>
      <c r="C61" s="60">
        <f>IF(COUNTBLANK(H60)=1,(C60*'Config.'!$D$12)+C60,(H60*'Config.'!$D$12)+H60)</f>
        <v>71.236023862918955</v>
      </c>
      <c r="D61" s="60">
        <f t="shared" si="2"/>
        <v>0.70530716695959939</v>
      </c>
      <c r="E61" s="59">
        <v>0.8</v>
      </c>
      <c r="F61" s="61">
        <f t="shared" si="0"/>
        <v>0.17632679173989985</v>
      </c>
      <c r="G61" s="12" t="str">
        <f>IF(COUNTBLANK(H61)=1,IF(C61&lt;='Config.'!$D$10,"meta","nops"),"")</f>
        <v>meta</v>
      </c>
      <c r="H61" s="62"/>
      <c r="I61" s="63" t="str">
        <f t="shared" si="3"/>
        <v/>
      </c>
      <c r="J61" s="63" t="str">
        <f t="shared" si="1"/>
        <v/>
      </c>
      <c r="K61" s="54" t="str">
        <f t="shared" si="4"/>
        <v/>
      </c>
      <c r="R61" s="27">
        <f>IF(COUNTBLANK(T60)=1,(R60*'Config.'!$D$12)+R60,(T60*'Config.'!$D$12)+T60)</f>
        <v>71.236023862918955</v>
      </c>
      <c r="S61" s="28" t="str">
        <f>IF(COUNTBLANK(T61)=1,IF(R61&lt;='Config.'!$D$10,"meta","nops"),"")</f>
        <v>meta</v>
      </c>
      <c r="T61" s="32"/>
    </row>
    <row r="62" spans="1:20" ht="20.100000000000001" customHeight="1" x14ac:dyDescent="0.25">
      <c r="A62" s="22" t="s">
        <v>25</v>
      </c>
      <c r="B62" s="20">
        <v>59</v>
      </c>
      <c r="C62" s="60">
        <f>IF(COUNTBLANK(H61)=1,(C61*'Config.'!$D$12)+C61,(H61*'Config.'!$D$12)+H61)</f>
        <v>71.948384101548143</v>
      </c>
      <c r="D62" s="60">
        <f t="shared" si="2"/>
        <v>0.71236023862918785</v>
      </c>
      <c r="E62" s="59">
        <v>0.8</v>
      </c>
      <c r="F62" s="61">
        <f t="shared" si="0"/>
        <v>0.17809005965729696</v>
      </c>
      <c r="G62" s="12" t="str">
        <f>IF(COUNTBLANK(H62)=1,IF(C62&lt;='Config.'!$D$10,"meta","nops"),"")</f>
        <v>meta</v>
      </c>
      <c r="H62" s="62"/>
      <c r="I62" s="63" t="str">
        <f t="shared" si="3"/>
        <v/>
      </c>
      <c r="J62" s="63" t="str">
        <f t="shared" si="1"/>
        <v/>
      </c>
      <c r="K62" s="54" t="str">
        <f t="shared" si="4"/>
        <v/>
      </c>
      <c r="R62" s="27">
        <f>IF(COUNTBLANK(T61)=1,(R61*'Config.'!$D$12)+R61,(T61*'Config.'!$D$12)+T61)</f>
        <v>71.948384101548143</v>
      </c>
      <c r="S62" s="28" t="str">
        <f>IF(COUNTBLANK(T62)=1,IF(R62&lt;='Config.'!$D$10,"meta","nops"),"")</f>
        <v>meta</v>
      </c>
      <c r="T62" s="32"/>
    </row>
    <row r="63" spans="1:20" ht="20.100000000000001" customHeight="1" x14ac:dyDescent="0.25">
      <c r="A63" s="22" t="s">
        <v>25</v>
      </c>
      <c r="B63" s="20">
        <v>60</v>
      </c>
      <c r="C63" s="60">
        <f>IF(COUNTBLANK(H62)=1,(C62*'Config.'!$D$12)+C62,(H62*'Config.'!$D$12)+H62)</f>
        <v>72.667867942563618</v>
      </c>
      <c r="D63" s="60">
        <f t="shared" si="2"/>
        <v>0.71948384101547447</v>
      </c>
      <c r="E63" s="59">
        <v>0.8</v>
      </c>
      <c r="F63" s="61">
        <f t="shared" si="0"/>
        <v>0.17987096025386862</v>
      </c>
      <c r="G63" s="12" t="str">
        <f>IF(COUNTBLANK(H63)=1,IF(C63&lt;='Config.'!$D$10,"meta","nops"),"")</f>
        <v>meta</v>
      </c>
      <c r="H63" s="62"/>
      <c r="I63" s="63" t="str">
        <f t="shared" si="3"/>
        <v/>
      </c>
      <c r="J63" s="63" t="str">
        <f t="shared" si="1"/>
        <v/>
      </c>
      <c r="K63" s="54" t="str">
        <f t="shared" si="4"/>
        <v/>
      </c>
      <c r="R63" s="27">
        <f>IF(COUNTBLANK(T62)=1,(R62*'Config.'!$D$12)+R62,(T62*'Config.'!$D$12)+T62)</f>
        <v>72.667867942563618</v>
      </c>
      <c r="S63" s="28" t="str">
        <f>IF(COUNTBLANK(T63)=1,IF(R63&lt;='Config.'!$D$10,"meta","nops"),"")</f>
        <v>meta</v>
      </c>
      <c r="T63" s="32"/>
    </row>
    <row r="64" spans="1:20" ht="20.100000000000001" customHeight="1" x14ac:dyDescent="0.25">
      <c r="A64" s="22" t="s">
        <v>25</v>
      </c>
      <c r="B64" s="20">
        <v>61</v>
      </c>
      <c r="C64" s="60">
        <f>IF(COUNTBLANK(H63)=1,(C63*'Config.'!$D$12)+C63,(H63*'Config.'!$D$12)+H63)</f>
        <v>73.39454662198925</v>
      </c>
      <c r="D64" s="60">
        <f t="shared" si="2"/>
        <v>0.72667867942563191</v>
      </c>
      <c r="E64" s="59">
        <v>0.8</v>
      </c>
      <c r="F64" s="61">
        <f t="shared" si="0"/>
        <v>0.18166966985640798</v>
      </c>
      <c r="G64" s="12" t="str">
        <f>IF(COUNTBLANK(H64)=1,IF(C64&lt;='Config.'!$D$10,"meta","nops"),"")</f>
        <v>meta</v>
      </c>
      <c r="H64" s="62"/>
      <c r="I64" s="63" t="str">
        <f t="shared" si="3"/>
        <v/>
      </c>
      <c r="J64" s="63" t="str">
        <f t="shared" si="1"/>
        <v/>
      </c>
      <c r="K64" s="54" t="str">
        <f t="shared" si="4"/>
        <v/>
      </c>
      <c r="R64" s="27">
        <f>IF(COUNTBLANK(T63)=1,(R63*'Config.'!$D$12)+R63,(T63*'Config.'!$D$12)+T63)</f>
        <v>73.39454662198925</v>
      </c>
      <c r="S64" s="28" t="str">
        <f>IF(COUNTBLANK(T64)=1,IF(R64&lt;='Config.'!$D$10,"meta","nops"),"")</f>
        <v>meta</v>
      </c>
      <c r="T64" s="32"/>
    </row>
    <row r="65" spans="1:20" ht="20.100000000000001" customHeight="1" x14ac:dyDescent="0.25">
      <c r="A65" s="22" t="s">
        <v>25</v>
      </c>
      <c r="B65" s="20">
        <v>62</v>
      </c>
      <c r="C65" s="60">
        <f>IF(COUNTBLANK(H64)=1,(C64*'Config.'!$D$12)+C64,(H64*'Config.'!$D$12)+H64)</f>
        <v>74.128492088209143</v>
      </c>
      <c r="D65" s="60">
        <f t="shared" si="2"/>
        <v>0.73394546621989321</v>
      </c>
      <c r="E65" s="59">
        <v>0.8</v>
      </c>
      <c r="F65" s="61">
        <f t="shared" si="0"/>
        <v>0.1834863665549733</v>
      </c>
      <c r="G65" s="12" t="str">
        <f>IF(COUNTBLANK(H65)=1,IF(C65&lt;='Config.'!$D$10,"meta","nops"),"")</f>
        <v>meta</v>
      </c>
      <c r="H65" s="62"/>
      <c r="I65" s="63" t="str">
        <f t="shared" si="3"/>
        <v/>
      </c>
      <c r="J65" s="63" t="str">
        <f t="shared" si="1"/>
        <v/>
      </c>
      <c r="K65" s="54" t="str">
        <f t="shared" si="4"/>
        <v/>
      </c>
      <c r="R65" s="27">
        <f>IF(COUNTBLANK(T64)=1,(R64*'Config.'!$D$12)+R64,(T64*'Config.'!$D$12)+T64)</f>
        <v>74.128492088209143</v>
      </c>
      <c r="S65" s="28" t="str">
        <f>IF(COUNTBLANK(T65)=1,IF(R65&lt;='Config.'!$D$10,"meta","nops"),"")</f>
        <v>meta</v>
      </c>
      <c r="T65" s="32"/>
    </row>
    <row r="66" spans="1:20" ht="20.100000000000001" customHeight="1" x14ac:dyDescent="0.25">
      <c r="A66" s="22" t="s">
        <v>25</v>
      </c>
      <c r="B66" s="20">
        <v>63</v>
      </c>
      <c r="C66" s="60">
        <f>IF(COUNTBLANK(H65)=1,(C65*'Config.'!$D$12)+C65,(H65*'Config.'!$D$12)+H65)</f>
        <v>74.869777009091237</v>
      </c>
      <c r="D66" s="60">
        <f t="shared" si="2"/>
        <v>0.74128492088209441</v>
      </c>
      <c r="E66" s="59">
        <v>0.8</v>
      </c>
      <c r="F66" s="61">
        <f t="shared" si="0"/>
        <v>0.1853212302205236</v>
      </c>
      <c r="G66" s="12" t="str">
        <f>IF(COUNTBLANK(H66)=1,IF(C66&lt;='Config.'!$D$10,"meta","nops"),"")</f>
        <v>meta</v>
      </c>
      <c r="H66" s="62"/>
      <c r="I66" s="63" t="str">
        <f t="shared" si="3"/>
        <v/>
      </c>
      <c r="J66" s="63" t="str">
        <f t="shared" si="1"/>
        <v/>
      </c>
      <c r="K66" s="54" t="str">
        <f t="shared" si="4"/>
        <v/>
      </c>
      <c r="R66" s="27">
        <f>IF(COUNTBLANK(T65)=1,(R65*'Config.'!$D$12)+R65,(T65*'Config.'!$D$12)+T65)</f>
        <v>74.869777009091237</v>
      </c>
      <c r="S66" s="28" t="str">
        <f>IF(COUNTBLANK(T66)=1,IF(R66&lt;='Config.'!$D$10,"meta","nops"),"")</f>
        <v>meta</v>
      </c>
      <c r="T66" s="32"/>
    </row>
    <row r="67" spans="1:20" ht="20.100000000000001" customHeight="1" x14ac:dyDescent="0.25">
      <c r="A67" s="22" t="s">
        <v>25</v>
      </c>
      <c r="B67" s="20">
        <v>64</v>
      </c>
      <c r="C67" s="60">
        <f>IF(COUNTBLANK(H66)=1,(C66*'Config.'!$D$12)+C66,(H66*'Config.'!$D$12)+H66)</f>
        <v>75.618474779182151</v>
      </c>
      <c r="D67" s="60">
        <f t="shared" si="2"/>
        <v>0.74869777009091365</v>
      </c>
      <c r="E67" s="59">
        <v>0.8</v>
      </c>
      <c r="F67" s="61">
        <f t="shared" si="0"/>
        <v>0.18717444252272841</v>
      </c>
      <c r="G67" s="12" t="str">
        <f>IF(COUNTBLANK(H67)=1,IF(C67&lt;='Config.'!$D$10,"meta","nops"),"")</f>
        <v>meta</v>
      </c>
      <c r="H67" s="62"/>
      <c r="I67" s="63" t="str">
        <f t="shared" si="3"/>
        <v/>
      </c>
      <c r="J67" s="63" t="str">
        <f t="shared" si="1"/>
        <v/>
      </c>
      <c r="K67" s="54" t="str">
        <f t="shared" si="4"/>
        <v/>
      </c>
      <c r="R67" s="27">
        <f>IF(COUNTBLANK(T66)=1,(R66*'Config.'!$D$12)+R66,(T66*'Config.'!$D$12)+T66)</f>
        <v>75.618474779182151</v>
      </c>
      <c r="S67" s="28" t="str">
        <f>IF(COUNTBLANK(T67)=1,IF(R67&lt;='Config.'!$D$10,"meta","nops"),"")</f>
        <v>meta</v>
      </c>
      <c r="T67" s="32"/>
    </row>
    <row r="68" spans="1:20" ht="20.100000000000001" customHeight="1" x14ac:dyDescent="0.25">
      <c r="A68" s="22" t="s">
        <v>25</v>
      </c>
      <c r="B68" s="20">
        <v>65</v>
      </c>
      <c r="C68" s="60">
        <f>IF(COUNTBLANK(H67)=1,(C67*'Config.'!$D$12)+C67,(H67*'Config.'!$D$12)+H67)</f>
        <v>76.374659526973971</v>
      </c>
      <c r="D68" s="60">
        <f t="shared" si="2"/>
        <v>0.75618474779182066</v>
      </c>
      <c r="E68" s="59">
        <v>0.8</v>
      </c>
      <c r="F68" s="61">
        <f t="shared" ref="F68:F131" si="5">IF(COUNTBLANK(E68)=0,(D68/E68)/$E$3,"-")</f>
        <v>0.18904618694795516</v>
      </c>
      <c r="G68" s="12" t="str">
        <f>IF(COUNTBLANK(H68)=1,IF(C68&lt;='Config.'!$D$10,"meta","nops"),"")</f>
        <v>meta</v>
      </c>
      <c r="H68" s="62"/>
      <c r="I68" s="63" t="str">
        <f t="shared" si="3"/>
        <v/>
      </c>
      <c r="J68" s="63" t="str">
        <f t="shared" ref="J68:J131" si="6">IF(I68="","",I68-D68)</f>
        <v/>
      </c>
      <c r="K68" s="54" t="str">
        <f t="shared" si="4"/>
        <v/>
      </c>
      <c r="R68" s="27">
        <f>IF(COUNTBLANK(T67)=1,(R67*'Config.'!$D$12)+R67,(T67*'Config.'!$D$12)+T67)</f>
        <v>76.374659526973971</v>
      </c>
      <c r="S68" s="28" t="str">
        <f>IF(COUNTBLANK(T68)=1,IF(R68&lt;='Config.'!$D$10,"meta","nops"),"")</f>
        <v>meta</v>
      </c>
      <c r="T68" s="32"/>
    </row>
    <row r="69" spans="1:20" ht="20.100000000000001" customHeight="1" x14ac:dyDescent="0.25">
      <c r="A69" s="22" t="s">
        <v>25</v>
      </c>
      <c r="B69" s="20">
        <v>66</v>
      </c>
      <c r="C69" s="60">
        <f>IF(COUNTBLANK(H68)=1,(C68*'Config.'!$D$12)+C68,(H68*'Config.'!$D$12)+H68)</f>
        <v>77.138406122243708</v>
      </c>
      <c r="D69" s="60">
        <f t="shared" ref="D69:D132" si="7">IF(COUNTBLANK(H68)=1,C69-C68,C69-H68)</f>
        <v>0.76374659526973687</v>
      </c>
      <c r="E69" s="59">
        <v>0.8</v>
      </c>
      <c r="F69" s="61">
        <f t="shared" si="5"/>
        <v>0.19093664881743422</v>
      </c>
      <c r="G69" s="12" t="str">
        <f>IF(COUNTBLANK(H69)=1,IF(C69&lt;='Config.'!$D$10,"meta","nops"),"")</f>
        <v>meta</v>
      </c>
      <c r="H69" s="62"/>
      <c r="I69" s="63" t="str">
        <f t="shared" ref="I69:I132" si="8">IF(COUNTBLANK(H69)=1,"",H69-H68)</f>
        <v/>
      </c>
      <c r="J69" s="63" t="str">
        <f t="shared" si="6"/>
        <v/>
      </c>
      <c r="K69" s="54" t="str">
        <f t="shared" ref="K69:K132" si="9">IF(COUNTBLANK(H69)=1,"",(H69-H68)/H68)</f>
        <v/>
      </c>
      <c r="R69" s="27">
        <f>IF(COUNTBLANK(T68)=1,(R68*'Config.'!$D$12)+R68,(T68*'Config.'!$D$12)+T68)</f>
        <v>77.138406122243708</v>
      </c>
      <c r="S69" s="28" t="str">
        <f>IF(COUNTBLANK(T69)=1,IF(R69&lt;='Config.'!$D$10,"meta","nops"),"")</f>
        <v>meta</v>
      </c>
      <c r="T69" s="32"/>
    </row>
    <row r="70" spans="1:20" ht="20.100000000000001" customHeight="1" x14ac:dyDescent="0.25">
      <c r="A70" s="22" t="s">
        <v>25</v>
      </c>
      <c r="B70" s="20">
        <v>67</v>
      </c>
      <c r="C70" s="60">
        <f>IF(COUNTBLANK(H69)=1,(C69*'Config.'!$D$12)+C69,(H69*'Config.'!$D$12)+H69)</f>
        <v>77.909790183466143</v>
      </c>
      <c r="D70" s="60">
        <f t="shared" si="7"/>
        <v>0.77138406122243453</v>
      </c>
      <c r="E70" s="59">
        <v>0.8</v>
      </c>
      <c r="F70" s="61">
        <f t="shared" si="5"/>
        <v>0.19284601530560863</v>
      </c>
      <c r="G70" s="12" t="str">
        <f>IF(COUNTBLANK(H70)=1,IF(C70&lt;='Config.'!$D$10,"meta","nops"),"")</f>
        <v>meta</v>
      </c>
      <c r="H70" s="62"/>
      <c r="I70" s="63" t="str">
        <f t="shared" si="8"/>
        <v/>
      </c>
      <c r="J70" s="63" t="str">
        <f t="shared" si="6"/>
        <v/>
      </c>
      <c r="K70" s="54" t="str">
        <f t="shared" si="9"/>
        <v/>
      </c>
      <c r="R70" s="27">
        <f>IF(COUNTBLANK(T69)=1,(R69*'Config.'!$D$12)+R69,(T69*'Config.'!$D$12)+T69)</f>
        <v>77.909790183466143</v>
      </c>
      <c r="S70" s="28" t="str">
        <f>IF(COUNTBLANK(T70)=1,IF(R70&lt;='Config.'!$D$10,"meta","nops"),"")</f>
        <v>meta</v>
      </c>
      <c r="T70" s="32"/>
    </row>
    <row r="71" spans="1:20" ht="20.100000000000001" customHeight="1" x14ac:dyDescent="0.25">
      <c r="A71" s="22" t="s">
        <v>25</v>
      </c>
      <c r="B71" s="20">
        <v>68</v>
      </c>
      <c r="C71" s="60">
        <f>IF(COUNTBLANK(H70)=1,(C70*'Config.'!$D$12)+C70,(H70*'Config.'!$D$12)+H70)</f>
        <v>78.688888085300803</v>
      </c>
      <c r="D71" s="60">
        <f t="shared" si="7"/>
        <v>0.77909790183466043</v>
      </c>
      <c r="E71" s="59">
        <v>0.8</v>
      </c>
      <c r="F71" s="61">
        <f t="shared" si="5"/>
        <v>0.19477447545866511</v>
      </c>
      <c r="G71" s="12" t="str">
        <f>IF(COUNTBLANK(H71)=1,IF(C71&lt;='Config.'!$D$10,"meta","nops"),"")</f>
        <v>meta</v>
      </c>
      <c r="H71" s="62"/>
      <c r="I71" s="63" t="str">
        <f t="shared" si="8"/>
        <v/>
      </c>
      <c r="J71" s="63" t="str">
        <f t="shared" si="6"/>
        <v/>
      </c>
      <c r="K71" s="54" t="str">
        <f t="shared" si="9"/>
        <v/>
      </c>
      <c r="R71" s="27">
        <f>IF(COUNTBLANK(T70)=1,(R70*'Config.'!$D$12)+R70,(T70*'Config.'!$D$12)+T70)</f>
        <v>78.688888085300803</v>
      </c>
      <c r="S71" s="28" t="str">
        <f>IF(COUNTBLANK(T71)=1,IF(R71&lt;='Config.'!$D$10,"meta","nops"),"")</f>
        <v>meta</v>
      </c>
      <c r="T71" s="32"/>
    </row>
    <row r="72" spans="1:20" ht="20.100000000000001" customHeight="1" x14ac:dyDescent="0.25">
      <c r="A72" s="22" t="s">
        <v>25</v>
      </c>
      <c r="B72" s="20">
        <v>69</v>
      </c>
      <c r="C72" s="60">
        <f>IF(COUNTBLANK(H71)=1,(C71*'Config.'!$D$12)+C71,(H71*'Config.'!$D$12)+H71)</f>
        <v>79.475776966153816</v>
      </c>
      <c r="D72" s="60">
        <f t="shared" si="7"/>
        <v>0.78688888085301301</v>
      </c>
      <c r="E72" s="59">
        <v>0.8</v>
      </c>
      <c r="F72" s="61">
        <f t="shared" si="5"/>
        <v>0.19672222021325325</v>
      </c>
      <c r="G72" s="12" t="str">
        <f>IF(COUNTBLANK(H72)=1,IF(C72&lt;='Config.'!$D$10,"meta","nops"),"")</f>
        <v>meta</v>
      </c>
      <c r="H72" s="62"/>
      <c r="I72" s="63" t="str">
        <f t="shared" si="8"/>
        <v/>
      </c>
      <c r="J72" s="63" t="str">
        <f t="shared" si="6"/>
        <v/>
      </c>
      <c r="K72" s="54" t="str">
        <f t="shared" si="9"/>
        <v/>
      </c>
      <c r="R72" s="27">
        <f>IF(COUNTBLANK(T71)=1,(R71*'Config.'!$D$12)+R71,(T71*'Config.'!$D$12)+T71)</f>
        <v>79.475776966153816</v>
      </c>
      <c r="S72" s="28" t="str">
        <f>IF(COUNTBLANK(T72)=1,IF(R72&lt;='Config.'!$D$10,"meta","nops"),"")</f>
        <v>meta</v>
      </c>
      <c r="T72" s="32"/>
    </row>
    <row r="73" spans="1:20" ht="20.100000000000001" customHeight="1" x14ac:dyDescent="0.25">
      <c r="A73" s="22" t="s">
        <v>25</v>
      </c>
      <c r="B73" s="20">
        <v>70</v>
      </c>
      <c r="C73" s="60">
        <f>IF(COUNTBLANK(H72)=1,(C72*'Config.'!$D$12)+C72,(H72*'Config.'!$D$12)+H72)</f>
        <v>80.27053473581536</v>
      </c>
      <c r="D73" s="60">
        <f t="shared" si="7"/>
        <v>0.79475776966154399</v>
      </c>
      <c r="E73" s="59">
        <v>0.8</v>
      </c>
      <c r="F73" s="61">
        <f t="shared" si="5"/>
        <v>0.198689442415386</v>
      </c>
      <c r="G73" s="12" t="str">
        <f>IF(COUNTBLANK(H73)=1,IF(C73&lt;='Config.'!$D$10,"meta","nops"),"")</f>
        <v>meta</v>
      </c>
      <c r="H73" s="62"/>
      <c r="I73" s="63" t="str">
        <f t="shared" si="8"/>
        <v/>
      </c>
      <c r="J73" s="63" t="str">
        <f t="shared" si="6"/>
        <v/>
      </c>
      <c r="K73" s="54" t="str">
        <f t="shared" si="9"/>
        <v/>
      </c>
      <c r="R73" s="27">
        <f>IF(COUNTBLANK(T72)=1,(R72*'Config.'!$D$12)+R72,(T72*'Config.'!$D$12)+T72)</f>
        <v>80.27053473581536</v>
      </c>
      <c r="S73" s="28" t="str">
        <f>IF(COUNTBLANK(T73)=1,IF(R73&lt;='Config.'!$D$10,"meta","nops"),"")</f>
        <v>meta</v>
      </c>
      <c r="T73" s="32"/>
    </row>
    <row r="74" spans="1:20" ht="20.100000000000001" customHeight="1" x14ac:dyDescent="0.25">
      <c r="A74" s="22" t="s">
        <v>25</v>
      </c>
      <c r="B74" s="20">
        <v>71</v>
      </c>
      <c r="C74" s="60">
        <f>IF(COUNTBLANK(H73)=1,(C73*'Config.'!$D$12)+C73,(H73*'Config.'!$D$12)+H73)</f>
        <v>81.073240083173516</v>
      </c>
      <c r="D74" s="60">
        <f t="shared" si="7"/>
        <v>0.80270534735815602</v>
      </c>
      <c r="E74" s="59">
        <v>0.8</v>
      </c>
      <c r="F74" s="61">
        <f t="shared" si="5"/>
        <v>0.200676336839539</v>
      </c>
      <c r="G74" s="12" t="str">
        <f>IF(COUNTBLANK(H74)=1,IF(C74&lt;='Config.'!$D$10,"meta","nops"),"")</f>
        <v>meta</v>
      </c>
      <c r="H74" s="62"/>
      <c r="I74" s="63" t="str">
        <f t="shared" si="8"/>
        <v/>
      </c>
      <c r="J74" s="63" t="str">
        <f t="shared" si="6"/>
        <v/>
      </c>
      <c r="K74" s="54" t="str">
        <f t="shared" si="9"/>
        <v/>
      </c>
      <c r="R74" s="27">
        <f>IF(COUNTBLANK(T73)=1,(R73*'Config.'!$D$12)+R73,(T73*'Config.'!$D$12)+T73)</f>
        <v>81.073240083173516</v>
      </c>
      <c r="S74" s="28" t="str">
        <f>IF(COUNTBLANK(T74)=1,IF(R74&lt;='Config.'!$D$10,"meta","nops"),"")</f>
        <v>meta</v>
      </c>
      <c r="T74" s="32"/>
    </row>
    <row r="75" spans="1:20" ht="20.100000000000001" customHeight="1" x14ac:dyDescent="0.25">
      <c r="A75" s="22" t="s">
        <v>25</v>
      </c>
      <c r="B75" s="20">
        <v>72</v>
      </c>
      <c r="C75" s="60">
        <f>IF(COUNTBLANK(H74)=1,(C74*'Config.'!$D$12)+C74,(H74*'Config.'!$D$12)+H74)</f>
        <v>81.883972484005255</v>
      </c>
      <c r="D75" s="60">
        <f t="shared" si="7"/>
        <v>0.81073240083173914</v>
      </c>
      <c r="E75" s="59">
        <v>0.8</v>
      </c>
      <c r="F75" s="61">
        <f t="shared" si="5"/>
        <v>0.20268310020793479</v>
      </c>
      <c r="G75" s="12" t="str">
        <f>IF(COUNTBLANK(H75)=1,IF(C75&lt;='Config.'!$D$10,"meta","nops"),"")</f>
        <v>meta</v>
      </c>
      <c r="H75" s="62"/>
      <c r="I75" s="63" t="str">
        <f t="shared" si="8"/>
        <v/>
      </c>
      <c r="J75" s="63" t="str">
        <f t="shared" si="6"/>
        <v/>
      </c>
      <c r="K75" s="54" t="str">
        <f t="shared" si="9"/>
        <v/>
      </c>
      <c r="R75" s="27">
        <f>IF(COUNTBLANK(T74)=1,(R74*'Config.'!$D$12)+R74,(T74*'Config.'!$D$12)+T74)</f>
        <v>81.883972484005255</v>
      </c>
      <c r="S75" s="28" t="str">
        <f>IF(COUNTBLANK(T75)=1,IF(R75&lt;='Config.'!$D$10,"meta","nops"),"")</f>
        <v>meta</v>
      </c>
      <c r="T75" s="32"/>
    </row>
    <row r="76" spans="1:20" ht="20.100000000000001" customHeight="1" x14ac:dyDescent="0.25">
      <c r="A76" s="22" t="s">
        <v>25</v>
      </c>
      <c r="B76" s="20">
        <v>73</v>
      </c>
      <c r="C76" s="60">
        <f>IF(COUNTBLANK(H75)=1,(C75*'Config.'!$D$12)+C75,(H75*'Config.'!$D$12)+H75)</f>
        <v>82.702812208845302</v>
      </c>
      <c r="D76" s="60">
        <f t="shared" si="7"/>
        <v>0.8188397248400463</v>
      </c>
      <c r="E76" s="59">
        <v>0.8</v>
      </c>
      <c r="F76" s="61">
        <f t="shared" si="5"/>
        <v>0.20470993121001158</v>
      </c>
      <c r="G76" s="12" t="str">
        <f>IF(COUNTBLANK(H76)=1,IF(C76&lt;='Config.'!$D$10,"meta","nops"),"")</f>
        <v>meta</v>
      </c>
      <c r="H76" s="62"/>
      <c r="I76" s="63" t="str">
        <f t="shared" si="8"/>
        <v/>
      </c>
      <c r="J76" s="63" t="str">
        <f t="shared" si="6"/>
        <v/>
      </c>
      <c r="K76" s="54" t="str">
        <f t="shared" si="9"/>
        <v/>
      </c>
      <c r="R76" s="27">
        <f>IF(COUNTBLANK(T75)=1,(R75*'Config.'!$D$12)+R75,(T75*'Config.'!$D$12)+T75)</f>
        <v>82.702812208845302</v>
      </c>
      <c r="S76" s="28" t="str">
        <f>IF(COUNTBLANK(T76)=1,IF(R76&lt;='Config.'!$D$10,"meta","nops"),"")</f>
        <v>meta</v>
      </c>
      <c r="T76" s="32"/>
    </row>
    <row r="77" spans="1:20" ht="20.100000000000001" customHeight="1" x14ac:dyDescent="0.25">
      <c r="A77" s="22" t="s">
        <v>25</v>
      </c>
      <c r="B77" s="20">
        <v>74</v>
      </c>
      <c r="C77" s="60">
        <f>IF(COUNTBLANK(H76)=1,(C76*'Config.'!$D$12)+C76,(H76*'Config.'!$D$12)+H76)</f>
        <v>83.529840330933752</v>
      </c>
      <c r="D77" s="60">
        <f t="shared" si="7"/>
        <v>0.82702812208844989</v>
      </c>
      <c r="E77" s="59">
        <v>0.8</v>
      </c>
      <c r="F77" s="61">
        <f t="shared" si="5"/>
        <v>0.20675703052211247</v>
      </c>
      <c r="G77" s="12" t="str">
        <f>IF(COUNTBLANK(H77)=1,IF(C77&lt;='Config.'!$D$10,"meta","nops"),"")</f>
        <v>meta</v>
      </c>
      <c r="H77" s="62"/>
      <c r="I77" s="63" t="str">
        <f t="shared" si="8"/>
        <v/>
      </c>
      <c r="J77" s="63" t="str">
        <f t="shared" si="6"/>
        <v/>
      </c>
      <c r="K77" s="54" t="str">
        <f t="shared" si="9"/>
        <v/>
      </c>
      <c r="R77" s="27">
        <f>IF(COUNTBLANK(T76)=1,(R76*'Config.'!$D$12)+R76,(T76*'Config.'!$D$12)+T76)</f>
        <v>83.529840330933752</v>
      </c>
      <c r="S77" s="28" t="str">
        <f>IF(COUNTBLANK(T77)=1,IF(R77&lt;='Config.'!$D$10,"meta","nops"),"")</f>
        <v>meta</v>
      </c>
      <c r="T77" s="32"/>
    </row>
    <row r="78" spans="1:20" ht="20.100000000000001" customHeight="1" x14ac:dyDescent="0.25">
      <c r="A78" s="22" t="s">
        <v>25</v>
      </c>
      <c r="B78" s="20">
        <v>75</v>
      </c>
      <c r="C78" s="60">
        <f>IF(COUNTBLANK(H77)=1,(C77*'Config.'!$D$12)+C77,(H77*'Config.'!$D$12)+H77)</f>
        <v>84.365138734243089</v>
      </c>
      <c r="D78" s="60">
        <f t="shared" si="7"/>
        <v>0.8352984033093378</v>
      </c>
      <c r="E78" s="59">
        <v>0.8</v>
      </c>
      <c r="F78" s="61">
        <f t="shared" si="5"/>
        <v>0.20882460082733445</v>
      </c>
      <c r="G78" s="12" t="str">
        <f>IF(COUNTBLANK(H78)=1,IF(C78&lt;='Config.'!$D$10,"meta","nops"),"")</f>
        <v>meta</v>
      </c>
      <c r="H78" s="62"/>
      <c r="I78" s="63" t="str">
        <f t="shared" si="8"/>
        <v/>
      </c>
      <c r="J78" s="63" t="str">
        <f t="shared" si="6"/>
        <v/>
      </c>
      <c r="K78" s="54" t="str">
        <f t="shared" si="9"/>
        <v/>
      </c>
      <c r="R78" s="27">
        <f>IF(COUNTBLANK(T77)=1,(R77*'Config.'!$D$12)+R77,(T77*'Config.'!$D$12)+T77)</f>
        <v>84.365138734243089</v>
      </c>
      <c r="S78" s="28" t="str">
        <f>IF(COUNTBLANK(T78)=1,IF(R78&lt;='Config.'!$D$10,"meta","nops"),"")</f>
        <v>meta</v>
      </c>
      <c r="T78" s="32"/>
    </row>
    <row r="79" spans="1:20" ht="20.100000000000001" customHeight="1" x14ac:dyDescent="0.25">
      <c r="A79" s="22" t="s">
        <v>25</v>
      </c>
      <c r="B79" s="20">
        <v>76</v>
      </c>
      <c r="C79" s="60">
        <f>IF(COUNTBLANK(H78)=1,(C78*'Config.'!$D$12)+C78,(H78*'Config.'!$D$12)+H78)</f>
        <v>85.208790121585523</v>
      </c>
      <c r="D79" s="60">
        <f t="shared" si="7"/>
        <v>0.84365138734243317</v>
      </c>
      <c r="E79" s="59">
        <v>0.8</v>
      </c>
      <c r="F79" s="61">
        <f t="shared" si="5"/>
        <v>0.21091284683560829</v>
      </c>
      <c r="G79" s="12" t="str">
        <f>IF(COUNTBLANK(H79)=1,IF(C79&lt;='Config.'!$D$10,"meta","nops"),"")</f>
        <v>meta</v>
      </c>
      <c r="H79" s="62"/>
      <c r="I79" s="63" t="str">
        <f t="shared" si="8"/>
        <v/>
      </c>
      <c r="J79" s="63" t="str">
        <f t="shared" si="6"/>
        <v/>
      </c>
      <c r="K79" s="54" t="str">
        <f t="shared" si="9"/>
        <v/>
      </c>
      <c r="R79" s="27">
        <f>IF(COUNTBLANK(T78)=1,(R78*'Config.'!$D$12)+R78,(T78*'Config.'!$D$12)+T78)</f>
        <v>85.208790121585523</v>
      </c>
      <c r="S79" s="28" t="str">
        <f>IF(COUNTBLANK(T79)=1,IF(R79&lt;='Config.'!$D$10,"meta","nops"),"")</f>
        <v>meta</v>
      </c>
      <c r="T79" s="32"/>
    </row>
    <row r="80" spans="1:20" ht="20.100000000000001" customHeight="1" x14ac:dyDescent="0.25">
      <c r="A80" s="22" t="s">
        <v>25</v>
      </c>
      <c r="B80" s="20">
        <v>77</v>
      </c>
      <c r="C80" s="60">
        <f>IF(COUNTBLANK(H79)=1,(C79*'Config.'!$D$12)+C79,(H79*'Config.'!$D$12)+H79)</f>
        <v>86.060878022801376</v>
      </c>
      <c r="D80" s="60">
        <f t="shared" si="7"/>
        <v>0.85208790121585309</v>
      </c>
      <c r="E80" s="59">
        <v>0.8</v>
      </c>
      <c r="F80" s="61">
        <f t="shared" si="5"/>
        <v>0.21302197530396327</v>
      </c>
      <c r="G80" s="12" t="str">
        <f>IF(COUNTBLANK(H80)=1,IF(C80&lt;='Config.'!$D$10,"meta","nops"),"")</f>
        <v>meta</v>
      </c>
      <c r="H80" s="62"/>
      <c r="I80" s="63" t="str">
        <f t="shared" si="8"/>
        <v/>
      </c>
      <c r="J80" s="63" t="str">
        <f t="shared" si="6"/>
        <v/>
      </c>
      <c r="K80" s="54" t="str">
        <f t="shared" si="9"/>
        <v/>
      </c>
      <c r="R80" s="27">
        <f>IF(COUNTBLANK(T79)=1,(R79*'Config.'!$D$12)+R79,(T79*'Config.'!$D$12)+T79)</f>
        <v>86.060878022801376</v>
      </c>
      <c r="S80" s="28" t="str">
        <f>IF(COUNTBLANK(T80)=1,IF(R80&lt;='Config.'!$D$10,"meta","nops"),"")</f>
        <v>meta</v>
      </c>
      <c r="T80" s="32"/>
    </row>
    <row r="81" spans="1:20" ht="20.100000000000001" customHeight="1" x14ac:dyDescent="0.25">
      <c r="A81" s="22" t="s">
        <v>25</v>
      </c>
      <c r="B81" s="20">
        <v>78</v>
      </c>
      <c r="C81" s="60">
        <f>IF(COUNTBLANK(H80)=1,(C80*'Config.'!$D$12)+C80,(H80*'Config.'!$D$12)+H80)</f>
        <v>86.921486803029396</v>
      </c>
      <c r="D81" s="60">
        <f t="shared" si="7"/>
        <v>0.86060878022802001</v>
      </c>
      <c r="E81" s="59">
        <v>0.8</v>
      </c>
      <c r="F81" s="61">
        <f t="shared" si="5"/>
        <v>0.215152195057005</v>
      </c>
      <c r="G81" s="12" t="str">
        <f>IF(COUNTBLANK(H81)=1,IF(C81&lt;='Config.'!$D$10,"meta","nops"),"")</f>
        <v>meta</v>
      </c>
      <c r="H81" s="62"/>
      <c r="I81" s="63" t="str">
        <f t="shared" si="8"/>
        <v/>
      </c>
      <c r="J81" s="63" t="str">
        <f t="shared" si="6"/>
        <v/>
      </c>
      <c r="K81" s="54" t="str">
        <f t="shared" si="9"/>
        <v/>
      </c>
      <c r="R81" s="27">
        <f>IF(COUNTBLANK(T80)=1,(R80*'Config.'!$D$12)+R80,(T80*'Config.'!$D$12)+T80)</f>
        <v>86.921486803029396</v>
      </c>
      <c r="S81" s="28" t="str">
        <f>IF(COUNTBLANK(T81)=1,IF(R81&lt;='Config.'!$D$10,"meta","nops"),"")</f>
        <v>meta</v>
      </c>
      <c r="T81" s="32"/>
    </row>
    <row r="82" spans="1:20" ht="20.100000000000001" customHeight="1" x14ac:dyDescent="0.25">
      <c r="A82" s="22" t="s">
        <v>25</v>
      </c>
      <c r="B82" s="20">
        <v>79</v>
      </c>
      <c r="C82" s="60">
        <f>IF(COUNTBLANK(H81)=1,(C81*'Config.'!$D$12)+C81,(H81*'Config.'!$D$12)+H81)</f>
        <v>87.790701671059693</v>
      </c>
      <c r="D82" s="60">
        <f t="shared" si="7"/>
        <v>0.86921486803029779</v>
      </c>
      <c r="E82" s="59">
        <v>0.8</v>
      </c>
      <c r="F82" s="61">
        <f t="shared" si="5"/>
        <v>0.21730371700757445</v>
      </c>
      <c r="G82" s="12" t="str">
        <f>IF(COUNTBLANK(H82)=1,IF(C82&lt;='Config.'!$D$10,"meta","nops"),"")</f>
        <v>meta</v>
      </c>
      <c r="H82" s="62"/>
      <c r="I82" s="63" t="str">
        <f t="shared" si="8"/>
        <v/>
      </c>
      <c r="J82" s="63" t="str">
        <f t="shared" si="6"/>
        <v/>
      </c>
      <c r="K82" s="54" t="str">
        <f t="shared" si="9"/>
        <v/>
      </c>
      <c r="R82" s="27">
        <f>IF(COUNTBLANK(T81)=1,(R81*'Config.'!$D$12)+R81,(T81*'Config.'!$D$12)+T81)</f>
        <v>87.790701671059693</v>
      </c>
      <c r="S82" s="28" t="str">
        <f>IF(COUNTBLANK(T82)=1,IF(R82&lt;='Config.'!$D$10,"meta","nops"),"")</f>
        <v>meta</v>
      </c>
      <c r="T82" s="32"/>
    </row>
    <row r="83" spans="1:20" ht="20.100000000000001" customHeight="1" x14ac:dyDescent="0.25">
      <c r="A83" s="22" t="s">
        <v>25</v>
      </c>
      <c r="B83" s="20">
        <v>80</v>
      </c>
      <c r="C83" s="60">
        <f>IF(COUNTBLANK(H82)=1,(C82*'Config.'!$D$12)+C82,(H82*'Config.'!$D$12)+H82)</f>
        <v>88.668608687770288</v>
      </c>
      <c r="D83" s="60">
        <f t="shared" si="7"/>
        <v>0.87790701671059423</v>
      </c>
      <c r="E83" s="59">
        <v>0.8</v>
      </c>
      <c r="F83" s="61">
        <f t="shared" si="5"/>
        <v>0.21947675417764856</v>
      </c>
      <c r="G83" s="12" t="str">
        <f>IF(COUNTBLANK(H83)=1,IF(C83&lt;='Config.'!$D$10,"meta","nops"),"")</f>
        <v>meta</v>
      </c>
      <c r="H83" s="62"/>
      <c r="I83" s="63" t="str">
        <f t="shared" si="8"/>
        <v/>
      </c>
      <c r="J83" s="63" t="str">
        <f t="shared" si="6"/>
        <v/>
      </c>
      <c r="K83" s="54" t="str">
        <f t="shared" si="9"/>
        <v/>
      </c>
      <c r="R83" s="27">
        <f>IF(COUNTBLANK(T82)=1,(R82*'Config.'!$D$12)+R82,(T82*'Config.'!$D$12)+T82)</f>
        <v>88.668608687770288</v>
      </c>
      <c r="S83" s="28" t="str">
        <f>IF(COUNTBLANK(T83)=1,IF(R83&lt;='Config.'!$D$10,"meta","nops"),"")</f>
        <v>meta</v>
      </c>
      <c r="T83" s="32"/>
    </row>
    <row r="84" spans="1:20" ht="20.100000000000001" customHeight="1" x14ac:dyDescent="0.25">
      <c r="A84" s="22" t="s">
        <v>25</v>
      </c>
      <c r="B84" s="20">
        <v>81</v>
      </c>
      <c r="C84" s="60">
        <f>IF(COUNTBLANK(H83)=1,(C83*'Config.'!$D$12)+C83,(H83*'Config.'!$D$12)+H83)</f>
        <v>89.55529477464799</v>
      </c>
      <c r="D84" s="60">
        <f t="shared" si="7"/>
        <v>0.88668608687770245</v>
      </c>
      <c r="E84" s="59">
        <v>0.8</v>
      </c>
      <c r="F84" s="61">
        <f t="shared" si="5"/>
        <v>0.22167152171942561</v>
      </c>
      <c r="G84" s="12" t="str">
        <f>IF(COUNTBLANK(H84)=1,IF(C84&lt;='Config.'!$D$10,"meta","nops"),"")</f>
        <v>meta</v>
      </c>
      <c r="H84" s="62"/>
      <c r="I84" s="63" t="str">
        <f t="shared" si="8"/>
        <v/>
      </c>
      <c r="J84" s="63" t="str">
        <f t="shared" si="6"/>
        <v/>
      </c>
      <c r="K84" s="54" t="str">
        <f t="shared" si="9"/>
        <v/>
      </c>
      <c r="R84" s="27">
        <f>IF(COUNTBLANK(T83)=1,(R83*'Config.'!$D$12)+R83,(T83*'Config.'!$D$12)+T83)</f>
        <v>89.55529477464799</v>
      </c>
      <c r="S84" s="28" t="str">
        <f>IF(COUNTBLANK(T84)=1,IF(R84&lt;='Config.'!$D$10,"meta","nops"),"")</f>
        <v>meta</v>
      </c>
      <c r="T84" s="32"/>
    </row>
    <row r="85" spans="1:20" ht="20.100000000000001" customHeight="1" x14ac:dyDescent="0.25">
      <c r="A85" s="22" t="s">
        <v>25</v>
      </c>
      <c r="B85" s="20">
        <v>82</v>
      </c>
      <c r="C85" s="60">
        <f>IF(COUNTBLANK(H84)=1,(C84*'Config.'!$D$12)+C84,(H84*'Config.'!$D$12)+H84)</f>
        <v>90.450847722394471</v>
      </c>
      <c r="D85" s="60">
        <f t="shared" si="7"/>
        <v>0.89555294774648075</v>
      </c>
      <c r="E85" s="59">
        <v>0.8</v>
      </c>
      <c r="F85" s="61">
        <f t="shared" si="5"/>
        <v>0.22388823693662019</v>
      </c>
      <c r="G85" s="12" t="str">
        <f>IF(COUNTBLANK(H85)=1,IF(C85&lt;='Config.'!$D$10,"meta","nops"),"")</f>
        <v>meta</v>
      </c>
      <c r="H85" s="62"/>
      <c r="I85" s="63" t="str">
        <f t="shared" si="8"/>
        <v/>
      </c>
      <c r="J85" s="63" t="str">
        <f t="shared" si="6"/>
        <v/>
      </c>
      <c r="K85" s="54" t="str">
        <f t="shared" si="9"/>
        <v/>
      </c>
      <c r="R85" s="27">
        <f>IF(COUNTBLANK(T84)=1,(R84*'Config.'!$D$12)+R84,(T84*'Config.'!$D$12)+T84)</f>
        <v>90.450847722394471</v>
      </c>
      <c r="S85" s="28" t="str">
        <f>IF(COUNTBLANK(T85)=1,IF(R85&lt;='Config.'!$D$10,"meta","nops"),"")</f>
        <v>meta</v>
      </c>
      <c r="T85" s="32"/>
    </row>
    <row r="86" spans="1:20" ht="20.100000000000001" customHeight="1" x14ac:dyDescent="0.25">
      <c r="A86" s="22" t="s">
        <v>25</v>
      </c>
      <c r="B86" s="20">
        <v>83</v>
      </c>
      <c r="C86" s="60">
        <f>IF(COUNTBLANK(H85)=1,(C85*'Config.'!$D$12)+C85,(H85*'Config.'!$D$12)+H85)</f>
        <v>91.355356199618413</v>
      </c>
      <c r="D86" s="60">
        <f t="shared" si="7"/>
        <v>0.90450847722394201</v>
      </c>
      <c r="E86" s="59">
        <v>0.8</v>
      </c>
      <c r="F86" s="61">
        <f t="shared" si="5"/>
        <v>0.2261271193059855</v>
      </c>
      <c r="G86" s="12" t="str">
        <f>IF(COUNTBLANK(H86)=1,IF(C86&lt;='Config.'!$D$10,"meta","nops"),"")</f>
        <v>meta</v>
      </c>
      <c r="H86" s="62"/>
      <c r="I86" s="63" t="str">
        <f t="shared" si="8"/>
        <v/>
      </c>
      <c r="J86" s="63" t="str">
        <f t="shared" si="6"/>
        <v/>
      </c>
      <c r="K86" s="54" t="str">
        <f t="shared" si="9"/>
        <v/>
      </c>
      <c r="R86" s="27">
        <f>IF(COUNTBLANK(T85)=1,(R85*'Config.'!$D$12)+R85,(T85*'Config.'!$D$12)+T85)</f>
        <v>91.355356199618413</v>
      </c>
      <c r="S86" s="28" t="str">
        <f>IF(COUNTBLANK(T86)=1,IF(R86&lt;='Config.'!$D$10,"meta","nops"),"")</f>
        <v>meta</v>
      </c>
      <c r="T86" s="32"/>
    </row>
    <row r="87" spans="1:20" ht="20.100000000000001" customHeight="1" x14ac:dyDescent="0.25">
      <c r="A87" s="22" t="s">
        <v>25</v>
      </c>
      <c r="B87" s="20">
        <v>84</v>
      </c>
      <c r="C87" s="60">
        <f>IF(COUNTBLANK(H86)=1,(C86*'Config.'!$D$12)+C86,(H86*'Config.'!$D$12)+H86)</f>
        <v>92.268909761614594</v>
      </c>
      <c r="D87" s="60">
        <f t="shared" si="7"/>
        <v>0.91355356199618143</v>
      </c>
      <c r="E87" s="59">
        <v>0.8</v>
      </c>
      <c r="F87" s="61">
        <f t="shared" si="5"/>
        <v>0.22838839049904536</v>
      </c>
      <c r="G87" s="12" t="str">
        <f>IF(COUNTBLANK(H87)=1,IF(C87&lt;='Config.'!$D$10,"meta","nops"),"")</f>
        <v>meta</v>
      </c>
      <c r="H87" s="62"/>
      <c r="I87" s="63" t="str">
        <f t="shared" si="8"/>
        <v/>
      </c>
      <c r="J87" s="63" t="str">
        <f t="shared" si="6"/>
        <v/>
      </c>
      <c r="K87" s="54" t="str">
        <f t="shared" si="9"/>
        <v/>
      </c>
      <c r="R87" s="27">
        <f>IF(COUNTBLANK(T86)=1,(R86*'Config.'!$D$12)+R86,(T86*'Config.'!$D$12)+T86)</f>
        <v>92.268909761614594</v>
      </c>
      <c r="S87" s="28" t="str">
        <f>IF(COUNTBLANK(T87)=1,IF(R87&lt;='Config.'!$D$10,"meta","nops"),"")</f>
        <v>meta</v>
      </c>
      <c r="T87" s="32"/>
    </row>
    <row r="88" spans="1:20" ht="20.100000000000001" customHeight="1" x14ac:dyDescent="0.25">
      <c r="A88" s="22" t="s">
        <v>25</v>
      </c>
      <c r="B88" s="20">
        <v>85</v>
      </c>
      <c r="C88" s="60">
        <f>IF(COUNTBLANK(H87)=1,(C87*'Config.'!$D$12)+C87,(H87*'Config.'!$D$12)+H87)</f>
        <v>93.191598859230737</v>
      </c>
      <c r="D88" s="60">
        <f t="shared" si="7"/>
        <v>0.92268909761614282</v>
      </c>
      <c r="E88" s="59">
        <v>0.8</v>
      </c>
      <c r="F88" s="61">
        <f t="shared" si="5"/>
        <v>0.2306722744040357</v>
      </c>
      <c r="G88" s="12" t="str">
        <f>IF(COUNTBLANK(H88)=1,IF(C88&lt;='Config.'!$D$10,"meta","nops"),"")</f>
        <v>meta</v>
      </c>
      <c r="H88" s="62"/>
      <c r="I88" s="63" t="str">
        <f t="shared" si="8"/>
        <v/>
      </c>
      <c r="J88" s="63" t="str">
        <f t="shared" si="6"/>
        <v/>
      </c>
      <c r="K88" s="54" t="str">
        <f t="shared" si="9"/>
        <v/>
      </c>
      <c r="R88" s="27">
        <f>IF(COUNTBLANK(T87)=1,(R87*'Config.'!$D$12)+R87,(T87*'Config.'!$D$12)+T87)</f>
        <v>93.191598859230737</v>
      </c>
      <c r="S88" s="28" t="str">
        <f>IF(COUNTBLANK(T88)=1,IF(R88&lt;='Config.'!$D$10,"meta","nops"),"")</f>
        <v>meta</v>
      </c>
      <c r="T88" s="32"/>
    </row>
    <row r="89" spans="1:20" ht="20.100000000000001" customHeight="1" x14ac:dyDescent="0.25">
      <c r="A89" s="22" t="s">
        <v>25</v>
      </c>
      <c r="B89" s="20">
        <v>86</v>
      </c>
      <c r="C89" s="60">
        <f>IF(COUNTBLANK(H88)=1,(C88*'Config.'!$D$12)+C88,(H88*'Config.'!$D$12)+H88)</f>
        <v>94.123514847823046</v>
      </c>
      <c r="D89" s="60">
        <f t="shared" si="7"/>
        <v>0.93191598859230851</v>
      </c>
      <c r="E89" s="59">
        <v>0.8</v>
      </c>
      <c r="F89" s="61">
        <f t="shared" si="5"/>
        <v>0.23297899714807713</v>
      </c>
      <c r="G89" s="12" t="str">
        <f>IF(COUNTBLANK(H89)=1,IF(C89&lt;='Config.'!$D$10,"meta","nops"),"")</f>
        <v>meta</v>
      </c>
      <c r="H89" s="62"/>
      <c r="I89" s="63" t="str">
        <f t="shared" si="8"/>
        <v/>
      </c>
      <c r="J89" s="63" t="str">
        <f t="shared" si="6"/>
        <v/>
      </c>
      <c r="K89" s="54" t="str">
        <f t="shared" si="9"/>
        <v/>
      </c>
      <c r="R89" s="27">
        <f>IF(COUNTBLANK(T88)=1,(R88*'Config.'!$D$12)+R88,(T88*'Config.'!$D$12)+T88)</f>
        <v>94.123514847823046</v>
      </c>
      <c r="S89" s="28" t="str">
        <f>IF(COUNTBLANK(T89)=1,IF(R89&lt;='Config.'!$D$10,"meta","nops"),"")</f>
        <v>meta</v>
      </c>
      <c r="T89" s="32"/>
    </row>
    <row r="90" spans="1:20" ht="20.100000000000001" customHeight="1" x14ac:dyDescent="0.25">
      <c r="A90" s="22" t="s">
        <v>25</v>
      </c>
      <c r="B90" s="20">
        <v>87</v>
      </c>
      <c r="C90" s="60">
        <f>IF(COUNTBLANK(H89)=1,(C89*'Config.'!$D$12)+C89,(H89*'Config.'!$D$12)+H89)</f>
        <v>95.064749996301273</v>
      </c>
      <c r="D90" s="60">
        <f t="shared" si="7"/>
        <v>0.94123514847822776</v>
      </c>
      <c r="E90" s="59">
        <v>0.8</v>
      </c>
      <c r="F90" s="61">
        <f t="shared" si="5"/>
        <v>0.23530878711955694</v>
      </c>
      <c r="G90" s="12" t="str">
        <f>IF(COUNTBLANK(H90)=1,IF(C90&lt;='Config.'!$D$10,"meta","nops"),"")</f>
        <v>meta</v>
      </c>
      <c r="H90" s="62"/>
      <c r="I90" s="63" t="str">
        <f t="shared" si="8"/>
        <v/>
      </c>
      <c r="J90" s="63" t="str">
        <f t="shared" si="6"/>
        <v/>
      </c>
      <c r="K90" s="54" t="str">
        <f t="shared" si="9"/>
        <v/>
      </c>
      <c r="R90" s="27">
        <f>IF(COUNTBLANK(T89)=1,(R89*'Config.'!$D$12)+R89,(T89*'Config.'!$D$12)+T89)</f>
        <v>95.064749996301273</v>
      </c>
      <c r="S90" s="28" t="str">
        <f>IF(COUNTBLANK(T90)=1,IF(R90&lt;='Config.'!$D$10,"meta","nops"),"")</f>
        <v>meta</v>
      </c>
      <c r="T90" s="32"/>
    </row>
    <row r="91" spans="1:20" ht="20.100000000000001" customHeight="1" x14ac:dyDescent="0.25">
      <c r="A91" s="22" t="s">
        <v>25</v>
      </c>
      <c r="B91" s="20">
        <v>88</v>
      </c>
      <c r="C91" s="60">
        <f>IF(COUNTBLANK(H90)=1,(C90*'Config.'!$D$12)+C90,(H90*'Config.'!$D$12)+H90)</f>
        <v>96.015397496264285</v>
      </c>
      <c r="D91" s="60">
        <f t="shared" si="7"/>
        <v>0.95064749996301146</v>
      </c>
      <c r="E91" s="59">
        <v>0.8</v>
      </c>
      <c r="F91" s="61">
        <f t="shared" si="5"/>
        <v>0.23766187499075286</v>
      </c>
      <c r="G91" s="12" t="str">
        <f>IF(COUNTBLANK(H91)=1,IF(C91&lt;='Config.'!$D$10,"meta","nops"),"")</f>
        <v>meta</v>
      </c>
      <c r="H91" s="62"/>
      <c r="I91" s="63" t="str">
        <f t="shared" si="8"/>
        <v/>
      </c>
      <c r="J91" s="63" t="str">
        <f t="shared" si="6"/>
        <v/>
      </c>
      <c r="K91" s="54" t="str">
        <f t="shared" si="9"/>
        <v/>
      </c>
      <c r="R91" s="27">
        <f>IF(COUNTBLANK(T90)=1,(R90*'Config.'!$D$12)+R90,(T90*'Config.'!$D$12)+T90)</f>
        <v>96.015397496264285</v>
      </c>
      <c r="S91" s="28" t="str">
        <f>IF(COUNTBLANK(T91)=1,IF(R91&lt;='Config.'!$D$10,"meta","nops"),"")</f>
        <v>meta</v>
      </c>
      <c r="T91" s="32"/>
    </row>
    <row r="92" spans="1:20" ht="20.100000000000001" customHeight="1" x14ac:dyDescent="0.25">
      <c r="A92" s="22" t="s">
        <v>25</v>
      </c>
      <c r="B92" s="20">
        <v>89</v>
      </c>
      <c r="C92" s="60">
        <f>IF(COUNTBLANK(H91)=1,(C91*'Config.'!$D$12)+C91,(H91*'Config.'!$D$12)+H91)</f>
        <v>96.975551471226922</v>
      </c>
      <c r="D92" s="60">
        <f t="shared" si="7"/>
        <v>0.96015397496263688</v>
      </c>
      <c r="E92" s="59">
        <v>0.8</v>
      </c>
      <c r="F92" s="61">
        <f t="shared" si="5"/>
        <v>0.24003849374065922</v>
      </c>
      <c r="G92" s="12" t="str">
        <f>IF(COUNTBLANK(H92)=1,IF(C92&lt;='Config.'!$D$10,"meta","nops"),"")</f>
        <v>meta</v>
      </c>
      <c r="H92" s="62"/>
      <c r="I92" s="63" t="str">
        <f t="shared" si="8"/>
        <v/>
      </c>
      <c r="J92" s="63" t="str">
        <f t="shared" si="6"/>
        <v/>
      </c>
      <c r="K92" s="54" t="str">
        <f t="shared" si="9"/>
        <v/>
      </c>
      <c r="R92" s="27">
        <f>IF(COUNTBLANK(T91)=1,(R91*'Config.'!$D$12)+R91,(T91*'Config.'!$D$12)+T91)</f>
        <v>96.975551471226922</v>
      </c>
      <c r="S92" s="28" t="str">
        <f>IF(COUNTBLANK(T92)=1,IF(R92&lt;='Config.'!$D$10,"meta","nops"),"")</f>
        <v>meta</v>
      </c>
      <c r="T92" s="32"/>
    </row>
    <row r="93" spans="1:20" ht="20.100000000000001" customHeight="1" x14ac:dyDescent="0.25">
      <c r="A93" s="22" t="s">
        <v>25</v>
      </c>
      <c r="B93" s="20">
        <v>90</v>
      </c>
      <c r="C93" s="60">
        <f>IF(COUNTBLANK(H92)=1,(C92*'Config.'!$D$12)+C92,(H92*'Config.'!$D$12)+H92)</f>
        <v>97.945306985939197</v>
      </c>
      <c r="D93" s="60">
        <f t="shared" si="7"/>
        <v>0.96975551471227561</v>
      </c>
      <c r="E93" s="59">
        <v>0.8</v>
      </c>
      <c r="F93" s="61">
        <f t="shared" si="5"/>
        <v>0.2424388786780689</v>
      </c>
      <c r="G93" s="12" t="str">
        <f>IF(COUNTBLANK(H93)=1,IF(C93&lt;='Config.'!$D$10,"meta","nops"),"")</f>
        <v>meta</v>
      </c>
      <c r="H93" s="62"/>
      <c r="I93" s="63" t="str">
        <f t="shared" si="8"/>
        <v/>
      </c>
      <c r="J93" s="63" t="str">
        <f t="shared" si="6"/>
        <v/>
      </c>
      <c r="K93" s="54" t="str">
        <f t="shared" si="9"/>
        <v/>
      </c>
      <c r="R93" s="27">
        <f>IF(COUNTBLANK(T92)=1,(R92*'Config.'!$D$12)+R92,(T92*'Config.'!$D$12)+T92)</f>
        <v>97.945306985939197</v>
      </c>
      <c r="S93" s="28" t="str">
        <f>IF(COUNTBLANK(T93)=1,IF(R93&lt;='Config.'!$D$10,"meta","nops"),"")</f>
        <v>meta</v>
      </c>
      <c r="T93" s="32"/>
    </row>
    <row r="94" spans="1:20" ht="20.100000000000001" customHeight="1" x14ac:dyDescent="0.25">
      <c r="A94" s="22" t="s">
        <v>25</v>
      </c>
      <c r="B94" s="20">
        <v>91</v>
      </c>
      <c r="C94" s="60">
        <f>IF(COUNTBLANK(H93)=1,(C93*'Config.'!$D$12)+C93,(H93*'Config.'!$D$12)+H93)</f>
        <v>98.924760055798586</v>
      </c>
      <c r="D94" s="60">
        <f t="shared" si="7"/>
        <v>0.97945306985938885</v>
      </c>
      <c r="E94" s="59">
        <v>0.8</v>
      </c>
      <c r="F94" s="61">
        <f t="shared" si="5"/>
        <v>0.24486326746484721</v>
      </c>
      <c r="G94" s="12" t="str">
        <f>IF(COUNTBLANK(H94)=1,IF(C94&lt;='Config.'!$D$10,"meta","nops"),"")</f>
        <v>meta</v>
      </c>
      <c r="H94" s="62"/>
      <c r="I94" s="63" t="str">
        <f t="shared" si="8"/>
        <v/>
      </c>
      <c r="J94" s="63" t="str">
        <f t="shared" si="6"/>
        <v/>
      </c>
      <c r="K94" s="54" t="str">
        <f t="shared" si="9"/>
        <v/>
      </c>
      <c r="R94" s="27">
        <f>IF(COUNTBLANK(T93)=1,(R93*'Config.'!$D$12)+R93,(T93*'Config.'!$D$12)+T93)</f>
        <v>98.924760055798586</v>
      </c>
      <c r="S94" s="28" t="str">
        <f>IF(COUNTBLANK(T94)=1,IF(R94&lt;='Config.'!$D$10,"meta","nops"),"")</f>
        <v>meta</v>
      </c>
      <c r="T94" s="32"/>
    </row>
    <row r="95" spans="1:20" ht="20.100000000000001" customHeight="1" x14ac:dyDescent="0.25">
      <c r="A95" s="22" t="s">
        <v>25</v>
      </c>
      <c r="B95" s="20">
        <v>92</v>
      </c>
      <c r="C95" s="60">
        <f>IF(COUNTBLANK(H94)=1,(C94*'Config.'!$D$12)+C94,(H94*'Config.'!$D$12)+H94)</f>
        <v>99.914007656356574</v>
      </c>
      <c r="D95" s="60">
        <f t="shared" si="7"/>
        <v>0.98924760055798799</v>
      </c>
      <c r="E95" s="59">
        <v>0.8</v>
      </c>
      <c r="F95" s="61">
        <f t="shared" si="5"/>
        <v>0.247311900139497</v>
      </c>
      <c r="G95" s="12" t="str">
        <f>IF(COUNTBLANK(H95)=1,IF(C95&lt;='Config.'!$D$10,"meta","nops"),"")</f>
        <v>meta</v>
      </c>
      <c r="H95" s="62"/>
      <c r="I95" s="63" t="str">
        <f t="shared" si="8"/>
        <v/>
      </c>
      <c r="J95" s="63" t="str">
        <f t="shared" si="6"/>
        <v/>
      </c>
      <c r="K95" s="54" t="str">
        <f t="shared" si="9"/>
        <v/>
      </c>
      <c r="R95" s="27">
        <f>IF(COUNTBLANK(T94)=1,(R94*'Config.'!$D$12)+R94,(T94*'Config.'!$D$12)+T94)</f>
        <v>99.914007656356574</v>
      </c>
      <c r="S95" s="28" t="str">
        <f>IF(COUNTBLANK(T95)=1,IF(R95&lt;='Config.'!$D$10,"meta","nops"),"")</f>
        <v>meta</v>
      </c>
      <c r="T95" s="32"/>
    </row>
    <row r="96" spans="1:20" ht="20.100000000000001" customHeight="1" x14ac:dyDescent="0.25">
      <c r="A96" s="22" t="s">
        <v>25</v>
      </c>
      <c r="B96" s="20">
        <v>93</v>
      </c>
      <c r="C96" s="60">
        <f>IF(COUNTBLANK(H95)=1,(C95*'Config.'!$D$12)+C95,(H95*'Config.'!$D$12)+H95)</f>
        <v>100.91314773292014</v>
      </c>
      <c r="D96" s="60">
        <f t="shared" si="7"/>
        <v>0.99914007656356318</v>
      </c>
      <c r="E96" s="59">
        <v>0.8</v>
      </c>
      <c r="F96" s="61">
        <f t="shared" si="5"/>
        <v>0.2497850191408908</v>
      </c>
      <c r="G96" s="12" t="str">
        <f>IF(COUNTBLANK(H96)=1,IF(C96&lt;='Config.'!$D$10,"meta","nops"),"")</f>
        <v>meta</v>
      </c>
      <c r="H96" s="62"/>
      <c r="I96" s="63" t="str">
        <f t="shared" si="8"/>
        <v/>
      </c>
      <c r="J96" s="63" t="str">
        <f t="shared" si="6"/>
        <v/>
      </c>
      <c r="K96" s="54" t="str">
        <f t="shared" si="9"/>
        <v/>
      </c>
      <c r="R96" s="27">
        <f>IF(COUNTBLANK(T95)=1,(R95*'Config.'!$D$12)+R95,(T95*'Config.'!$D$12)+T95)</f>
        <v>100.91314773292014</v>
      </c>
      <c r="S96" s="28" t="str">
        <f>IF(COUNTBLANK(T96)=1,IF(R96&lt;='Config.'!$D$10,"meta","nops"),"")</f>
        <v>meta</v>
      </c>
      <c r="T96" s="32"/>
    </row>
    <row r="97" spans="1:20" ht="20.100000000000001" customHeight="1" x14ac:dyDescent="0.25">
      <c r="A97" s="22" t="s">
        <v>25</v>
      </c>
      <c r="B97" s="20">
        <v>94</v>
      </c>
      <c r="C97" s="60">
        <f>IF(COUNTBLANK(H96)=1,(C96*'Config.'!$D$12)+C96,(H96*'Config.'!$D$12)+H96)</f>
        <v>101.92227921024934</v>
      </c>
      <c r="D97" s="60">
        <f t="shared" si="7"/>
        <v>1.0091314773292055</v>
      </c>
      <c r="E97" s="59">
        <v>0.8</v>
      </c>
      <c r="F97" s="61">
        <f t="shared" si="5"/>
        <v>0.25228286933230137</v>
      </c>
      <c r="G97" s="12" t="str">
        <f>IF(COUNTBLANK(H97)=1,IF(C97&lt;='Config.'!$D$10,"meta","nops"),"")</f>
        <v>meta</v>
      </c>
      <c r="H97" s="62"/>
      <c r="I97" s="63" t="str">
        <f t="shared" si="8"/>
        <v/>
      </c>
      <c r="J97" s="63" t="str">
        <f t="shared" si="6"/>
        <v/>
      </c>
      <c r="K97" s="54" t="str">
        <f t="shared" si="9"/>
        <v/>
      </c>
      <c r="R97" s="27">
        <f>IF(COUNTBLANK(T96)=1,(R96*'Config.'!$D$12)+R96,(T96*'Config.'!$D$12)+T96)</f>
        <v>101.92227921024934</v>
      </c>
      <c r="S97" s="28" t="str">
        <f>IF(COUNTBLANK(T97)=1,IF(R97&lt;='Config.'!$D$10,"meta","nops"),"")</f>
        <v>meta</v>
      </c>
      <c r="T97" s="32"/>
    </row>
    <row r="98" spans="1:20" ht="20.100000000000001" customHeight="1" x14ac:dyDescent="0.25">
      <c r="A98" s="22" t="s">
        <v>25</v>
      </c>
      <c r="B98" s="20">
        <v>95</v>
      </c>
      <c r="C98" s="60">
        <f>IF(COUNTBLANK(H97)=1,(C97*'Config.'!$D$12)+C97,(H97*'Config.'!$D$12)+H97)</f>
        <v>102.94150200235184</v>
      </c>
      <c r="D98" s="60">
        <f t="shared" si="7"/>
        <v>1.0192227921024966</v>
      </c>
      <c r="E98" s="59">
        <v>0.8</v>
      </c>
      <c r="F98" s="61">
        <f t="shared" si="5"/>
        <v>0.25480569802562414</v>
      </c>
      <c r="G98" s="12" t="str">
        <f>IF(COUNTBLANK(H98)=1,IF(C98&lt;='Config.'!$D$10,"meta","nops"),"")</f>
        <v>meta</v>
      </c>
      <c r="H98" s="62"/>
      <c r="I98" s="63" t="str">
        <f t="shared" si="8"/>
        <v/>
      </c>
      <c r="J98" s="63" t="str">
        <f t="shared" si="6"/>
        <v/>
      </c>
      <c r="K98" s="54" t="str">
        <f t="shared" si="9"/>
        <v/>
      </c>
      <c r="R98" s="27">
        <f>IF(COUNTBLANK(T97)=1,(R97*'Config.'!$D$12)+R97,(T97*'Config.'!$D$12)+T97)</f>
        <v>102.94150200235184</v>
      </c>
      <c r="S98" s="28" t="str">
        <f>IF(COUNTBLANK(T98)=1,IF(R98&lt;='Config.'!$D$10,"meta","nops"),"")</f>
        <v>meta</v>
      </c>
      <c r="T98" s="32"/>
    </row>
    <row r="99" spans="1:20" ht="20.100000000000001" customHeight="1" x14ac:dyDescent="0.25">
      <c r="A99" s="22" t="s">
        <v>25</v>
      </c>
      <c r="B99" s="20">
        <v>96</v>
      </c>
      <c r="C99" s="60">
        <f>IF(COUNTBLANK(H98)=1,(C98*'Config.'!$D$12)+C98,(H98*'Config.'!$D$12)+H98)</f>
        <v>103.97091702237536</v>
      </c>
      <c r="D99" s="60">
        <f t="shared" si="7"/>
        <v>1.0294150200235208</v>
      </c>
      <c r="E99" s="59">
        <v>0.8</v>
      </c>
      <c r="F99" s="61">
        <f t="shared" si="5"/>
        <v>0.2573537550058802</v>
      </c>
      <c r="G99" s="12" t="str">
        <f>IF(COUNTBLANK(H99)=1,IF(C99&lt;='Config.'!$D$10,"meta","nops"),"")</f>
        <v>meta</v>
      </c>
      <c r="H99" s="62"/>
      <c r="I99" s="63" t="str">
        <f t="shared" si="8"/>
        <v/>
      </c>
      <c r="J99" s="63" t="str">
        <f t="shared" si="6"/>
        <v/>
      </c>
      <c r="K99" s="54" t="str">
        <f t="shared" si="9"/>
        <v/>
      </c>
      <c r="R99" s="27">
        <f>IF(COUNTBLANK(T98)=1,(R98*'Config.'!$D$12)+R98,(T98*'Config.'!$D$12)+T98)</f>
        <v>103.97091702237536</v>
      </c>
      <c r="S99" s="28" t="str">
        <f>IF(COUNTBLANK(T99)=1,IF(R99&lt;='Config.'!$D$10,"meta","nops"),"")</f>
        <v>meta</v>
      </c>
      <c r="T99" s="32"/>
    </row>
    <row r="100" spans="1:20" ht="20.100000000000001" customHeight="1" x14ac:dyDescent="0.25">
      <c r="A100" s="22" t="s">
        <v>25</v>
      </c>
      <c r="B100" s="20">
        <v>97</v>
      </c>
      <c r="C100" s="60">
        <f>IF(COUNTBLANK(H99)=1,(C99*'Config.'!$D$12)+C99,(H99*'Config.'!$D$12)+H99)</f>
        <v>105.01062619259912</v>
      </c>
      <c r="D100" s="60">
        <f t="shared" si="7"/>
        <v>1.0397091702237589</v>
      </c>
      <c r="E100" s="59">
        <v>0.8</v>
      </c>
      <c r="F100" s="61">
        <f t="shared" si="5"/>
        <v>0.25992729255593972</v>
      </c>
      <c r="G100" s="12" t="str">
        <f>IF(COUNTBLANK(H100)=1,IF(C100&lt;='Config.'!$D$10,"meta","nops"),"")</f>
        <v>meta</v>
      </c>
      <c r="H100" s="62"/>
      <c r="I100" s="63" t="str">
        <f t="shared" si="8"/>
        <v/>
      </c>
      <c r="J100" s="63" t="str">
        <f t="shared" si="6"/>
        <v/>
      </c>
      <c r="K100" s="54" t="str">
        <f t="shared" si="9"/>
        <v/>
      </c>
      <c r="R100" s="27">
        <f>IF(COUNTBLANK(T99)=1,(R99*'Config.'!$D$12)+R99,(T99*'Config.'!$D$12)+T99)</f>
        <v>105.01062619259912</v>
      </c>
      <c r="S100" s="28" t="str">
        <f>IF(COUNTBLANK(T100)=1,IF(R100&lt;='Config.'!$D$10,"meta","nops"),"")</f>
        <v>meta</v>
      </c>
      <c r="T100" s="32"/>
    </row>
    <row r="101" spans="1:20" ht="20.100000000000001" customHeight="1" x14ac:dyDescent="0.25">
      <c r="A101" s="22" t="s">
        <v>25</v>
      </c>
      <c r="B101" s="20">
        <v>98</v>
      </c>
      <c r="C101" s="60">
        <f>IF(COUNTBLANK(H100)=1,(C100*'Config.'!$D$12)+C100,(H100*'Config.'!$D$12)+H100)</f>
        <v>106.06073245452511</v>
      </c>
      <c r="D101" s="60">
        <f t="shared" si="7"/>
        <v>1.0501062619259898</v>
      </c>
      <c r="E101" s="59">
        <v>0.8</v>
      </c>
      <c r="F101" s="61">
        <f t="shared" si="5"/>
        <v>0.26252656548149744</v>
      </c>
      <c r="G101" s="12" t="str">
        <f>IF(COUNTBLANK(H101)=1,IF(C101&lt;='Config.'!$D$10,"meta","nops"),"")</f>
        <v>meta</v>
      </c>
      <c r="H101" s="62"/>
      <c r="I101" s="63" t="str">
        <f t="shared" si="8"/>
        <v/>
      </c>
      <c r="J101" s="63" t="str">
        <f t="shared" si="6"/>
        <v/>
      </c>
      <c r="K101" s="54" t="str">
        <f t="shared" si="9"/>
        <v/>
      </c>
      <c r="R101" s="27">
        <f>IF(COUNTBLANK(T100)=1,(R100*'Config.'!$D$12)+R100,(T100*'Config.'!$D$12)+T100)</f>
        <v>106.06073245452511</v>
      </c>
      <c r="S101" s="28" t="str">
        <f>IF(COUNTBLANK(T101)=1,IF(R101&lt;='Config.'!$D$10,"meta","nops"),"")</f>
        <v>meta</v>
      </c>
      <c r="T101" s="32"/>
    </row>
    <row r="102" spans="1:20" ht="20.100000000000001" customHeight="1" x14ac:dyDescent="0.25">
      <c r="A102" s="22" t="s">
        <v>25</v>
      </c>
      <c r="B102" s="20">
        <v>99</v>
      </c>
      <c r="C102" s="60">
        <f>IF(COUNTBLANK(H101)=1,(C101*'Config.'!$D$12)+C101,(H101*'Config.'!$D$12)+H101)</f>
        <v>107.12133977907035</v>
      </c>
      <c r="D102" s="60">
        <f t="shared" si="7"/>
        <v>1.060607324545245</v>
      </c>
      <c r="E102" s="59">
        <v>0.8</v>
      </c>
      <c r="F102" s="61">
        <f t="shared" si="5"/>
        <v>0.26515183113631124</v>
      </c>
      <c r="G102" s="12" t="str">
        <f>IF(COUNTBLANK(H102)=1,IF(C102&lt;='Config.'!$D$10,"meta","nops"),"")</f>
        <v>meta</v>
      </c>
      <c r="H102" s="62"/>
      <c r="I102" s="63" t="str">
        <f t="shared" si="8"/>
        <v/>
      </c>
      <c r="J102" s="63" t="str">
        <f t="shared" si="6"/>
        <v/>
      </c>
      <c r="K102" s="54" t="str">
        <f t="shared" si="9"/>
        <v/>
      </c>
      <c r="R102" s="27">
        <f>IF(COUNTBLANK(T101)=1,(R101*'Config.'!$D$12)+R101,(T101*'Config.'!$D$12)+T101)</f>
        <v>107.12133977907035</v>
      </c>
      <c r="S102" s="28" t="str">
        <f>IF(COUNTBLANK(T102)=1,IF(R102&lt;='Config.'!$D$10,"meta","nops"),"")</f>
        <v>meta</v>
      </c>
      <c r="T102" s="32"/>
    </row>
    <row r="103" spans="1:20" ht="20.100000000000001" customHeight="1" x14ac:dyDescent="0.25">
      <c r="A103" s="22" t="s">
        <v>25</v>
      </c>
      <c r="B103" s="20">
        <v>100</v>
      </c>
      <c r="C103" s="60">
        <f>IF(COUNTBLANK(H102)=1,(C102*'Config.'!$D$12)+C102,(H102*'Config.'!$D$12)+H102)</f>
        <v>108.19255317686105</v>
      </c>
      <c r="D103" s="60">
        <f t="shared" si="7"/>
        <v>1.0712133977907001</v>
      </c>
      <c r="E103" s="59">
        <v>0.8</v>
      </c>
      <c r="F103" s="61">
        <f t="shared" si="5"/>
        <v>0.26780334944767503</v>
      </c>
      <c r="G103" s="12" t="str">
        <f>IF(COUNTBLANK(H103)=1,IF(C103&lt;='Config.'!$D$10,"meta","nops"),"")</f>
        <v>meta</v>
      </c>
      <c r="H103" s="62"/>
      <c r="I103" s="63" t="str">
        <f t="shared" si="8"/>
        <v/>
      </c>
      <c r="J103" s="63" t="str">
        <f t="shared" si="6"/>
        <v/>
      </c>
      <c r="K103" s="54" t="str">
        <f t="shared" si="9"/>
        <v/>
      </c>
      <c r="R103" s="27">
        <f>IF(COUNTBLANK(T102)=1,(R102*'Config.'!$D$12)+R102,(T102*'Config.'!$D$12)+T102)</f>
        <v>108.19255317686105</v>
      </c>
      <c r="S103" s="28" t="str">
        <f>IF(COUNTBLANK(T103)=1,IF(R103&lt;='Config.'!$D$10,"meta","nops"),"")</f>
        <v>meta</v>
      </c>
      <c r="T103" s="32"/>
    </row>
    <row r="104" spans="1:20" ht="20.100000000000001" customHeight="1" x14ac:dyDescent="0.25">
      <c r="A104" s="22" t="s">
        <v>25</v>
      </c>
      <c r="B104" s="20">
        <v>101</v>
      </c>
      <c r="C104" s="60">
        <f>IF(COUNTBLANK(H103)=1,(C103*'Config.'!$D$12)+C103,(H103*'Config.'!$D$12)+H103)</f>
        <v>109.27447870862966</v>
      </c>
      <c r="D104" s="60">
        <f t="shared" si="7"/>
        <v>1.0819255317686043</v>
      </c>
      <c r="E104" s="59">
        <v>0.8</v>
      </c>
      <c r="F104" s="61">
        <f t="shared" si="5"/>
        <v>0.27048138294215107</v>
      </c>
      <c r="G104" s="12" t="str">
        <f>IF(COUNTBLANK(H104)=1,IF(C104&lt;='Config.'!$D$10,"meta","nops"),"")</f>
        <v>meta</v>
      </c>
      <c r="H104" s="62"/>
      <c r="I104" s="63" t="str">
        <f t="shared" si="8"/>
        <v/>
      </c>
      <c r="J104" s="63" t="str">
        <f t="shared" si="6"/>
        <v/>
      </c>
      <c r="K104" s="54" t="str">
        <f t="shared" si="9"/>
        <v/>
      </c>
      <c r="R104" s="27">
        <f>IF(COUNTBLANK(T103)=1,(R103*'Config.'!$D$12)+R103,(T103*'Config.'!$D$12)+T103)</f>
        <v>109.27447870862966</v>
      </c>
      <c r="S104" s="28" t="str">
        <f>IF(COUNTBLANK(T104)=1,IF(R104&lt;='Config.'!$D$10,"meta","nops"),"")</f>
        <v>meta</v>
      </c>
      <c r="T104" s="32"/>
    </row>
    <row r="105" spans="1:20" ht="20.100000000000001" customHeight="1" x14ac:dyDescent="0.25">
      <c r="A105" s="22" t="s">
        <v>25</v>
      </c>
      <c r="B105" s="20">
        <v>102</v>
      </c>
      <c r="C105" s="60">
        <f>IF(COUNTBLANK(H104)=1,(C104*'Config.'!$D$12)+C104,(H104*'Config.'!$D$12)+H104)</f>
        <v>110.36722349571596</v>
      </c>
      <c r="D105" s="60">
        <f t="shared" si="7"/>
        <v>1.0927447870863034</v>
      </c>
      <c r="E105" s="59">
        <v>0.8</v>
      </c>
      <c r="F105" s="61">
        <f t="shared" si="5"/>
        <v>0.27318619677157585</v>
      </c>
      <c r="G105" s="12" t="str">
        <f>IF(COUNTBLANK(H105)=1,IF(C105&lt;='Config.'!$D$10,"meta","nops"),"")</f>
        <v>meta</v>
      </c>
      <c r="H105" s="62"/>
      <c r="I105" s="63" t="str">
        <f t="shared" si="8"/>
        <v/>
      </c>
      <c r="J105" s="63" t="str">
        <f t="shared" si="6"/>
        <v/>
      </c>
      <c r="K105" s="54" t="str">
        <f t="shared" si="9"/>
        <v/>
      </c>
      <c r="R105" s="27">
        <f>IF(COUNTBLANK(T104)=1,(R104*'Config.'!$D$12)+R104,(T104*'Config.'!$D$12)+T104)</f>
        <v>110.36722349571596</v>
      </c>
      <c r="S105" s="28" t="str">
        <f>IF(COUNTBLANK(T105)=1,IF(R105&lt;='Config.'!$D$10,"meta","nops"),"")</f>
        <v>meta</v>
      </c>
      <c r="T105" s="32"/>
    </row>
    <row r="106" spans="1:20" ht="20.100000000000001" customHeight="1" x14ac:dyDescent="0.25">
      <c r="A106" s="22" t="s">
        <v>25</v>
      </c>
      <c r="B106" s="20">
        <v>103</v>
      </c>
      <c r="C106" s="60">
        <f>IF(COUNTBLANK(H105)=1,(C105*'Config.'!$D$12)+C105,(H105*'Config.'!$D$12)+H105)</f>
        <v>111.47089573067312</v>
      </c>
      <c r="D106" s="60">
        <f t="shared" si="7"/>
        <v>1.103672234957159</v>
      </c>
      <c r="E106" s="59">
        <v>0.8</v>
      </c>
      <c r="F106" s="61">
        <f t="shared" si="5"/>
        <v>0.27591805873928976</v>
      </c>
      <c r="G106" s="12" t="str">
        <f>IF(COUNTBLANK(H106)=1,IF(C106&lt;='Config.'!$D$10,"meta","nops"),"")</f>
        <v>meta</v>
      </c>
      <c r="H106" s="62"/>
      <c r="I106" s="63" t="str">
        <f t="shared" si="8"/>
        <v/>
      </c>
      <c r="J106" s="63" t="str">
        <f t="shared" si="6"/>
        <v/>
      </c>
      <c r="K106" s="54" t="str">
        <f t="shared" si="9"/>
        <v/>
      </c>
      <c r="R106" s="27">
        <f>IF(COUNTBLANK(T105)=1,(R105*'Config.'!$D$12)+R105,(T105*'Config.'!$D$12)+T105)</f>
        <v>111.47089573067312</v>
      </c>
      <c r="S106" s="28" t="str">
        <f>IF(COUNTBLANK(T106)=1,IF(R106&lt;='Config.'!$D$10,"meta","nops"),"")</f>
        <v>meta</v>
      </c>
      <c r="T106" s="32"/>
    </row>
    <row r="107" spans="1:20" ht="20.100000000000001" customHeight="1" x14ac:dyDescent="0.25">
      <c r="A107" s="22" t="s">
        <v>25</v>
      </c>
      <c r="B107" s="20">
        <v>104</v>
      </c>
      <c r="C107" s="60">
        <f>IF(COUNTBLANK(H106)=1,(C106*'Config.'!$D$12)+C106,(H106*'Config.'!$D$12)+H106)</f>
        <v>112.58560468797985</v>
      </c>
      <c r="D107" s="60">
        <f t="shared" si="7"/>
        <v>1.1147089573067319</v>
      </c>
      <c r="E107" s="59">
        <v>0.8</v>
      </c>
      <c r="F107" s="61">
        <f t="shared" si="5"/>
        <v>0.27867723932668298</v>
      </c>
      <c r="G107" s="12" t="str">
        <f>IF(COUNTBLANK(H107)=1,IF(C107&lt;='Config.'!$D$10,"meta","nops"),"")</f>
        <v>meta</v>
      </c>
      <c r="H107" s="62"/>
      <c r="I107" s="63" t="str">
        <f t="shared" si="8"/>
        <v/>
      </c>
      <c r="J107" s="63" t="str">
        <f t="shared" si="6"/>
        <v/>
      </c>
      <c r="K107" s="54" t="str">
        <f t="shared" si="9"/>
        <v/>
      </c>
      <c r="R107" s="27">
        <f>IF(COUNTBLANK(T106)=1,(R106*'Config.'!$D$12)+R106,(T106*'Config.'!$D$12)+T106)</f>
        <v>112.58560468797985</v>
      </c>
      <c r="S107" s="28" t="str">
        <f>IF(COUNTBLANK(T107)=1,IF(R107&lt;='Config.'!$D$10,"meta","nops"),"")</f>
        <v>meta</v>
      </c>
      <c r="T107" s="32"/>
    </row>
    <row r="108" spans="1:20" ht="20.100000000000001" customHeight="1" x14ac:dyDescent="0.25">
      <c r="A108" s="22" t="s">
        <v>25</v>
      </c>
      <c r="B108" s="20">
        <v>105</v>
      </c>
      <c r="C108" s="60">
        <f>IF(COUNTBLANK(H107)=1,(C107*'Config.'!$D$12)+C107,(H107*'Config.'!$D$12)+H107)</f>
        <v>113.71146073485966</v>
      </c>
      <c r="D108" s="60">
        <f t="shared" si="7"/>
        <v>1.1258560468798038</v>
      </c>
      <c r="E108" s="59">
        <v>0.8</v>
      </c>
      <c r="F108" s="61">
        <f t="shared" si="5"/>
        <v>0.28146401171995095</v>
      </c>
      <c r="G108" s="12" t="str">
        <f>IF(COUNTBLANK(H108)=1,IF(C108&lt;='Config.'!$D$10,"meta","nops"),"")</f>
        <v>meta</v>
      </c>
      <c r="H108" s="62"/>
      <c r="I108" s="63" t="str">
        <f t="shared" si="8"/>
        <v/>
      </c>
      <c r="J108" s="63" t="str">
        <f t="shared" si="6"/>
        <v/>
      </c>
      <c r="K108" s="54" t="str">
        <f t="shared" si="9"/>
        <v/>
      </c>
      <c r="R108" s="27">
        <f>IF(COUNTBLANK(T107)=1,(R107*'Config.'!$D$12)+R107,(T107*'Config.'!$D$12)+T107)</f>
        <v>113.71146073485966</v>
      </c>
      <c r="S108" s="28" t="str">
        <f>IF(COUNTBLANK(T108)=1,IF(R108&lt;='Config.'!$D$10,"meta","nops"),"")</f>
        <v>meta</v>
      </c>
      <c r="T108" s="32"/>
    </row>
    <row r="109" spans="1:20" ht="20.100000000000001" customHeight="1" x14ac:dyDescent="0.25">
      <c r="A109" s="22" t="s">
        <v>25</v>
      </c>
      <c r="B109" s="20">
        <v>106</v>
      </c>
      <c r="C109" s="60">
        <f>IF(COUNTBLANK(H108)=1,(C108*'Config.'!$D$12)+C108,(H108*'Config.'!$D$12)+H108)</f>
        <v>114.84857534220825</v>
      </c>
      <c r="D109" s="60">
        <f t="shared" si="7"/>
        <v>1.1371146073485932</v>
      </c>
      <c r="E109" s="59">
        <v>0.8</v>
      </c>
      <c r="F109" s="61">
        <f t="shared" si="5"/>
        <v>0.28427865183714829</v>
      </c>
      <c r="G109" s="12" t="str">
        <f>IF(COUNTBLANK(H109)=1,IF(C109&lt;='Config.'!$D$10,"meta","nops"),"")</f>
        <v>meta</v>
      </c>
      <c r="H109" s="62"/>
      <c r="I109" s="63" t="str">
        <f t="shared" si="8"/>
        <v/>
      </c>
      <c r="J109" s="63" t="str">
        <f t="shared" si="6"/>
        <v/>
      </c>
      <c r="K109" s="54" t="str">
        <f t="shared" si="9"/>
        <v/>
      </c>
      <c r="R109" s="27">
        <f>IF(COUNTBLANK(T108)=1,(R108*'Config.'!$D$12)+R108,(T108*'Config.'!$D$12)+T108)</f>
        <v>114.84857534220825</v>
      </c>
      <c r="S109" s="28" t="str">
        <f>IF(COUNTBLANK(T109)=1,IF(R109&lt;='Config.'!$D$10,"meta","nops"),"")</f>
        <v>meta</v>
      </c>
      <c r="T109" s="32"/>
    </row>
    <row r="110" spans="1:20" ht="20.100000000000001" customHeight="1" x14ac:dyDescent="0.25">
      <c r="A110" s="22" t="s">
        <v>25</v>
      </c>
      <c r="B110" s="20">
        <v>107</v>
      </c>
      <c r="C110" s="60">
        <f>IF(COUNTBLANK(H109)=1,(C109*'Config.'!$D$12)+C109,(H109*'Config.'!$D$12)+H109)</f>
        <v>115.99706109563033</v>
      </c>
      <c r="D110" s="60">
        <f t="shared" si="7"/>
        <v>1.1484857534220794</v>
      </c>
      <c r="E110" s="59">
        <v>0.8</v>
      </c>
      <c r="F110" s="61">
        <f t="shared" si="5"/>
        <v>0.28712143835551984</v>
      </c>
      <c r="G110" s="12" t="str">
        <f>IF(COUNTBLANK(H110)=1,IF(C110&lt;='Config.'!$D$10,"meta","nops"),"")</f>
        <v>meta</v>
      </c>
      <c r="H110" s="62"/>
      <c r="I110" s="63" t="str">
        <f t="shared" si="8"/>
        <v/>
      </c>
      <c r="J110" s="63" t="str">
        <f t="shared" si="6"/>
        <v/>
      </c>
      <c r="K110" s="54" t="str">
        <f t="shared" si="9"/>
        <v/>
      </c>
      <c r="R110" s="27">
        <f>IF(COUNTBLANK(T109)=1,(R109*'Config.'!$D$12)+R109,(T109*'Config.'!$D$12)+T109)</f>
        <v>115.99706109563033</v>
      </c>
      <c r="S110" s="28" t="str">
        <f>IF(COUNTBLANK(T110)=1,IF(R110&lt;='Config.'!$D$10,"meta","nops"),"")</f>
        <v>meta</v>
      </c>
      <c r="T110" s="32"/>
    </row>
    <row r="111" spans="1:20" ht="20.100000000000001" customHeight="1" x14ac:dyDescent="0.25">
      <c r="A111" s="22" t="s">
        <v>25</v>
      </c>
      <c r="B111" s="20">
        <v>108</v>
      </c>
      <c r="C111" s="60">
        <f>IF(COUNTBLANK(H110)=1,(C110*'Config.'!$D$12)+C110,(H110*'Config.'!$D$12)+H110)</f>
        <v>117.15703170658664</v>
      </c>
      <c r="D111" s="60">
        <f t="shared" si="7"/>
        <v>1.1599706109563073</v>
      </c>
      <c r="E111" s="59">
        <v>0.8</v>
      </c>
      <c r="F111" s="61">
        <f t="shared" si="5"/>
        <v>0.28999265273907682</v>
      </c>
      <c r="G111" s="12" t="str">
        <f>IF(COUNTBLANK(H111)=1,IF(C111&lt;='Config.'!$D$10,"meta","nops"),"")</f>
        <v>meta</v>
      </c>
      <c r="H111" s="62"/>
      <c r="I111" s="63" t="str">
        <f t="shared" si="8"/>
        <v/>
      </c>
      <c r="J111" s="63" t="str">
        <f t="shared" si="6"/>
        <v/>
      </c>
      <c r="K111" s="54" t="str">
        <f t="shared" si="9"/>
        <v/>
      </c>
      <c r="R111" s="27">
        <f>IF(COUNTBLANK(T110)=1,(R110*'Config.'!$D$12)+R110,(T110*'Config.'!$D$12)+T110)</f>
        <v>117.15703170658664</v>
      </c>
      <c r="S111" s="28" t="str">
        <f>IF(COUNTBLANK(T111)=1,IF(R111&lt;='Config.'!$D$10,"meta","nops"),"")</f>
        <v>meta</v>
      </c>
      <c r="T111" s="32"/>
    </row>
    <row r="112" spans="1:20" ht="20.100000000000001" customHeight="1" x14ac:dyDescent="0.25">
      <c r="A112" s="22" t="s">
        <v>25</v>
      </c>
      <c r="B112" s="20">
        <v>109</v>
      </c>
      <c r="C112" s="60">
        <f>IF(COUNTBLANK(H111)=1,(C111*'Config.'!$D$12)+C111,(H111*'Config.'!$D$12)+H111)</f>
        <v>118.32860202365251</v>
      </c>
      <c r="D112" s="60">
        <f t="shared" si="7"/>
        <v>1.1715703170658713</v>
      </c>
      <c r="E112" s="59">
        <v>0.8</v>
      </c>
      <c r="F112" s="61">
        <f t="shared" si="5"/>
        <v>0.29289257926646783</v>
      </c>
      <c r="G112" s="12" t="str">
        <f>IF(COUNTBLANK(H112)=1,IF(C112&lt;='Config.'!$D$10,"meta","nops"),"")</f>
        <v>meta</v>
      </c>
      <c r="H112" s="62"/>
      <c r="I112" s="63" t="str">
        <f t="shared" si="8"/>
        <v/>
      </c>
      <c r="J112" s="63" t="str">
        <f t="shared" si="6"/>
        <v/>
      </c>
      <c r="K112" s="54" t="str">
        <f t="shared" si="9"/>
        <v/>
      </c>
      <c r="R112" s="27">
        <f>IF(COUNTBLANK(T111)=1,(R111*'Config.'!$D$12)+R111,(T111*'Config.'!$D$12)+T111)</f>
        <v>118.32860202365251</v>
      </c>
      <c r="S112" s="28" t="str">
        <f>IF(COUNTBLANK(T112)=1,IF(R112&lt;='Config.'!$D$10,"meta","nops"),"")</f>
        <v>meta</v>
      </c>
      <c r="T112" s="32"/>
    </row>
    <row r="113" spans="1:20" ht="20.100000000000001" customHeight="1" x14ac:dyDescent="0.25">
      <c r="A113" s="22" t="s">
        <v>25</v>
      </c>
      <c r="B113" s="20">
        <v>110</v>
      </c>
      <c r="C113" s="60">
        <f>IF(COUNTBLANK(H112)=1,(C112*'Config.'!$D$12)+C112,(H112*'Config.'!$D$12)+H112)</f>
        <v>119.51188804388903</v>
      </c>
      <c r="D113" s="60">
        <f t="shared" si="7"/>
        <v>1.1832860202365225</v>
      </c>
      <c r="E113" s="59">
        <v>0.8</v>
      </c>
      <c r="F113" s="61">
        <f t="shared" si="5"/>
        <v>0.29582150505913063</v>
      </c>
      <c r="G113" s="12" t="str">
        <f>IF(COUNTBLANK(H113)=1,IF(C113&lt;='Config.'!$D$10,"meta","nops"),"")</f>
        <v>meta</v>
      </c>
      <c r="H113" s="62"/>
      <c r="I113" s="63" t="str">
        <f t="shared" si="8"/>
        <v/>
      </c>
      <c r="J113" s="63" t="str">
        <f t="shared" si="6"/>
        <v/>
      </c>
      <c r="K113" s="54" t="str">
        <f t="shared" si="9"/>
        <v/>
      </c>
      <c r="R113" s="27">
        <f>IF(COUNTBLANK(T112)=1,(R112*'Config.'!$D$12)+R112,(T112*'Config.'!$D$12)+T112)</f>
        <v>119.51188804388903</v>
      </c>
      <c r="S113" s="28" t="str">
        <f>IF(COUNTBLANK(T113)=1,IF(R113&lt;='Config.'!$D$10,"meta","nops"),"")</f>
        <v>meta</v>
      </c>
      <c r="T113" s="32"/>
    </row>
    <row r="114" spans="1:20" ht="20.100000000000001" customHeight="1" x14ac:dyDescent="0.25">
      <c r="A114" s="22" t="s">
        <v>25</v>
      </c>
      <c r="B114" s="20">
        <v>111</v>
      </c>
      <c r="C114" s="60">
        <f>IF(COUNTBLANK(H113)=1,(C113*'Config.'!$D$12)+C113,(H113*'Config.'!$D$12)+H113)</f>
        <v>120.70700692432791</v>
      </c>
      <c r="D114" s="60">
        <f t="shared" si="7"/>
        <v>1.1951188804388835</v>
      </c>
      <c r="E114" s="59">
        <v>0.8</v>
      </c>
      <c r="F114" s="61">
        <f t="shared" si="5"/>
        <v>0.29877972010972087</v>
      </c>
      <c r="G114" s="12" t="str">
        <f>IF(COUNTBLANK(H114)=1,IF(C114&lt;='Config.'!$D$10,"meta","nops"),"")</f>
        <v>meta</v>
      </c>
      <c r="H114" s="62"/>
      <c r="I114" s="63" t="str">
        <f t="shared" si="8"/>
        <v/>
      </c>
      <c r="J114" s="63" t="str">
        <f t="shared" si="6"/>
        <v/>
      </c>
      <c r="K114" s="54" t="str">
        <f t="shared" si="9"/>
        <v/>
      </c>
      <c r="R114" s="27">
        <f>IF(COUNTBLANK(T113)=1,(R113*'Config.'!$D$12)+R113,(T113*'Config.'!$D$12)+T113)</f>
        <v>120.70700692432791</v>
      </c>
      <c r="S114" s="28" t="str">
        <f>IF(COUNTBLANK(T114)=1,IF(R114&lt;='Config.'!$D$10,"meta","nops"),"")</f>
        <v>meta</v>
      </c>
      <c r="T114" s="32"/>
    </row>
    <row r="115" spans="1:20" ht="20.100000000000001" customHeight="1" x14ac:dyDescent="0.25">
      <c r="A115" s="22" t="s">
        <v>25</v>
      </c>
      <c r="B115" s="20">
        <v>112</v>
      </c>
      <c r="C115" s="60">
        <f>IF(COUNTBLANK(H114)=1,(C114*'Config.'!$D$12)+C114,(H114*'Config.'!$D$12)+H114)</f>
        <v>121.91407699357119</v>
      </c>
      <c r="D115" s="60">
        <f t="shared" si="7"/>
        <v>1.2070700692432723</v>
      </c>
      <c r="E115" s="59">
        <v>0.8</v>
      </c>
      <c r="F115" s="61">
        <f t="shared" si="5"/>
        <v>0.30176751731081808</v>
      </c>
      <c r="G115" s="12" t="str">
        <f>IF(COUNTBLANK(H115)=1,IF(C115&lt;='Config.'!$D$10,"meta","nops"),"")</f>
        <v>meta</v>
      </c>
      <c r="H115" s="62"/>
      <c r="I115" s="63" t="str">
        <f t="shared" si="8"/>
        <v/>
      </c>
      <c r="J115" s="63" t="str">
        <f t="shared" si="6"/>
        <v/>
      </c>
      <c r="K115" s="54" t="str">
        <f t="shared" si="9"/>
        <v/>
      </c>
      <c r="R115" s="27">
        <f>IF(COUNTBLANK(T114)=1,(R114*'Config.'!$D$12)+R114,(T114*'Config.'!$D$12)+T114)</f>
        <v>121.91407699357119</v>
      </c>
      <c r="S115" s="28" t="str">
        <f>IF(COUNTBLANK(T115)=1,IF(R115&lt;='Config.'!$D$10,"meta","nops"),"")</f>
        <v>meta</v>
      </c>
      <c r="T115" s="32"/>
    </row>
    <row r="116" spans="1:20" ht="20.100000000000001" customHeight="1" x14ac:dyDescent="0.25">
      <c r="A116" s="22" t="s">
        <v>25</v>
      </c>
      <c r="B116" s="20">
        <v>113</v>
      </c>
      <c r="C116" s="60">
        <f>IF(COUNTBLANK(H115)=1,(C115*'Config.'!$D$12)+C115,(H115*'Config.'!$D$12)+H115)</f>
        <v>123.13321776350689</v>
      </c>
      <c r="D116" s="60">
        <f t="shared" si="7"/>
        <v>1.2191407699357057</v>
      </c>
      <c r="E116" s="59">
        <v>0.8</v>
      </c>
      <c r="F116" s="61">
        <f t="shared" si="5"/>
        <v>0.30478519248392644</v>
      </c>
      <c r="G116" s="12" t="str">
        <f>IF(COUNTBLANK(H116)=1,IF(C116&lt;='Config.'!$D$10,"meta","nops"),"")</f>
        <v>meta</v>
      </c>
      <c r="H116" s="62"/>
      <c r="I116" s="63" t="str">
        <f t="shared" si="8"/>
        <v/>
      </c>
      <c r="J116" s="63" t="str">
        <f t="shared" si="6"/>
        <v/>
      </c>
      <c r="K116" s="54" t="str">
        <f t="shared" si="9"/>
        <v/>
      </c>
      <c r="R116" s="27">
        <f>IF(COUNTBLANK(T115)=1,(R115*'Config.'!$D$12)+R115,(T115*'Config.'!$D$12)+T115)</f>
        <v>123.13321776350689</v>
      </c>
      <c r="S116" s="28" t="str">
        <f>IF(COUNTBLANK(T116)=1,IF(R116&lt;='Config.'!$D$10,"meta","nops"),"")</f>
        <v>meta</v>
      </c>
      <c r="T116" s="32"/>
    </row>
    <row r="117" spans="1:20" ht="20.100000000000001" customHeight="1" x14ac:dyDescent="0.25">
      <c r="A117" s="22" t="s">
        <v>25</v>
      </c>
      <c r="B117" s="20">
        <v>114</v>
      </c>
      <c r="C117" s="60">
        <f>IF(COUNTBLANK(H116)=1,(C116*'Config.'!$D$12)+C116,(H116*'Config.'!$D$12)+H116)</f>
        <v>124.36454994114196</v>
      </c>
      <c r="D117" s="60">
        <f t="shared" si="7"/>
        <v>1.2313321776350676</v>
      </c>
      <c r="E117" s="59">
        <v>0.8</v>
      </c>
      <c r="F117" s="61">
        <f t="shared" si="5"/>
        <v>0.30783304440876691</v>
      </c>
      <c r="G117" s="12" t="str">
        <f>IF(COUNTBLANK(H117)=1,IF(C117&lt;='Config.'!$D$10,"meta","nops"),"")</f>
        <v>meta</v>
      </c>
      <c r="H117" s="62"/>
      <c r="I117" s="63" t="str">
        <f t="shared" si="8"/>
        <v/>
      </c>
      <c r="J117" s="63" t="str">
        <f t="shared" si="6"/>
        <v/>
      </c>
      <c r="K117" s="54" t="str">
        <f t="shared" si="9"/>
        <v/>
      </c>
      <c r="R117" s="27">
        <f>IF(COUNTBLANK(T116)=1,(R116*'Config.'!$D$12)+R116,(T116*'Config.'!$D$12)+T116)</f>
        <v>124.36454994114196</v>
      </c>
      <c r="S117" s="28" t="str">
        <f>IF(COUNTBLANK(T117)=1,IF(R117&lt;='Config.'!$D$10,"meta","nops"),"")</f>
        <v>meta</v>
      </c>
      <c r="T117" s="32"/>
    </row>
    <row r="118" spans="1:20" ht="20.100000000000001" customHeight="1" x14ac:dyDescent="0.25">
      <c r="A118" s="22" t="s">
        <v>25</v>
      </c>
      <c r="B118" s="20">
        <v>115</v>
      </c>
      <c r="C118" s="60">
        <f>IF(COUNTBLANK(H117)=1,(C117*'Config.'!$D$12)+C117,(H117*'Config.'!$D$12)+H117)</f>
        <v>125.60819544055337</v>
      </c>
      <c r="D118" s="60">
        <f t="shared" si="7"/>
        <v>1.2436454994114143</v>
      </c>
      <c r="E118" s="59">
        <v>0.8</v>
      </c>
      <c r="F118" s="61">
        <f t="shared" si="5"/>
        <v>0.31091137485285358</v>
      </c>
      <c r="G118" s="12" t="str">
        <f>IF(COUNTBLANK(H118)=1,IF(C118&lt;='Config.'!$D$10,"meta","nops"),"")</f>
        <v>meta</v>
      </c>
      <c r="H118" s="62"/>
      <c r="I118" s="63" t="str">
        <f t="shared" si="8"/>
        <v/>
      </c>
      <c r="J118" s="63" t="str">
        <f t="shared" si="6"/>
        <v/>
      </c>
      <c r="K118" s="54" t="str">
        <f t="shared" si="9"/>
        <v/>
      </c>
      <c r="R118" s="27">
        <f>IF(COUNTBLANK(T117)=1,(R117*'Config.'!$D$12)+R117,(T117*'Config.'!$D$12)+T117)</f>
        <v>125.60819544055337</v>
      </c>
      <c r="S118" s="28" t="str">
        <f>IF(COUNTBLANK(T118)=1,IF(R118&lt;='Config.'!$D$10,"meta","nops"),"")</f>
        <v>meta</v>
      </c>
      <c r="T118" s="32"/>
    </row>
    <row r="119" spans="1:20" ht="20.100000000000001" customHeight="1" x14ac:dyDescent="0.25">
      <c r="A119" s="22" t="s">
        <v>25</v>
      </c>
      <c r="B119" s="20">
        <v>116</v>
      </c>
      <c r="C119" s="60">
        <f>IF(COUNTBLANK(H118)=1,(C118*'Config.'!$D$12)+C118,(H118*'Config.'!$D$12)+H118)</f>
        <v>126.8642773949589</v>
      </c>
      <c r="D119" s="60">
        <f t="shared" si="7"/>
        <v>1.2560819544055306</v>
      </c>
      <c r="E119" s="59">
        <v>0.8</v>
      </c>
      <c r="F119" s="61">
        <f t="shared" si="5"/>
        <v>0.31402048860138265</v>
      </c>
      <c r="G119" s="12" t="str">
        <f>IF(COUNTBLANK(H119)=1,IF(C119&lt;='Config.'!$D$10,"meta","nops"),"")</f>
        <v>meta</v>
      </c>
      <c r="H119" s="62"/>
      <c r="I119" s="63" t="str">
        <f t="shared" si="8"/>
        <v/>
      </c>
      <c r="J119" s="63" t="str">
        <f t="shared" si="6"/>
        <v/>
      </c>
      <c r="K119" s="54" t="str">
        <f t="shared" si="9"/>
        <v/>
      </c>
      <c r="R119" s="27">
        <f>IF(COUNTBLANK(T118)=1,(R118*'Config.'!$D$12)+R118,(T118*'Config.'!$D$12)+T118)</f>
        <v>126.8642773949589</v>
      </c>
      <c r="S119" s="28" t="str">
        <f>IF(COUNTBLANK(T119)=1,IF(R119&lt;='Config.'!$D$10,"meta","nops"),"")</f>
        <v>meta</v>
      </c>
      <c r="T119" s="32"/>
    </row>
    <row r="120" spans="1:20" ht="20.100000000000001" customHeight="1" x14ac:dyDescent="0.25">
      <c r="A120" s="22" t="s">
        <v>25</v>
      </c>
      <c r="B120" s="20">
        <v>117</v>
      </c>
      <c r="C120" s="60">
        <f>IF(COUNTBLANK(H119)=1,(C119*'Config.'!$D$12)+C119,(H119*'Config.'!$D$12)+H119)</f>
        <v>128.1329201689085</v>
      </c>
      <c r="D120" s="60">
        <f t="shared" si="7"/>
        <v>1.268642773949594</v>
      </c>
      <c r="E120" s="59">
        <v>0.8</v>
      </c>
      <c r="F120" s="61">
        <f t="shared" si="5"/>
        <v>0.3171606934873985</v>
      </c>
      <c r="G120" s="12" t="str">
        <f>IF(COUNTBLANK(H120)=1,IF(C120&lt;='Config.'!$D$10,"meta","nops"),"")</f>
        <v>meta</v>
      </c>
      <c r="H120" s="62"/>
      <c r="I120" s="63" t="str">
        <f t="shared" si="8"/>
        <v/>
      </c>
      <c r="J120" s="63" t="str">
        <f t="shared" si="6"/>
        <v/>
      </c>
      <c r="K120" s="54" t="str">
        <f t="shared" si="9"/>
        <v/>
      </c>
      <c r="R120" s="27">
        <f>IF(COUNTBLANK(T119)=1,(R119*'Config.'!$D$12)+R119,(T119*'Config.'!$D$12)+T119)</f>
        <v>128.1329201689085</v>
      </c>
      <c r="S120" s="28" t="str">
        <f>IF(COUNTBLANK(T120)=1,IF(R120&lt;='Config.'!$D$10,"meta","nops"),"")</f>
        <v>meta</v>
      </c>
      <c r="T120" s="32"/>
    </row>
    <row r="121" spans="1:20" ht="20.100000000000001" customHeight="1" x14ac:dyDescent="0.25">
      <c r="A121" s="22" t="s">
        <v>25</v>
      </c>
      <c r="B121" s="20">
        <v>118</v>
      </c>
      <c r="C121" s="60">
        <f>IF(COUNTBLANK(H120)=1,(C120*'Config.'!$D$12)+C120,(H120*'Config.'!$D$12)+H120)</f>
        <v>129.41424937059759</v>
      </c>
      <c r="D121" s="60">
        <f t="shared" si="7"/>
        <v>1.2813292016890898</v>
      </c>
      <c r="E121" s="59">
        <v>0.8</v>
      </c>
      <c r="F121" s="61">
        <f t="shared" si="5"/>
        <v>0.32033230042227245</v>
      </c>
      <c r="G121" s="12" t="str">
        <f>IF(COUNTBLANK(H121)=1,IF(C121&lt;='Config.'!$D$10,"meta","nops"),"")</f>
        <v>meta</v>
      </c>
      <c r="H121" s="62"/>
      <c r="I121" s="63" t="str">
        <f t="shared" si="8"/>
        <v/>
      </c>
      <c r="J121" s="63" t="str">
        <f t="shared" si="6"/>
        <v/>
      </c>
      <c r="K121" s="54" t="str">
        <f t="shared" si="9"/>
        <v/>
      </c>
      <c r="R121" s="27">
        <f>IF(COUNTBLANK(T120)=1,(R120*'Config.'!$D$12)+R120,(T120*'Config.'!$D$12)+T120)</f>
        <v>129.41424937059759</v>
      </c>
      <c r="S121" s="28" t="str">
        <f>IF(COUNTBLANK(T121)=1,IF(R121&lt;='Config.'!$D$10,"meta","nops"),"")</f>
        <v>meta</v>
      </c>
      <c r="T121" s="32"/>
    </row>
    <row r="122" spans="1:20" ht="20.100000000000001" customHeight="1" x14ac:dyDescent="0.25">
      <c r="A122" s="22" t="s">
        <v>25</v>
      </c>
      <c r="B122" s="20">
        <v>119</v>
      </c>
      <c r="C122" s="60">
        <f>IF(COUNTBLANK(H121)=1,(C121*'Config.'!$D$12)+C121,(H121*'Config.'!$D$12)+H121)</f>
        <v>130.70839186430356</v>
      </c>
      <c r="D122" s="60">
        <f t="shared" si="7"/>
        <v>1.2941424937059764</v>
      </c>
      <c r="E122" s="59">
        <v>0.8</v>
      </c>
      <c r="F122" s="61">
        <f t="shared" si="5"/>
        <v>0.32353562342649411</v>
      </c>
      <c r="G122" s="12" t="str">
        <f>IF(COUNTBLANK(H122)=1,IF(C122&lt;='Config.'!$D$10,"meta","nops"),"")</f>
        <v>meta</v>
      </c>
      <c r="H122" s="62"/>
      <c r="I122" s="63" t="str">
        <f t="shared" si="8"/>
        <v/>
      </c>
      <c r="J122" s="63" t="str">
        <f t="shared" si="6"/>
        <v/>
      </c>
      <c r="K122" s="54" t="str">
        <f t="shared" si="9"/>
        <v/>
      </c>
      <c r="R122" s="27">
        <f>IF(COUNTBLANK(T121)=1,(R121*'Config.'!$D$12)+R121,(T121*'Config.'!$D$12)+T121)</f>
        <v>130.70839186430356</v>
      </c>
      <c r="S122" s="28" t="str">
        <f>IF(COUNTBLANK(T122)=1,IF(R122&lt;='Config.'!$D$10,"meta","nops"),"")</f>
        <v>meta</v>
      </c>
      <c r="T122" s="32"/>
    </row>
    <row r="123" spans="1:20" ht="20.100000000000001" customHeight="1" x14ac:dyDescent="0.25">
      <c r="A123" s="22" t="s">
        <v>25</v>
      </c>
      <c r="B123" s="20">
        <v>120</v>
      </c>
      <c r="C123" s="60">
        <f>IF(COUNTBLANK(H122)=1,(C122*'Config.'!$D$12)+C122,(H122*'Config.'!$D$12)+H122)</f>
        <v>132.0154757829466</v>
      </c>
      <c r="D123" s="60">
        <f t="shared" si="7"/>
        <v>1.3070839186430305</v>
      </c>
      <c r="E123" s="59">
        <v>0.8</v>
      </c>
      <c r="F123" s="61">
        <f t="shared" si="5"/>
        <v>0.32677097966075763</v>
      </c>
      <c r="G123" s="12" t="str">
        <f>IF(COUNTBLANK(H123)=1,IF(C123&lt;='Config.'!$D$10,"meta","nops"),"")</f>
        <v>meta</v>
      </c>
      <c r="H123" s="62"/>
      <c r="I123" s="63" t="str">
        <f t="shared" si="8"/>
        <v/>
      </c>
      <c r="J123" s="63" t="str">
        <f t="shared" si="6"/>
        <v/>
      </c>
      <c r="K123" s="54" t="str">
        <f t="shared" si="9"/>
        <v/>
      </c>
      <c r="R123" s="27">
        <f>IF(COUNTBLANK(T122)=1,(R122*'Config.'!$D$12)+R122,(T122*'Config.'!$D$12)+T122)</f>
        <v>132.0154757829466</v>
      </c>
      <c r="S123" s="28" t="str">
        <f>IF(COUNTBLANK(T123)=1,IF(R123&lt;='Config.'!$D$10,"meta","nops"),"")</f>
        <v>meta</v>
      </c>
      <c r="T123" s="32"/>
    </row>
    <row r="124" spans="1:20" ht="20.100000000000001" customHeight="1" x14ac:dyDescent="0.25">
      <c r="A124" s="22" t="s">
        <v>25</v>
      </c>
      <c r="B124" s="20">
        <v>121</v>
      </c>
      <c r="C124" s="60">
        <f>IF(COUNTBLANK(H123)=1,(C123*'Config.'!$D$12)+C123,(H123*'Config.'!$D$12)+H123)</f>
        <v>133.33563054077607</v>
      </c>
      <c r="D124" s="60">
        <f t="shared" si="7"/>
        <v>1.3201547578294708</v>
      </c>
      <c r="E124" s="59">
        <v>0.8</v>
      </c>
      <c r="F124" s="61">
        <f t="shared" si="5"/>
        <v>0.3300386894573677</v>
      </c>
      <c r="G124" s="12" t="str">
        <f>IF(COUNTBLANK(H124)=1,IF(C124&lt;='Config.'!$D$10,"meta","nops"),"")</f>
        <v>meta</v>
      </c>
      <c r="H124" s="62"/>
      <c r="I124" s="63" t="str">
        <f t="shared" si="8"/>
        <v/>
      </c>
      <c r="J124" s="63" t="str">
        <f t="shared" si="6"/>
        <v/>
      </c>
      <c r="K124" s="54" t="str">
        <f t="shared" si="9"/>
        <v/>
      </c>
      <c r="R124" s="27">
        <f>IF(COUNTBLANK(T123)=1,(R123*'Config.'!$D$12)+R123,(T123*'Config.'!$D$12)+T123)</f>
        <v>133.33563054077607</v>
      </c>
      <c r="S124" s="28" t="str">
        <f>IF(COUNTBLANK(T124)=1,IF(R124&lt;='Config.'!$D$10,"meta","nops"),"")</f>
        <v>meta</v>
      </c>
      <c r="T124" s="32"/>
    </row>
    <row r="125" spans="1:20" ht="20.100000000000001" customHeight="1" x14ac:dyDescent="0.25">
      <c r="A125" s="22" t="s">
        <v>25</v>
      </c>
      <c r="B125" s="20">
        <v>122</v>
      </c>
      <c r="C125" s="60">
        <f>IF(COUNTBLANK(H124)=1,(C124*'Config.'!$D$12)+C124,(H124*'Config.'!$D$12)+H124)</f>
        <v>134.66898684618383</v>
      </c>
      <c r="D125" s="60">
        <f t="shared" si="7"/>
        <v>1.3333563054077615</v>
      </c>
      <c r="E125" s="59">
        <v>0.8</v>
      </c>
      <c r="F125" s="61">
        <f t="shared" si="5"/>
        <v>0.33333907635194038</v>
      </c>
      <c r="G125" s="12" t="str">
        <f>IF(COUNTBLANK(H125)=1,IF(C125&lt;='Config.'!$D$10,"meta","nops"),"")</f>
        <v>meta</v>
      </c>
      <c r="H125" s="62"/>
      <c r="I125" s="63" t="str">
        <f t="shared" si="8"/>
        <v/>
      </c>
      <c r="J125" s="63" t="str">
        <f t="shared" si="6"/>
        <v/>
      </c>
      <c r="K125" s="54" t="str">
        <f t="shared" si="9"/>
        <v/>
      </c>
      <c r="R125" s="27">
        <f>IF(COUNTBLANK(T124)=1,(R124*'Config.'!$D$12)+R124,(T124*'Config.'!$D$12)+T124)</f>
        <v>134.66898684618383</v>
      </c>
      <c r="S125" s="28" t="str">
        <f>IF(COUNTBLANK(T125)=1,IF(R125&lt;='Config.'!$D$10,"meta","nops"),"")</f>
        <v>meta</v>
      </c>
      <c r="T125" s="32"/>
    </row>
    <row r="126" spans="1:20" ht="20.100000000000001" customHeight="1" x14ac:dyDescent="0.25">
      <c r="A126" s="22" t="s">
        <v>25</v>
      </c>
      <c r="B126" s="20">
        <v>123</v>
      </c>
      <c r="C126" s="60">
        <f>IF(COUNTBLANK(H125)=1,(C125*'Config.'!$D$12)+C125,(H125*'Config.'!$D$12)+H125)</f>
        <v>136.01567671464568</v>
      </c>
      <c r="D126" s="60">
        <f t="shared" si="7"/>
        <v>1.3466898684618513</v>
      </c>
      <c r="E126" s="59">
        <v>0.8</v>
      </c>
      <c r="F126" s="61">
        <f t="shared" si="5"/>
        <v>0.33667246711546284</v>
      </c>
      <c r="G126" s="12" t="str">
        <f>IF(COUNTBLANK(H126)=1,IF(C126&lt;='Config.'!$D$10,"meta","nops"),"")</f>
        <v>meta</v>
      </c>
      <c r="H126" s="62"/>
      <c r="I126" s="63" t="str">
        <f t="shared" si="8"/>
        <v/>
      </c>
      <c r="J126" s="63" t="str">
        <f t="shared" si="6"/>
        <v/>
      </c>
      <c r="K126" s="54" t="str">
        <f t="shared" si="9"/>
        <v/>
      </c>
      <c r="R126" s="27">
        <f>IF(COUNTBLANK(T125)=1,(R125*'Config.'!$D$12)+R125,(T125*'Config.'!$D$12)+T125)</f>
        <v>136.01567671464568</v>
      </c>
      <c r="S126" s="28" t="str">
        <f>IF(COUNTBLANK(T126)=1,IF(R126&lt;='Config.'!$D$10,"meta","nops"),"")</f>
        <v>meta</v>
      </c>
      <c r="T126" s="32"/>
    </row>
    <row r="127" spans="1:20" ht="20.100000000000001" customHeight="1" x14ac:dyDescent="0.25">
      <c r="A127" s="22" t="s">
        <v>25</v>
      </c>
      <c r="B127" s="20">
        <v>124</v>
      </c>
      <c r="C127" s="60">
        <f>IF(COUNTBLANK(H126)=1,(C126*'Config.'!$D$12)+C126,(H126*'Config.'!$D$12)+H126)</f>
        <v>137.37583348179214</v>
      </c>
      <c r="D127" s="60">
        <f t="shared" si="7"/>
        <v>1.3601567671464636</v>
      </c>
      <c r="E127" s="59">
        <v>0.8</v>
      </c>
      <c r="F127" s="61">
        <f t="shared" si="5"/>
        <v>0.3400391917866159</v>
      </c>
      <c r="G127" s="12" t="str">
        <f>IF(COUNTBLANK(H127)=1,IF(C127&lt;='Config.'!$D$10,"meta","nops"),"")</f>
        <v>meta</v>
      </c>
      <c r="H127" s="62"/>
      <c r="I127" s="63" t="str">
        <f t="shared" si="8"/>
        <v/>
      </c>
      <c r="J127" s="63" t="str">
        <f t="shared" si="6"/>
        <v/>
      </c>
      <c r="K127" s="54" t="str">
        <f t="shared" si="9"/>
        <v/>
      </c>
      <c r="R127" s="27">
        <f>IF(COUNTBLANK(T126)=1,(R126*'Config.'!$D$12)+R126,(T126*'Config.'!$D$12)+T126)</f>
        <v>137.37583348179214</v>
      </c>
      <c r="S127" s="28" t="str">
        <f>IF(COUNTBLANK(T127)=1,IF(R127&lt;='Config.'!$D$10,"meta","nops"),"")</f>
        <v>meta</v>
      </c>
      <c r="T127" s="32"/>
    </row>
    <row r="128" spans="1:20" ht="20.100000000000001" customHeight="1" x14ac:dyDescent="0.25">
      <c r="A128" s="22" t="s">
        <v>25</v>
      </c>
      <c r="B128" s="20">
        <v>125</v>
      </c>
      <c r="C128" s="60">
        <f>IF(COUNTBLANK(H127)=1,(C127*'Config.'!$D$12)+C127,(H127*'Config.'!$D$12)+H127)</f>
        <v>138.74959181661006</v>
      </c>
      <c r="D128" s="60">
        <f t="shared" si="7"/>
        <v>1.3737583348179214</v>
      </c>
      <c r="E128" s="59">
        <v>0.8</v>
      </c>
      <c r="F128" s="61">
        <f t="shared" si="5"/>
        <v>0.34343958370448036</v>
      </c>
      <c r="G128" s="12" t="str">
        <f>IF(COUNTBLANK(H128)=1,IF(C128&lt;='Config.'!$D$10,"meta","nops"),"")</f>
        <v>meta</v>
      </c>
      <c r="H128" s="62"/>
      <c r="I128" s="63" t="str">
        <f t="shared" si="8"/>
        <v/>
      </c>
      <c r="J128" s="63" t="str">
        <f t="shared" si="6"/>
        <v/>
      </c>
      <c r="K128" s="54" t="str">
        <f t="shared" si="9"/>
        <v/>
      </c>
      <c r="R128" s="27">
        <f>IF(COUNTBLANK(T127)=1,(R127*'Config.'!$D$12)+R127,(T127*'Config.'!$D$12)+T127)</f>
        <v>138.74959181661006</v>
      </c>
      <c r="S128" s="28" t="str">
        <f>IF(COUNTBLANK(T128)=1,IF(R128&lt;='Config.'!$D$10,"meta","nops"),"")</f>
        <v>meta</v>
      </c>
      <c r="T128" s="32"/>
    </row>
    <row r="129" spans="1:20" ht="20.100000000000001" customHeight="1" x14ac:dyDescent="0.25">
      <c r="A129" s="22" t="s">
        <v>25</v>
      </c>
      <c r="B129" s="20">
        <v>126</v>
      </c>
      <c r="C129" s="60">
        <f>IF(COUNTBLANK(H128)=1,(C128*'Config.'!$D$12)+C128,(H128*'Config.'!$D$12)+H128)</f>
        <v>140.13708773477617</v>
      </c>
      <c r="D129" s="60">
        <f t="shared" si="7"/>
        <v>1.3874959181661097</v>
      </c>
      <c r="E129" s="59">
        <v>0.8</v>
      </c>
      <c r="F129" s="61">
        <f t="shared" si="5"/>
        <v>0.34687397954152743</v>
      </c>
      <c r="G129" s="12" t="str">
        <f>IF(COUNTBLANK(H129)=1,IF(C129&lt;='Config.'!$D$10,"meta","nops"),"")</f>
        <v>meta</v>
      </c>
      <c r="H129" s="62"/>
      <c r="I129" s="63" t="str">
        <f t="shared" si="8"/>
        <v/>
      </c>
      <c r="J129" s="63" t="str">
        <f t="shared" si="6"/>
        <v/>
      </c>
      <c r="K129" s="54" t="str">
        <f t="shared" si="9"/>
        <v/>
      </c>
      <c r="R129" s="27">
        <f>IF(COUNTBLANK(T128)=1,(R128*'Config.'!$D$12)+R128,(T128*'Config.'!$D$12)+T128)</f>
        <v>140.13708773477617</v>
      </c>
      <c r="S129" s="28" t="str">
        <f>IF(COUNTBLANK(T129)=1,IF(R129&lt;='Config.'!$D$10,"meta","nops"),"")</f>
        <v>meta</v>
      </c>
      <c r="T129" s="32"/>
    </row>
    <row r="130" spans="1:20" ht="20.100000000000001" customHeight="1" x14ac:dyDescent="0.25">
      <c r="A130" s="22" t="s">
        <v>25</v>
      </c>
      <c r="B130" s="20">
        <v>127</v>
      </c>
      <c r="C130" s="60">
        <f>IF(COUNTBLANK(H129)=1,(C129*'Config.'!$D$12)+C129,(H129*'Config.'!$D$12)+H129)</f>
        <v>141.53845861212395</v>
      </c>
      <c r="D130" s="60">
        <f t="shared" si="7"/>
        <v>1.4013708773477731</v>
      </c>
      <c r="E130" s="59">
        <v>0.8</v>
      </c>
      <c r="F130" s="61">
        <f t="shared" si="5"/>
        <v>0.35034271933694328</v>
      </c>
      <c r="G130" s="12" t="str">
        <f>IF(COUNTBLANK(H130)=1,IF(C130&lt;='Config.'!$D$10,"meta","nops"),"")</f>
        <v>meta</v>
      </c>
      <c r="H130" s="62"/>
      <c r="I130" s="63" t="str">
        <f t="shared" si="8"/>
        <v/>
      </c>
      <c r="J130" s="63" t="str">
        <f t="shared" si="6"/>
        <v/>
      </c>
      <c r="K130" s="54" t="str">
        <f t="shared" si="9"/>
        <v/>
      </c>
      <c r="R130" s="27">
        <f>IF(COUNTBLANK(T129)=1,(R129*'Config.'!$D$12)+R129,(T129*'Config.'!$D$12)+T129)</f>
        <v>141.53845861212395</v>
      </c>
      <c r="S130" s="28" t="str">
        <f>IF(COUNTBLANK(T130)=1,IF(R130&lt;='Config.'!$D$10,"meta","nops"),"")</f>
        <v>meta</v>
      </c>
      <c r="T130" s="32"/>
    </row>
    <row r="131" spans="1:20" ht="20.100000000000001" customHeight="1" x14ac:dyDescent="0.25">
      <c r="A131" s="22" t="s">
        <v>25</v>
      </c>
      <c r="B131" s="20">
        <v>128</v>
      </c>
      <c r="C131" s="60">
        <f>IF(COUNTBLANK(H130)=1,(C130*'Config.'!$D$12)+C130,(H130*'Config.'!$D$12)+H130)</f>
        <v>142.95384319824518</v>
      </c>
      <c r="D131" s="60">
        <f t="shared" si="7"/>
        <v>1.4153845861212346</v>
      </c>
      <c r="E131" s="59">
        <v>0.8</v>
      </c>
      <c r="F131" s="61">
        <f t="shared" si="5"/>
        <v>0.35384614653030866</v>
      </c>
      <c r="G131" s="12" t="str">
        <f>IF(COUNTBLANK(H131)=1,IF(C131&lt;='Config.'!$D$10,"meta","nops"),"")</f>
        <v>meta</v>
      </c>
      <c r="H131" s="62"/>
      <c r="I131" s="63" t="str">
        <f t="shared" si="8"/>
        <v/>
      </c>
      <c r="J131" s="63" t="str">
        <f t="shared" si="6"/>
        <v/>
      </c>
      <c r="K131" s="54" t="str">
        <f t="shared" si="9"/>
        <v/>
      </c>
      <c r="R131" s="27">
        <f>IF(COUNTBLANK(T130)=1,(R130*'Config.'!$D$12)+R130,(T130*'Config.'!$D$12)+T130)</f>
        <v>142.95384319824518</v>
      </c>
      <c r="S131" s="28" t="str">
        <f>IF(COUNTBLANK(T131)=1,IF(R131&lt;='Config.'!$D$10,"meta","nops"),"")</f>
        <v>meta</v>
      </c>
      <c r="T131" s="32"/>
    </row>
    <row r="132" spans="1:20" ht="20.100000000000001" customHeight="1" x14ac:dyDescent="0.25">
      <c r="A132" s="22" t="s">
        <v>25</v>
      </c>
      <c r="B132" s="20">
        <v>129</v>
      </c>
      <c r="C132" s="60">
        <f>IF(COUNTBLANK(H131)=1,(C131*'Config.'!$D$12)+C131,(H131*'Config.'!$D$12)+H131)</f>
        <v>144.38338163022763</v>
      </c>
      <c r="D132" s="60">
        <f t="shared" si="7"/>
        <v>1.4295384319824507</v>
      </c>
      <c r="E132" s="59">
        <v>0.8</v>
      </c>
      <c r="F132" s="61">
        <f t="shared" ref="F132:F195" si="10">IF(COUNTBLANK(E132)=0,(D132/E132)/$E$3,"-")</f>
        <v>0.35738460799561267</v>
      </c>
      <c r="G132" s="12" t="str">
        <f>IF(COUNTBLANK(H132)=1,IF(C132&lt;='Config.'!$D$10,"meta","nops"),"")</f>
        <v>meta</v>
      </c>
      <c r="H132" s="62"/>
      <c r="I132" s="63" t="str">
        <f t="shared" si="8"/>
        <v/>
      </c>
      <c r="J132" s="63" t="str">
        <f t="shared" ref="J132:J195" si="11">IF(I132="","",I132-D132)</f>
        <v/>
      </c>
      <c r="K132" s="54" t="str">
        <f t="shared" si="9"/>
        <v/>
      </c>
      <c r="R132" s="27">
        <f>IF(COUNTBLANK(T131)=1,(R131*'Config.'!$D$12)+R131,(T131*'Config.'!$D$12)+T131)</f>
        <v>144.38338163022763</v>
      </c>
      <c r="S132" s="28" t="str">
        <f>IF(COUNTBLANK(T132)=1,IF(R132&lt;='Config.'!$D$10,"meta","nops"),"")</f>
        <v>meta</v>
      </c>
      <c r="T132" s="32"/>
    </row>
    <row r="133" spans="1:20" ht="20.100000000000001" customHeight="1" x14ac:dyDescent="0.25">
      <c r="A133" s="22" t="s">
        <v>25</v>
      </c>
      <c r="B133" s="20">
        <v>130</v>
      </c>
      <c r="C133" s="60">
        <f>IF(COUNTBLANK(H132)=1,(C132*'Config.'!$D$12)+C132,(H132*'Config.'!$D$12)+H132)</f>
        <v>145.82721544652992</v>
      </c>
      <c r="D133" s="60">
        <f t="shared" ref="D133:D196" si="12">IF(COUNTBLANK(H132)=1,C133-C132,C133-H132)</f>
        <v>1.4438338163022877</v>
      </c>
      <c r="E133" s="59">
        <v>0.8</v>
      </c>
      <c r="F133" s="61">
        <f t="shared" si="10"/>
        <v>0.36095845407557192</v>
      </c>
      <c r="G133" s="12" t="str">
        <f>IF(COUNTBLANK(H133)=1,IF(C133&lt;='Config.'!$D$10,"meta","nops"),"")</f>
        <v>meta</v>
      </c>
      <c r="H133" s="62"/>
      <c r="I133" s="63" t="str">
        <f t="shared" ref="I133:I196" si="13">IF(COUNTBLANK(H133)=1,"",H133-H132)</f>
        <v/>
      </c>
      <c r="J133" s="63" t="str">
        <f t="shared" si="11"/>
        <v/>
      </c>
      <c r="K133" s="54" t="str">
        <f t="shared" ref="K133:K196" si="14">IF(COUNTBLANK(H133)=1,"",(H133-H132)/H132)</f>
        <v/>
      </c>
      <c r="R133" s="27">
        <f>IF(COUNTBLANK(T132)=1,(R132*'Config.'!$D$12)+R132,(T132*'Config.'!$D$12)+T132)</f>
        <v>145.82721544652992</v>
      </c>
      <c r="S133" s="28" t="str">
        <f>IF(COUNTBLANK(T133)=1,IF(R133&lt;='Config.'!$D$10,"meta","nops"),"")</f>
        <v>meta</v>
      </c>
      <c r="T133" s="32"/>
    </row>
    <row r="134" spans="1:20" ht="20.100000000000001" customHeight="1" x14ac:dyDescent="0.25">
      <c r="A134" s="22" t="s">
        <v>25</v>
      </c>
      <c r="B134" s="20">
        <v>131</v>
      </c>
      <c r="C134" s="60">
        <f>IF(COUNTBLANK(H133)=1,(C133*'Config.'!$D$12)+C133,(H133*'Config.'!$D$12)+H133)</f>
        <v>147.28548760099522</v>
      </c>
      <c r="D134" s="60">
        <f t="shared" si="12"/>
        <v>1.4582721544653054</v>
      </c>
      <c r="E134" s="59">
        <v>0.8</v>
      </c>
      <c r="F134" s="61">
        <f t="shared" si="10"/>
        <v>0.36456803861632636</v>
      </c>
      <c r="G134" s="12" t="str">
        <f>IF(COUNTBLANK(H134)=1,IF(C134&lt;='Config.'!$D$10,"meta","nops"),"")</f>
        <v>meta</v>
      </c>
      <c r="H134" s="62"/>
      <c r="I134" s="63" t="str">
        <f t="shared" si="13"/>
        <v/>
      </c>
      <c r="J134" s="63" t="str">
        <f t="shared" si="11"/>
        <v/>
      </c>
      <c r="K134" s="54" t="str">
        <f t="shared" si="14"/>
        <v/>
      </c>
      <c r="R134" s="27">
        <f>IF(COUNTBLANK(T133)=1,(R133*'Config.'!$D$12)+R133,(T133*'Config.'!$D$12)+T133)</f>
        <v>147.28548760099522</v>
      </c>
      <c r="S134" s="28" t="str">
        <f>IF(COUNTBLANK(T134)=1,IF(R134&lt;='Config.'!$D$10,"meta","nops"),"")</f>
        <v>meta</v>
      </c>
      <c r="T134" s="32"/>
    </row>
    <row r="135" spans="1:20" ht="20.100000000000001" customHeight="1" x14ac:dyDescent="0.25">
      <c r="A135" s="22" t="s">
        <v>25</v>
      </c>
      <c r="B135" s="20">
        <v>132</v>
      </c>
      <c r="C135" s="60">
        <f>IF(COUNTBLANK(H134)=1,(C134*'Config.'!$D$12)+C134,(H134*'Config.'!$D$12)+H134)</f>
        <v>148.75834247700519</v>
      </c>
      <c r="D135" s="60">
        <f t="shared" si="12"/>
        <v>1.4728548760099613</v>
      </c>
      <c r="E135" s="59">
        <v>0.8</v>
      </c>
      <c r="F135" s="61">
        <f t="shared" si="10"/>
        <v>0.36821371900249034</v>
      </c>
      <c r="G135" s="12" t="str">
        <f>IF(COUNTBLANK(H135)=1,IF(C135&lt;='Config.'!$D$10,"meta","nops"),"")</f>
        <v>meta</v>
      </c>
      <c r="H135" s="62"/>
      <c r="I135" s="63" t="str">
        <f t="shared" si="13"/>
        <v/>
      </c>
      <c r="J135" s="63" t="str">
        <f t="shared" si="11"/>
        <v/>
      </c>
      <c r="K135" s="54" t="str">
        <f t="shared" si="14"/>
        <v/>
      </c>
      <c r="R135" s="27">
        <f>IF(COUNTBLANK(T134)=1,(R134*'Config.'!$D$12)+R134,(T134*'Config.'!$D$12)+T134)</f>
        <v>148.75834247700519</v>
      </c>
      <c r="S135" s="28" t="str">
        <f>IF(COUNTBLANK(T135)=1,IF(R135&lt;='Config.'!$D$10,"meta","nops"),"")</f>
        <v>meta</v>
      </c>
      <c r="T135" s="32"/>
    </row>
    <row r="136" spans="1:20" ht="20.100000000000001" customHeight="1" x14ac:dyDescent="0.25">
      <c r="A136" s="22" t="s">
        <v>25</v>
      </c>
      <c r="B136" s="20">
        <v>133</v>
      </c>
      <c r="C136" s="60">
        <f>IF(COUNTBLANK(H135)=1,(C135*'Config.'!$D$12)+C135,(H135*'Config.'!$D$12)+H135)</f>
        <v>150.24592590177525</v>
      </c>
      <c r="D136" s="60">
        <f t="shared" si="12"/>
        <v>1.4875834247700652</v>
      </c>
      <c r="E136" s="59">
        <v>0.8</v>
      </c>
      <c r="F136" s="61">
        <f t="shared" si="10"/>
        <v>0.37189585619251631</v>
      </c>
      <c r="G136" s="12" t="str">
        <f>IF(COUNTBLANK(H136)=1,IF(C136&lt;='Config.'!$D$10,"meta","nops"),"")</f>
        <v>meta</v>
      </c>
      <c r="H136" s="62"/>
      <c r="I136" s="63" t="str">
        <f t="shared" si="13"/>
        <v/>
      </c>
      <c r="J136" s="63" t="str">
        <f t="shared" si="11"/>
        <v/>
      </c>
      <c r="K136" s="54" t="str">
        <f t="shared" si="14"/>
        <v/>
      </c>
      <c r="R136" s="27">
        <f>IF(COUNTBLANK(T135)=1,(R135*'Config.'!$D$12)+R135,(T135*'Config.'!$D$12)+T135)</f>
        <v>150.24592590177525</v>
      </c>
      <c r="S136" s="28" t="str">
        <f>IF(COUNTBLANK(T136)=1,IF(R136&lt;='Config.'!$D$10,"meta","nops"),"")</f>
        <v>meta</v>
      </c>
      <c r="T136" s="32"/>
    </row>
    <row r="137" spans="1:20" ht="20.100000000000001" customHeight="1" x14ac:dyDescent="0.25">
      <c r="A137" s="22" t="s">
        <v>25</v>
      </c>
      <c r="B137" s="20">
        <v>134</v>
      </c>
      <c r="C137" s="60">
        <f>IF(COUNTBLANK(H136)=1,(C136*'Config.'!$D$12)+C136,(H136*'Config.'!$D$12)+H136)</f>
        <v>151.74838516079299</v>
      </c>
      <c r="D137" s="60">
        <f t="shared" si="12"/>
        <v>1.5024592590177406</v>
      </c>
      <c r="E137" s="59">
        <v>0.8</v>
      </c>
      <c r="F137" s="61">
        <f t="shared" si="10"/>
        <v>0.37561481475443514</v>
      </c>
      <c r="G137" s="12" t="str">
        <f>IF(COUNTBLANK(H137)=1,IF(C137&lt;='Config.'!$D$10,"meta","nops"),"")</f>
        <v>meta</v>
      </c>
      <c r="H137" s="62"/>
      <c r="I137" s="63" t="str">
        <f t="shared" si="13"/>
        <v/>
      </c>
      <c r="J137" s="63" t="str">
        <f t="shared" si="11"/>
        <v/>
      </c>
      <c r="K137" s="54" t="str">
        <f t="shared" si="14"/>
        <v/>
      </c>
      <c r="R137" s="27">
        <f>IF(COUNTBLANK(T136)=1,(R136*'Config.'!$D$12)+R136,(T136*'Config.'!$D$12)+T136)</f>
        <v>151.74838516079299</v>
      </c>
      <c r="S137" s="28" t="str">
        <f>IF(COUNTBLANK(T137)=1,IF(R137&lt;='Config.'!$D$10,"meta","nops"),"")</f>
        <v>meta</v>
      </c>
      <c r="T137" s="32"/>
    </row>
    <row r="138" spans="1:20" ht="20.100000000000001" customHeight="1" x14ac:dyDescent="0.25">
      <c r="A138" s="22" t="s">
        <v>25</v>
      </c>
      <c r="B138" s="20">
        <v>135</v>
      </c>
      <c r="C138" s="60">
        <f>IF(COUNTBLANK(H137)=1,(C137*'Config.'!$D$12)+C137,(H137*'Config.'!$D$12)+H137)</f>
        <v>153.26586901240091</v>
      </c>
      <c r="D138" s="60">
        <f t="shared" si="12"/>
        <v>1.5174838516079205</v>
      </c>
      <c r="E138" s="59">
        <v>0.8</v>
      </c>
      <c r="F138" s="61">
        <f t="shared" si="10"/>
        <v>0.37937096290198014</v>
      </c>
      <c r="G138" s="12" t="str">
        <f>IF(COUNTBLANK(H138)=1,IF(C138&lt;='Config.'!$D$10,"meta","nops"),"")</f>
        <v>meta</v>
      </c>
      <c r="H138" s="62"/>
      <c r="I138" s="63" t="str">
        <f t="shared" si="13"/>
        <v/>
      </c>
      <c r="J138" s="63" t="str">
        <f t="shared" si="11"/>
        <v/>
      </c>
      <c r="K138" s="54" t="str">
        <f t="shared" si="14"/>
        <v/>
      </c>
      <c r="R138" s="27">
        <f>IF(COUNTBLANK(T137)=1,(R137*'Config.'!$D$12)+R137,(T137*'Config.'!$D$12)+T137)</f>
        <v>153.26586901240091</v>
      </c>
      <c r="S138" s="28" t="str">
        <f>IF(COUNTBLANK(T138)=1,IF(R138&lt;='Config.'!$D$10,"meta","nops"),"")</f>
        <v>meta</v>
      </c>
      <c r="T138" s="32"/>
    </row>
    <row r="139" spans="1:20" ht="20.100000000000001" customHeight="1" x14ac:dyDescent="0.25">
      <c r="A139" s="22" t="s">
        <v>25</v>
      </c>
      <c r="B139" s="20">
        <v>136</v>
      </c>
      <c r="C139" s="60">
        <f>IF(COUNTBLANK(H138)=1,(C138*'Config.'!$D$12)+C138,(H138*'Config.'!$D$12)+H138)</f>
        <v>154.79852770252492</v>
      </c>
      <c r="D139" s="60">
        <f t="shared" si="12"/>
        <v>1.5326586901240091</v>
      </c>
      <c r="E139" s="59">
        <v>0.8</v>
      </c>
      <c r="F139" s="61">
        <f t="shared" si="10"/>
        <v>0.38316467253100228</v>
      </c>
      <c r="G139" s="12" t="str">
        <f>IF(COUNTBLANK(H139)=1,IF(C139&lt;='Config.'!$D$10,"meta","nops"),"")</f>
        <v>meta</v>
      </c>
      <c r="H139" s="62"/>
      <c r="I139" s="63" t="str">
        <f t="shared" si="13"/>
        <v/>
      </c>
      <c r="J139" s="63" t="str">
        <f t="shared" si="11"/>
        <v/>
      </c>
      <c r="K139" s="54" t="str">
        <f t="shared" si="14"/>
        <v/>
      </c>
      <c r="R139" s="27">
        <f>IF(COUNTBLANK(T138)=1,(R138*'Config.'!$D$12)+R138,(T138*'Config.'!$D$12)+T138)</f>
        <v>154.79852770252492</v>
      </c>
      <c r="S139" s="28" t="str">
        <f>IF(COUNTBLANK(T139)=1,IF(R139&lt;='Config.'!$D$10,"meta","nops"),"")</f>
        <v>meta</v>
      </c>
      <c r="T139" s="32"/>
    </row>
    <row r="140" spans="1:20" ht="20.100000000000001" customHeight="1" x14ac:dyDescent="0.25">
      <c r="A140" s="22" t="s">
        <v>25</v>
      </c>
      <c r="B140" s="20">
        <v>137</v>
      </c>
      <c r="C140" s="60">
        <f>IF(COUNTBLANK(H139)=1,(C139*'Config.'!$D$12)+C139,(H139*'Config.'!$D$12)+H139)</f>
        <v>156.34651297955017</v>
      </c>
      <c r="D140" s="60">
        <f t="shared" si="12"/>
        <v>1.5479852770252478</v>
      </c>
      <c r="E140" s="59">
        <v>0.8</v>
      </c>
      <c r="F140" s="61">
        <f t="shared" si="10"/>
        <v>0.38699631925631195</v>
      </c>
      <c r="G140" s="12" t="str">
        <f>IF(COUNTBLANK(H140)=1,IF(C140&lt;='Config.'!$D$10,"meta","nops"),"")</f>
        <v>meta</v>
      </c>
      <c r="H140" s="62"/>
      <c r="I140" s="63" t="str">
        <f t="shared" si="13"/>
        <v/>
      </c>
      <c r="J140" s="63" t="str">
        <f t="shared" si="11"/>
        <v/>
      </c>
      <c r="K140" s="54" t="str">
        <f t="shared" si="14"/>
        <v/>
      </c>
      <c r="R140" s="27">
        <f>IF(COUNTBLANK(T139)=1,(R139*'Config.'!$D$12)+R139,(T139*'Config.'!$D$12)+T139)</f>
        <v>156.34651297955017</v>
      </c>
      <c r="S140" s="28" t="str">
        <f>IF(COUNTBLANK(T140)=1,IF(R140&lt;='Config.'!$D$10,"meta","nops"),"")</f>
        <v>meta</v>
      </c>
      <c r="T140" s="32"/>
    </row>
    <row r="141" spans="1:20" ht="20.100000000000001" customHeight="1" x14ac:dyDescent="0.25">
      <c r="A141" s="22" t="s">
        <v>25</v>
      </c>
      <c r="B141" s="20">
        <v>138</v>
      </c>
      <c r="C141" s="60">
        <f>IF(COUNTBLANK(H140)=1,(C140*'Config.'!$D$12)+C140,(H140*'Config.'!$D$12)+H140)</f>
        <v>157.90997810934567</v>
      </c>
      <c r="D141" s="60">
        <f t="shared" si="12"/>
        <v>1.5634651297955031</v>
      </c>
      <c r="E141" s="59">
        <v>0.8</v>
      </c>
      <c r="F141" s="61">
        <f t="shared" si="10"/>
        <v>0.39086628244887578</v>
      </c>
      <c r="G141" s="12" t="str">
        <f>IF(COUNTBLANK(H141)=1,IF(C141&lt;='Config.'!$D$10,"meta","nops"),"")</f>
        <v>meta</v>
      </c>
      <c r="H141" s="62"/>
      <c r="I141" s="63" t="str">
        <f t="shared" si="13"/>
        <v/>
      </c>
      <c r="J141" s="63" t="str">
        <f t="shared" si="11"/>
        <v/>
      </c>
      <c r="K141" s="54" t="str">
        <f t="shared" si="14"/>
        <v/>
      </c>
      <c r="R141" s="27">
        <f>IF(COUNTBLANK(T140)=1,(R140*'Config.'!$D$12)+R140,(T140*'Config.'!$D$12)+T140)</f>
        <v>157.90997810934567</v>
      </c>
      <c r="S141" s="28" t="str">
        <f>IF(COUNTBLANK(T141)=1,IF(R141&lt;='Config.'!$D$10,"meta","nops"),"")</f>
        <v>meta</v>
      </c>
      <c r="T141" s="32"/>
    </row>
    <row r="142" spans="1:20" ht="20.100000000000001" customHeight="1" x14ac:dyDescent="0.25">
      <c r="A142" s="22" t="s">
        <v>25</v>
      </c>
      <c r="B142" s="20">
        <v>139</v>
      </c>
      <c r="C142" s="60">
        <f>IF(COUNTBLANK(H141)=1,(C141*'Config.'!$D$12)+C141,(H141*'Config.'!$D$12)+H141)</f>
        <v>159.48907789043912</v>
      </c>
      <c r="D142" s="60">
        <f t="shared" si="12"/>
        <v>1.5790997810934471</v>
      </c>
      <c r="E142" s="59">
        <v>0.8</v>
      </c>
      <c r="F142" s="61">
        <f t="shared" si="10"/>
        <v>0.39477494527336177</v>
      </c>
      <c r="G142" s="12" t="str">
        <f>IF(COUNTBLANK(H142)=1,IF(C142&lt;='Config.'!$D$10,"meta","nops"),"")</f>
        <v>meta</v>
      </c>
      <c r="H142" s="62"/>
      <c r="I142" s="63" t="str">
        <f t="shared" si="13"/>
        <v/>
      </c>
      <c r="J142" s="63" t="str">
        <f t="shared" si="11"/>
        <v/>
      </c>
      <c r="K142" s="54" t="str">
        <f t="shared" si="14"/>
        <v/>
      </c>
      <c r="R142" s="27">
        <f>IF(COUNTBLANK(T141)=1,(R141*'Config.'!$D$12)+R141,(T141*'Config.'!$D$12)+T141)</f>
        <v>159.48907789043912</v>
      </c>
      <c r="S142" s="28" t="str">
        <f>IF(COUNTBLANK(T142)=1,IF(R142&lt;='Config.'!$D$10,"meta","nops"),"")</f>
        <v>meta</v>
      </c>
      <c r="T142" s="32"/>
    </row>
    <row r="143" spans="1:20" ht="20.100000000000001" customHeight="1" x14ac:dyDescent="0.25">
      <c r="A143" s="22" t="s">
        <v>25</v>
      </c>
      <c r="B143" s="20">
        <v>140</v>
      </c>
      <c r="C143" s="60">
        <f>IF(COUNTBLANK(H142)=1,(C142*'Config.'!$D$12)+C142,(H142*'Config.'!$D$12)+H142)</f>
        <v>161.08396866934351</v>
      </c>
      <c r="D143" s="60">
        <f t="shared" si="12"/>
        <v>1.5948907789043858</v>
      </c>
      <c r="E143" s="59">
        <v>0.8</v>
      </c>
      <c r="F143" s="61">
        <f t="shared" si="10"/>
        <v>0.39872269472609645</v>
      </c>
      <c r="G143" s="12" t="str">
        <f>IF(COUNTBLANK(H143)=1,IF(C143&lt;='Config.'!$D$10,"meta","nops"),"")</f>
        <v>meta</v>
      </c>
      <c r="H143" s="62"/>
      <c r="I143" s="63" t="str">
        <f t="shared" si="13"/>
        <v/>
      </c>
      <c r="J143" s="63" t="str">
        <f t="shared" si="11"/>
        <v/>
      </c>
      <c r="K143" s="54" t="str">
        <f t="shared" si="14"/>
        <v/>
      </c>
      <c r="R143" s="27">
        <f>IF(COUNTBLANK(T142)=1,(R142*'Config.'!$D$12)+R142,(T142*'Config.'!$D$12)+T142)</f>
        <v>161.08396866934351</v>
      </c>
      <c r="S143" s="28" t="str">
        <f>IF(COUNTBLANK(T143)=1,IF(R143&lt;='Config.'!$D$10,"meta","nops"),"")</f>
        <v>meta</v>
      </c>
      <c r="T143" s="32"/>
    </row>
    <row r="144" spans="1:20" ht="20.100000000000001" customHeight="1" x14ac:dyDescent="0.25">
      <c r="A144" s="22" t="s">
        <v>25</v>
      </c>
      <c r="B144" s="20">
        <v>141</v>
      </c>
      <c r="C144" s="60">
        <f>IF(COUNTBLANK(H143)=1,(C143*'Config.'!$D$12)+C143,(H143*'Config.'!$D$12)+H143)</f>
        <v>162.69480835603693</v>
      </c>
      <c r="D144" s="60">
        <f t="shared" si="12"/>
        <v>1.6108396866934243</v>
      </c>
      <c r="E144" s="59">
        <v>0.8</v>
      </c>
      <c r="F144" s="61">
        <f t="shared" si="10"/>
        <v>0.40270992167335606</v>
      </c>
      <c r="G144" s="12" t="str">
        <f>IF(COUNTBLANK(H144)=1,IF(C144&lt;='Config.'!$D$10,"meta","nops"),"")</f>
        <v>meta</v>
      </c>
      <c r="H144" s="62"/>
      <c r="I144" s="63" t="str">
        <f t="shared" si="13"/>
        <v/>
      </c>
      <c r="J144" s="63" t="str">
        <f t="shared" si="11"/>
        <v/>
      </c>
      <c r="K144" s="54" t="str">
        <f t="shared" si="14"/>
        <v/>
      </c>
      <c r="R144" s="27">
        <f>IF(COUNTBLANK(T143)=1,(R143*'Config.'!$D$12)+R143,(T143*'Config.'!$D$12)+T143)</f>
        <v>162.69480835603693</v>
      </c>
      <c r="S144" s="28" t="str">
        <f>IF(COUNTBLANK(T144)=1,IF(R144&lt;='Config.'!$D$10,"meta","nops"),"")</f>
        <v>meta</v>
      </c>
      <c r="T144" s="32"/>
    </row>
    <row r="145" spans="1:20" ht="20.100000000000001" customHeight="1" x14ac:dyDescent="0.25">
      <c r="A145" s="22" t="s">
        <v>25</v>
      </c>
      <c r="B145" s="20">
        <v>142</v>
      </c>
      <c r="C145" s="60">
        <f>IF(COUNTBLANK(H144)=1,(C144*'Config.'!$D$12)+C144,(H144*'Config.'!$D$12)+H144)</f>
        <v>164.32175643959729</v>
      </c>
      <c r="D145" s="60">
        <f t="shared" si="12"/>
        <v>1.6269480835603645</v>
      </c>
      <c r="E145" s="59">
        <v>0.8</v>
      </c>
      <c r="F145" s="61">
        <f t="shared" si="10"/>
        <v>0.40673702089009112</v>
      </c>
      <c r="G145" s="12" t="str">
        <f>IF(COUNTBLANK(H145)=1,IF(C145&lt;='Config.'!$D$10,"meta","nops"),"")</f>
        <v>meta</v>
      </c>
      <c r="H145" s="62"/>
      <c r="I145" s="63" t="str">
        <f t="shared" si="13"/>
        <v/>
      </c>
      <c r="J145" s="63" t="str">
        <f t="shared" si="11"/>
        <v/>
      </c>
      <c r="K145" s="54" t="str">
        <f t="shared" si="14"/>
        <v/>
      </c>
      <c r="R145" s="27">
        <f>IF(COUNTBLANK(T144)=1,(R144*'Config.'!$D$12)+R144,(T144*'Config.'!$D$12)+T144)</f>
        <v>164.32175643959729</v>
      </c>
      <c r="S145" s="28" t="str">
        <f>IF(COUNTBLANK(T145)=1,IF(R145&lt;='Config.'!$D$10,"meta","nops"),"")</f>
        <v>meta</v>
      </c>
      <c r="T145" s="32"/>
    </row>
    <row r="146" spans="1:20" ht="20.100000000000001" customHeight="1" x14ac:dyDescent="0.25">
      <c r="A146" s="22" t="s">
        <v>25</v>
      </c>
      <c r="B146" s="20">
        <v>143</v>
      </c>
      <c r="C146" s="60">
        <f>IF(COUNTBLANK(H145)=1,(C145*'Config.'!$D$12)+C145,(H145*'Config.'!$D$12)+H145)</f>
        <v>165.96497400399326</v>
      </c>
      <c r="D146" s="60">
        <f t="shared" si="12"/>
        <v>1.6432175643959681</v>
      </c>
      <c r="E146" s="59">
        <v>0.8</v>
      </c>
      <c r="F146" s="61">
        <f t="shared" si="10"/>
        <v>0.41080439109899203</v>
      </c>
      <c r="G146" s="12" t="str">
        <f>IF(COUNTBLANK(H146)=1,IF(C146&lt;='Config.'!$D$10,"meta","nops"),"")</f>
        <v>meta</v>
      </c>
      <c r="H146" s="62"/>
      <c r="I146" s="63" t="str">
        <f t="shared" si="13"/>
        <v/>
      </c>
      <c r="J146" s="63" t="str">
        <f t="shared" si="11"/>
        <v/>
      </c>
      <c r="K146" s="54" t="str">
        <f t="shared" si="14"/>
        <v/>
      </c>
      <c r="R146" s="27">
        <f>IF(COUNTBLANK(T145)=1,(R145*'Config.'!$D$12)+R145,(T145*'Config.'!$D$12)+T145)</f>
        <v>165.96497400399326</v>
      </c>
      <c r="S146" s="28" t="str">
        <f>IF(COUNTBLANK(T146)=1,IF(R146&lt;='Config.'!$D$10,"meta","nops"),"")</f>
        <v>meta</v>
      </c>
      <c r="T146" s="32"/>
    </row>
    <row r="147" spans="1:20" ht="20.100000000000001" customHeight="1" x14ac:dyDescent="0.25">
      <c r="A147" s="22" t="s">
        <v>25</v>
      </c>
      <c r="B147" s="20">
        <v>144</v>
      </c>
      <c r="C147" s="60">
        <f>IF(COUNTBLANK(H146)=1,(C146*'Config.'!$D$12)+C146,(H146*'Config.'!$D$12)+H146)</f>
        <v>167.62462374403319</v>
      </c>
      <c r="D147" s="60">
        <f t="shared" si="12"/>
        <v>1.6596497400399244</v>
      </c>
      <c r="E147" s="59">
        <v>0.8</v>
      </c>
      <c r="F147" s="61">
        <f t="shared" si="10"/>
        <v>0.4149124350099811</v>
      </c>
      <c r="G147" s="12" t="str">
        <f>IF(COUNTBLANK(H147)=1,IF(C147&lt;='Config.'!$D$10,"meta","nops"),"")</f>
        <v>meta</v>
      </c>
      <c r="H147" s="62"/>
      <c r="I147" s="63" t="str">
        <f t="shared" si="13"/>
        <v/>
      </c>
      <c r="J147" s="63" t="str">
        <f t="shared" si="11"/>
        <v/>
      </c>
      <c r="K147" s="54" t="str">
        <f t="shared" si="14"/>
        <v/>
      </c>
      <c r="R147" s="27">
        <f>IF(COUNTBLANK(T146)=1,(R146*'Config.'!$D$12)+R146,(T146*'Config.'!$D$12)+T146)</f>
        <v>167.62462374403319</v>
      </c>
      <c r="S147" s="28" t="str">
        <f>IF(COUNTBLANK(T147)=1,IF(R147&lt;='Config.'!$D$10,"meta","nops"),"")</f>
        <v>meta</v>
      </c>
      <c r="T147" s="32"/>
    </row>
    <row r="148" spans="1:20" ht="20.100000000000001" customHeight="1" x14ac:dyDescent="0.25">
      <c r="A148" s="22" t="s">
        <v>25</v>
      </c>
      <c r="B148" s="20">
        <v>145</v>
      </c>
      <c r="C148" s="60">
        <f>IF(COUNTBLANK(H147)=1,(C147*'Config.'!$D$12)+C147,(H147*'Config.'!$D$12)+H147)</f>
        <v>169.30086998147351</v>
      </c>
      <c r="D148" s="60">
        <f t="shared" si="12"/>
        <v>1.6762462374403242</v>
      </c>
      <c r="E148" s="59">
        <v>0.8</v>
      </c>
      <c r="F148" s="61">
        <f t="shared" si="10"/>
        <v>0.41906155936008105</v>
      </c>
      <c r="G148" s="12" t="str">
        <f>IF(COUNTBLANK(H148)=1,IF(C148&lt;='Config.'!$D$10,"meta","nops"),"")</f>
        <v>meta</v>
      </c>
      <c r="H148" s="62"/>
      <c r="I148" s="63" t="str">
        <f t="shared" si="13"/>
        <v/>
      </c>
      <c r="J148" s="63" t="str">
        <f t="shared" si="11"/>
        <v/>
      </c>
      <c r="K148" s="54" t="str">
        <f t="shared" si="14"/>
        <v/>
      </c>
      <c r="R148" s="27">
        <f>IF(COUNTBLANK(T147)=1,(R147*'Config.'!$D$12)+R147,(T147*'Config.'!$D$12)+T147)</f>
        <v>169.30086998147351</v>
      </c>
      <c r="S148" s="28" t="str">
        <f>IF(COUNTBLANK(T148)=1,IF(R148&lt;='Config.'!$D$10,"meta","nops"),"")</f>
        <v>meta</v>
      </c>
      <c r="T148" s="32"/>
    </row>
    <row r="149" spans="1:20" ht="20.100000000000001" customHeight="1" x14ac:dyDescent="0.25">
      <c r="A149" s="22" t="s">
        <v>25</v>
      </c>
      <c r="B149" s="20">
        <v>146</v>
      </c>
      <c r="C149" s="60">
        <f>IF(COUNTBLANK(H148)=1,(C148*'Config.'!$D$12)+C148,(H148*'Config.'!$D$12)+H148)</f>
        <v>170.99387868128824</v>
      </c>
      <c r="D149" s="60">
        <f t="shared" si="12"/>
        <v>1.693008699814726</v>
      </c>
      <c r="E149" s="59">
        <v>0.8</v>
      </c>
      <c r="F149" s="61">
        <f t="shared" si="10"/>
        <v>0.4232521749536815</v>
      </c>
      <c r="G149" s="12" t="str">
        <f>IF(COUNTBLANK(H149)=1,IF(C149&lt;='Config.'!$D$10,"meta","nops"),"")</f>
        <v>meta</v>
      </c>
      <c r="H149" s="62"/>
      <c r="I149" s="63" t="str">
        <f t="shared" si="13"/>
        <v/>
      </c>
      <c r="J149" s="63" t="str">
        <f t="shared" si="11"/>
        <v/>
      </c>
      <c r="K149" s="54" t="str">
        <f t="shared" si="14"/>
        <v/>
      </c>
      <c r="R149" s="27">
        <f>IF(COUNTBLANK(T148)=1,(R148*'Config.'!$D$12)+R148,(T148*'Config.'!$D$12)+T148)</f>
        <v>170.99387868128824</v>
      </c>
      <c r="S149" s="28" t="str">
        <f>IF(COUNTBLANK(T149)=1,IF(R149&lt;='Config.'!$D$10,"meta","nops"),"")</f>
        <v>meta</v>
      </c>
      <c r="T149" s="32"/>
    </row>
    <row r="150" spans="1:20" ht="20.100000000000001" customHeight="1" x14ac:dyDescent="0.25">
      <c r="A150" s="22" t="s">
        <v>25</v>
      </c>
      <c r="B150" s="20">
        <v>147</v>
      </c>
      <c r="C150" s="60">
        <f>IF(COUNTBLANK(H149)=1,(C149*'Config.'!$D$12)+C149,(H149*'Config.'!$D$12)+H149)</f>
        <v>172.70381746810111</v>
      </c>
      <c r="D150" s="60">
        <f t="shared" si="12"/>
        <v>1.7099387868128701</v>
      </c>
      <c r="E150" s="59">
        <v>0.8</v>
      </c>
      <c r="F150" s="61">
        <f t="shared" si="10"/>
        <v>0.42748469670321754</v>
      </c>
      <c r="G150" s="12" t="str">
        <f>IF(COUNTBLANK(H150)=1,IF(C150&lt;='Config.'!$D$10,"meta","nops"),"")</f>
        <v>meta</v>
      </c>
      <c r="H150" s="62"/>
      <c r="I150" s="63" t="str">
        <f t="shared" si="13"/>
        <v/>
      </c>
      <c r="J150" s="63" t="str">
        <f t="shared" si="11"/>
        <v/>
      </c>
      <c r="K150" s="54" t="str">
        <f t="shared" si="14"/>
        <v/>
      </c>
      <c r="R150" s="27">
        <f>IF(COUNTBLANK(T149)=1,(R149*'Config.'!$D$12)+R149,(T149*'Config.'!$D$12)+T149)</f>
        <v>172.70381746810111</v>
      </c>
      <c r="S150" s="28" t="str">
        <f>IF(COUNTBLANK(T150)=1,IF(R150&lt;='Config.'!$D$10,"meta","nops"),"")</f>
        <v>meta</v>
      </c>
      <c r="T150" s="32"/>
    </row>
    <row r="151" spans="1:20" ht="20.100000000000001" customHeight="1" x14ac:dyDescent="0.25">
      <c r="A151" s="22" t="s">
        <v>25</v>
      </c>
      <c r="B151" s="20">
        <v>148</v>
      </c>
      <c r="C151" s="60">
        <f>IF(COUNTBLANK(H150)=1,(C150*'Config.'!$D$12)+C150,(H150*'Config.'!$D$12)+H150)</f>
        <v>174.43085564278212</v>
      </c>
      <c r="D151" s="60">
        <f t="shared" si="12"/>
        <v>1.7270381746810131</v>
      </c>
      <c r="E151" s="59">
        <v>0.8</v>
      </c>
      <c r="F151" s="61">
        <f t="shared" si="10"/>
        <v>0.43175954367025327</v>
      </c>
      <c r="G151" s="12" t="str">
        <f>IF(COUNTBLANK(H151)=1,IF(C151&lt;='Config.'!$D$10,"meta","nops"),"")</f>
        <v>meta</v>
      </c>
      <c r="H151" s="62"/>
      <c r="I151" s="63" t="str">
        <f t="shared" si="13"/>
        <v/>
      </c>
      <c r="J151" s="63" t="str">
        <f t="shared" si="11"/>
        <v/>
      </c>
      <c r="K151" s="54" t="str">
        <f t="shared" si="14"/>
        <v/>
      </c>
      <c r="R151" s="27">
        <f>IF(COUNTBLANK(T150)=1,(R150*'Config.'!$D$12)+R150,(T150*'Config.'!$D$12)+T150)</f>
        <v>174.43085564278212</v>
      </c>
      <c r="S151" s="28" t="str">
        <f>IF(COUNTBLANK(T151)=1,IF(R151&lt;='Config.'!$D$10,"meta","nops"),"")</f>
        <v>meta</v>
      </c>
      <c r="T151" s="32"/>
    </row>
    <row r="152" spans="1:20" ht="20.100000000000001" customHeight="1" x14ac:dyDescent="0.25">
      <c r="A152" s="22" t="s">
        <v>25</v>
      </c>
      <c r="B152" s="20">
        <v>149</v>
      </c>
      <c r="C152" s="60">
        <f>IF(COUNTBLANK(H151)=1,(C151*'Config.'!$D$12)+C151,(H151*'Config.'!$D$12)+H151)</f>
        <v>176.17516419920995</v>
      </c>
      <c r="D152" s="60">
        <f t="shared" si="12"/>
        <v>1.7443085564278249</v>
      </c>
      <c r="E152" s="59">
        <v>0.8</v>
      </c>
      <c r="F152" s="61">
        <f t="shared" si="10"/>
        <v>0.43607713910695622</v>
      </c>
      <c r="G152" s="12" t="str">
        <f>IF(COUNTBLANK(H152)=1,IF(C152&lt;='Config.'!$D$10,"meta","nops"),"")</f>
        <v>meta</v>
      </c>
      <c r="H152" s="62"/>
      <c r="I152" s="63" t="str">
        <f t="shared" si="13"/>
        <v/>
      </c>
      <c r="J152" s="63" t="str">
        <f t="shared" si="11"/>
        <v/>
      </c>
      <c r="K152" s="54" t="str">
        <f t="shared" si="14"/>
        <v/>
      </c>
      <c r="R152" s="27">
        <f>IF(COUNTBLANK(T151)=1,(R151*'Config.'!$D$12)+R151,(T151*'Config.'!$D$12)+T151)</f>
        <v>176.17516419920995</v>
      </c>
      <c r="S152" s="28" t="str">
        <f>IF(COUNTBLANK(T152)=1,IF(R152&lt;='Config.'!$D$10,"meta","nops"),"")</f>
        <v>meta</v>
      </c>
      <c r="T152" s="32"/>
    </row>
    <row r="153" spans="1:20" ht="20.100000000000001" customHeight="1" x14ac:dyDescent="0.25">
      <c r="A153" s="22" t="s">
        <v>25</v>
      </c>
      <c r="B153" s="20">
        <v>150</v>
      </c>
      <c r="C153" s="60">
        <f>IF(COUNTBLANK(H152)=1,(C152*'Config.'!$D$12)+C152,(H152*'Config.'!$D$12)+H152)</f>
        <v>177.93691584120205</v>
      </c>
      <c r="D153" s="60">
        <f t="shared" si="12"/>
        <v>1.761751641992106</v>
      </c>
      <c r="E153" s="59">
        <v>0.8</v>
      </c>
      <c r="F153" s="61">
        <f t="shared" si="10"/>
        <v>0.4404379104980265</v>
      </c>
      <c r="G153" s="12" t="str">
        <f>IF(COUNTBLANK(H153)=1,IF(C153&lt;='Config.'!$D$10,"meta","nops"),"")</f>
        <v>meta</v>
      </c>
      <c r="H153" s="62"/>
      <c r="I153" s="63" t="str">
        <f t="shared" si="13"/>
        <v/>
      </c>
      <c r="J153" s="63" t="str">
        <f t="shared" si="11"/>
        <v/>
      </c>
      <c r="K153" s="54" t="str">
        <f t="shared" si="14"/>
        <v/>
      </c>
      <c r="R153" s="27">
        <f>IF(COUNTBLANK(T152)=1,(R152*'Config.'!$D$12)+R152,(T152*'Config.'!$D$12)+T152)</f>
        <v>177.93691584120205</v>
      </c>
      <c r="S153" s="28" t="str">
        <f>IF(COUNTBLANK(T153)=1,IF(R153&lt;='Config.'!$D$10,"meta","nops"),"")</f>
        <v>meta</v>
      </c>
      <c r="T153" s="32"/>
    </row>
    <row r="154" spans="1:20" ht="20.100000000000001" customHeight="1" x14ac:dyDescent="0.25">
      <c r="A154" s="22" t="s">
        <v>25</v>
      </c>
      <c r="B154" s="20">
        <v>151</v>
      </c>
      <c r="C154" s="60">
        <f>IF(COUNTBLANK(H153)=1,(C153*'Config.'!$D$12)+C153,(H153*'Config.'!$D$12)+H153)</f>
        <v>179.71628499961406</v>
      </c>
      <c r="D154" s="60">
        <f t="shared" si="12"/>
        <v>1.7793691584120097</v>
      </c>
      <c r="E154" s="59">
        <v>0.8</v>
      </c>
      <c r="F154" s="61">
        <f t="shared" si="10"/>
        <v>0.44484228960300243</v>
      </c>
      <c r="G154" s="12" t="str">
        <f>IF(COUNTBLANK(H154)=1,IF(C154&lt;='Config.'!$D$10,"meta","nops"),"")</f>
        <v>meta</v>
      </c>
      <c r="H154" s="62"/>
      <c r="I154" s="63" t="str">
        <f t="shared" si="13"/>
        <v/>
      </c>
      <c r="J154" s="63" t="str">
        <f t="shared" si="11"/>
        <v/>
      </c>
      <c r="K154" s="54" t="str">
        <f t="shared" si="14"/>
        <v/>
      </c>
      <c r="R154" s="27">
        <f>IF(COUNTBLANK(T153)=1,(R153*'Config.'!$D$12)+R153,(T153*'Config.'!$D$12)+T153)</f>
        <v>179.71628499961406</v>
      </c>
      <c r="S154" s="28" t="str">
        <f>IF(COUNTBLANK(T154)=1,IF(R154&lt;='Config.'!$D$10,"meta","nops"),"")</f>
        <v>meta</v>
      </c>
      <c r="T154" s="32"/>
    </row>
    <row r="155" spans="1:20" ht="20.100000000000001" customHeight="1" x14ac:dyDescent="0.25">
      <c r="A155" s="22" t="s">
        <v>25</v>
      </c>
      <c r="B155" s="20">
        <v>152</v>
      </c>
      <c r="C155" s="60">
        <f>IF(COUNTBLANK(H154)=1,(C154*'Config.'!$D$12)+C154,(H154*'Config.'!$D$12)+H154)</f>
        <v>181.5134478496102</v>
      </c>
      <c r="D155" s="60">
        <f t="shared" si="12"/>
        <v>1.7971628499961412</v>
      </c>
      <c r="E155" s="59">
        <v>0.8</v>
      </c>
      <c r="F155" s="61">
        <f t="shared" si="10"/>
        <v>0.44929071249903529</v>
      </c>
      <c r="G155" s="12" t="str">
        <f>IF(COUNTBLANK(H155)=1,IF(C155&lt;='Config.'!$D$10,"meta","nops"),"")</f>
        <v>meta</v>
      </c>
      <c r="H155" s="62"/>
      <c r="I155" s="63" t="str">
        <f t="shared" si="13"/>
        <v/>
      </c>
      <c r="J155" s="63" t="str">
        <f t="shared" si="11"/>
        <v/>
      </c>
      <c r="K155" s="54" t="str">
        <f t="shared" si="14"/>
        <v/>
      </c>
      <c r="R155" s="27">
        <f>IF(COUNTBLANK(T154)=1,(R154*'Config.'!$D$12)+R154,(T154*'Config.'!$D$12)+T154)</f>
        <v>181.5134478496102</v>
      </c>
      <c r="S155" s="28" t="str">
        <f>IF(COUNTBLANK(T155)=1,IF(R155&lt;='Config.'!$D$10,"meta","nops"),"")</f>
        <v>meta</v>
      </c>
      <c r="T155" s="32"/>
    </row>
    <row r="156" spans="1:20" ht="20.100000000000001" customHeight="1" x14ac:dyDescent="0.25">
      <c r="A156" s="22" t="s">
        <v>25</v>
      </c>
      <c r="B156" s="20">
        <v>153</v>
      </c>
      <c r="C156" s="60">
        <f>IF(COUNTBLANK(H155)=1,(C155*'Config.'!$D$12)+C155,(H155*'Config.'!$D$12)+H155)</f>
        <v>183.32858232810631</v>
      </c>
      <c r="D156" s="60">
        <f t="shared" si="12"/>
        <v>1.8151344784961054</v>
      </c>
      <c r="E156" s="59">
        <v>0.8</v>
      </c>
      <c r="F156" s="61">
        <f t="shared" si="10"/>
        <v>0.45378361962402636</v>
      </c>
      <c r="G156" s="12" t="str">
        <f>IF(COUNTBLANK(H156)=1,IF(C156&lt;='Config.'!$D$10,"meta","nops"),"")</f>
        <v>meta</v>
      </c>
      <c r="H156" s="62"/>
      <c r="I156" s="63" t="str">
        <f t="shared" si="13"/>
        <v/>
      </c>
      <c r="J156" s="63" t="str">
        <f t="shared" si="11"/>
        <v/>
      </c>
      <c r="K156" s="54" t="str">
        <f t="shared" si="14"/>
        <v/>
      </c>
      <c r="R156" s="27">
        <f>IF(COUNTBLANK(T155)=1,(R155*'Config.'!$D$12)+R155,(T155*'Config.'!$D$12)+T155)</f>
        <v>183.32858232810631</v>
      </c>
      <c r="S156" s="28" t="str">
        <f>IF(COUNTBLANK(T156)=1,IF(R156&lt;='Config.'!$D$10,"meta","nops"),"")</f>
        <v>meta</v>
      </c>
      <c r="T156" s="32"/>
    </row>
    <row r="157" spans="1:20" ht="20.100000000000001" customHeight="1" x14ac:dyDescent="0.25">
      <c r="A157" s="22" t="s">
        <v>25</v>
      </c>
      <c r="B157" s="20">
        <v>154</v>
      </c>
      <c r="C157" s="60">
        <f>IF(COUNTBLANK(H156)=1,(C156*'Config.'!$D$12)+C156,(H156*'Config.'!$D$12)+H156)</f>
        <v>185.16186815138738</v>
      </c>
      <c r="D157" s="60">
        <f t="shared" si="12"/>
        <v>1.8332858232810736</v>
      </c>
      <c r="E157" s="59">
        <v>0.8</v>
      </c>
      <c r="F157" s="61">
        <f t="shared" si="10"/>
        <v>0.4583214558202684</v>
      </c>
      <c r="G157" s="12" t="str">
        <f>IF(COUNTBLANK(H157)=1,IF(C157&lt;='Config.'!$D$10,"meta","nops"),"")</f>
        <v>meta</v>
      </c>
      <c r="H157" s="62"/>
      <c r="I157" s="63" t="str">
        <f t="shared" si="13"/>
        <v/>
      </c>
      <c r="J157" s="63" t="str">
        <f t="shared" si="11"/>
        <v/>
      </c>
      <c r="K157" s="54" t="str">
        <f t="shared" si="14"/>
        <v/>
      </c>
      <c r="R157" s="27">
        <f>IF(COUNTBLANK(T156)=1,(R156*'Config.'!$D$12)+R156,(T156*'Config.'!$D$12)+T156)</f>
        <v>185.16186815138738</v>
      </c>
      <c r="S157" s="28" t="str">
        <f>IF(COUNTBLANK(T157)=1,IF(R157&lt;='Config.'!$D$10,"meta","nops"),"")</f>
        <v>meta</v>
      </c>
      <c r="T157" s="32"/>
    </row>
    <row r="158" spans="1:20" ht="20.100000000000001" customHeight="1" x14ac:dyDescent="0.25">
      <c r="A158" s="22" t="s">
        <v>25</v>
      </c>
      <c r="B158" s="20">
        <v>155</v>
      </c>
      <c r="C158" s="60">
        <f>IF(COUNTBLANK(H157)=1,(C157*'Config.'!$D$12)+C157,(H157*'Config.'!$D$12)+H157)</f>
        <v>187.01348683290126</v>
      </c>
      <c r="D158" s="60">
        <f t="shared" si="12"/>
        <v>1.8516186815138838</v>
      </c>
      <c r="E158" s="59">
        <v>0.8</v>
      </c>
      <c r="F158" s="61">
        <f t="shared" si="10"/>
        <v>0.46290467037847094</v>
      </c>
      <c r="G158" s="12" t="str">
        <f>IF(COUNTBLANK(H158)=1,IF(C158&lt;='Config.'!$D$10,"meta","nops"),"")</f>
        <v>meta</v>
      </c>
      <c r="H158" s="62"/>
      <c r="I158" s="63" t="str">
        <f t="shared" si="13"/>
        <v/>
      </c>
      <c r="J158" s="63" t="str">
        <f t="shared" si="11"/>
        <v/>
      </c>
      <c r="K158" s="54" t="str">
        <f t="shared" si="14"/>
        <v/>
      </c>
      <c r="R158" s="27">
        <f>IF(COUNTBLANK(T157)=1,(R157*'Config.'!$D$12)+R157,(T157*'Config.'!$D$12)+T157)</f>
        <v>187.01348683290126</v>
      </c>
      <c r="S158" s="28" t="str">
        <f>IF(COUNTBLANK(T158)=1,IF(R158&lt;='Config.'!$D$10,"meta","nops"),"")</f>
        <v>meta</v>
      </c>
      <c r="T158" s="32"/>
    </row>
    <row r="159" spans="1:20" ht="20.100000000000001" customHeight="1" x14ac:dyDescent="0.25">
      <c r="A159" s="22" t="s">
        <v>25</v>
      </c>
      <c r="B159" s="20">
        <v>156</v>
      </c>
      <c r="C159" s="60">
        <f>IF(COUNTBLANK(H158)=1,(C158*'Config.'!$D$12)+C158,(H158*'Config.'!$D$12)+H158)</f>
        <v>188.88362170123028</v>
      </c>
      <c r="D159" s="60">
        <f t="shared" si="12"/>
        <v>1.8701348683290178</v>
      </c>
      <c r="E159" s="59">
        <v>0.8</v>
      </c>
      <c r="F159" s="61">
        <f t="shared" si="10"/>
        <v>0.46753371708225444</v>
      </c>
      <c r="G159" s="12" t="str">
        <f>IF(COUNTBLANK(H159)=1,IF(C159&lt;='Config.'!$D$10,"meta","nops"),"")</f>
        <v>meta</v>
      </c>
      <c r="H159" s="62"/>
      <c r="I159" s="63" t="str">
        <f t="shared" si="13"/>
        <v/>
      </c>
      <c r="J159" s="63" t="str">
        <f t="shared" si="11"/>
        <v/>
      </c>
      <c r="K159" s="54" t="str">
        <f t="shared" si="14"/>
        <v/>
      </c>
      <c r="R159" s="27">
        <f>IF(COUNTBLANK(T158)=1,(R158*'Config.'!$D$12)+R158,(T158*'Config.'!$D$12)+T158)</f>
        <v>188.88362170123028</v>
      </c>
      <c r="S159" s="28" t="str">
        <f>IF(COUNTBLANK(T159)=1,IF(R159&lt;='Config.'!$D$10,"meta","nops"),"")</f>
        <v>meta</v>
      </c>
      <c r="T159" s="32"/>
    </row>
    <row r="160" spans="1:20" ht="20.100000000000001" customHeight="1" x14ac:dyDescent="0.25">
      <c r="A160" s="22" t="s">
        <v>25</v>
      </c>
      <c r="B160" s="20">
        <v>157</v>
      </c>
      <c r="C160" s="60">
        <f>IF(COUNTBLANK(H159)=1,(C159*'Config.'!$D$12)+C159,(H159*'Config.'!$D$12)+H159)</f>
        <v>190.77245791824259</v>
      </c>
      <c r="D160" s="60">
        <f t="shared" si="12"/>
        <v>1.8888362170123116</v>
      </c>
      <c r="E160" s="59">
        <v>0.8</v>
      </c>
      <c r="F160" s="61">
        <f t="shared" si="10"/>
        <v>0.47220905425307791</v>
      </c>
      <c r="G160" s="12" t="str">
        <f>IF(COUNTBLANK(H160)=1,IF(C160&lt;='Config.'!$D$10,"meta","nops"),"")</f>
        <v>meta</v>
      </c>
      <c r="H160" s="62"/>
      <c r="I160" s="63" t="str">
        <f t="shared" si="13"/>
        <v/>
      </c>
      <c r="J160" s="63" t="str">
        <f t="shared" si="11"/>
        <v/>
      </c>
      <c r="K160" s="54" t="str">
        <f t="shared" si="14"/>
        <v/>
      </c>
      <c r="R160" s="27">
        <f>IF(COUNTBLANK(T159)=1,(R159*'Config.'!$D$12)+R159,(T159*'Config.'!$D$12)+T159)</f>
        <v>190.77245791824259</v>
      </c>
      <c r="S160" s="28" t="str">
        <f>IF(COUNTBLANK(T160)=1,IF(R160&lt;='Config.'!$D$10,"meta","nops"),"")</f>
        <v>meta</v>
      </c>
      <c r="T160" s="32"/>
    </row>
    <row r="161" spans="1:20" ht="20.100000000000001" customHeight="1" x14ac:dyDescent="0.25">
      <c r="A161" s="22" t="s">
        <v>25</v>
      </c>
      <c r="B161" s="20">
        <v>158</v>
      </c>
      <c r="C161" s="60">
        <f>IF(COUNTBLANK(H160)=1,(C160*'Config.'!$D$12)+C160,(H160*'Config.'!$D$12)+H160)</f>
        <v>192.68018249742502</v>
      </c>
      <c r="D161" s="60">
        <f t="shared" si="12"/>
        <v>1.9077245791824282</v>
      </c>
      <c r="E161" s="59">
        <v>0.8</v>
      </c>
      <c r="F161" s="61">
        <f t="shared" si="10"/>
        <v>0.47693114479560705</v>
      </c>
      <c r="G161" s="12" t="str">
        <f>IF(COUNTBLANK(H161)=1,IF(C161&lt;='Config.'!$D$10,"meta","nops"),"")</f>
        <v>meta</v>
      </c>
      <c r="H161" s="62"/>
      <c r="I161" s="63" t="str">
        <f t="shared" si="13"/>
        <v/>
      </c>
      <c r="J161" s="63" t="str">
        <f t="shared" si="11"/>
        <v/>
      </c>
      <c r="K161" s="54" t="str">
        <f t="shared" si="14"/>
        <v/>
      </c>
      <c r="R161" s="27">
        <f>IF(COUNTBLANK(T160)=1,(R160*'Config.'!$D$12)+R160,(T160*'Config.'!$D$12)+T160)</f>
        <v>192.68018249742502</v>
      </c>
      <c r="S161" s="28" t="str">
        <f>IF(COUNTBLANK(T161)=1,IF(R161&lt;='Config.'!$D$10,"meta","nops"),"")</f>
        <v>meta</v>
      </c>
      <c r="T161" s="32"/>
    </row>
    <row r="162" spans="1:20" ht="20.100000000000001" customHeight="1" x14ac:dyDescent="0.25">
      <c r="A162" s="22" t="s">
        <v>25</v>
      </c>
      <c r="B162" s="20">
        <v>159</v>
      </c>
      <c r="C162" s="60">
        <f>IF(COUNTBLANK(H161)=1,(C161*'Config.'!$D$12)+C161,(H161*'Config.'!$D$12)+H161)</f>
        <v>194.60698432239928</v>
      </c>
      <c r="D162" s="60">
        <f t="shared" si="12"/>
        <v>1.9268018249742624</v>
      </c>
      <c r="E162" s="59">
        <v>0.8</v>
      </c>
      <c r="F162" s="61">
        <f t="shared" si="10"/>
        <v>0.48170045624356561</v>
      </c>
      <c r="G162" s="12" t="str">
        <f>IF(COUNTBLANK(H162)=1,IF(C162&lt;='Config.'!$D$10,"meta","nops"),"")</f>
        <v>meta</v>
      </c>
      <c r="H162" s="62"/>
      <c r="I162" s="63" t="str">
        <f t="shared" si="13"/>
        <v/>
      </c>
      <c r="J162" s="63" t="str">
        <f t="shared" si="11"/>
        <v/>
      </c>
      <c r="K162" s="54" t="str">
        <f t="shared" si="14"/>
        <v/>
      </c>
      <c r="R162" s="27">
        <f>IF(COUNTBLANK(T161)=1,(R161*'Config.'!$D$12)+R161,(T161*'Config.'!$D$12)+T161)</f>
        <v>194.60698432239928</v>
      </c>
      <c r="S162" s="28" t="str">
        <f>IF(COUNTBLANK(T162)=1,IF(R162&lt;='Config.'!$D$10,"meta","nops"),"")</f>
        <v>meta</v>
      </c>
      <c r="T162" s="32"/>
    </row>
    <row r="163" spans="1:20" ht="20.100000000000001" customHeight="1" x14ac:dyDescent="0.25">
      <c r="A163" s="22" t="s">
        <v>25</v>
      </c>
      <c r="B163" s="20">
        <v>160</v>
      </c>
      <c r="C163" s="60">
        <f>IF(COUNTBLANK(H162)=1,(C162*'Config.'!$D$12)+C162,(H162*'Config.'!$D$12)+H162)</f>
        <v>196.55305416562328</v>
      </c>
      <c r="D163" s="60">
        <f t="shared" si="12"/>
        <v>1.9460698432239951</v>
      </c>
      <c r="E163" s="59">
        <v>0.8</v>
      </c>
      <c r="F163" s="61">
        <f t="shared" si="10"/>
        <v>0.48651746080599878</v>
      </c>
      <c r="G163" s="12" t="str">
        <f>IF(COUNTBLANK(H163)=1,IF(C163&lt;='Config.'!$D$10,"meta","nops"),"")</f>
        <v>meta</v>
      </c>
      <c r="H163" s="62"/>
      <c r="I163" s="63" t="str">
        <f t="shared" si="13"/>
        <v/>
      </c>
      <c r="J163" s="63" t="str">
        <f t="shared" si="11"/>
        <v/>
      </c>
      <c r="K163" s="54" t="str">
        <f t="shared" si="14"/>
        <v/>
      </c>
      <c r="R163" s="27">
        <f>IF(COUNTBLANK(T162)=1,(R162*'Config.'!$D$12)+R162,(T162*'Config.'!$D$12)+T162)</f>
        <v>196.55305416562328</v>
      </c>
      <c r="S163" s="28" t="str">
        <f>IF(COUNTBLANK(T163)=1,IF(R163&lt;='Config.'!$D$10,"meta","nops"),"")</f>
        <v>meta</v>
      </c>
      <c r="T163" s="32"/>
    </row>
    <row r="164" spans="1:20" ht="20.100000000000001" customHeight="1" x14ac:dyDescent="0.25">
      <c r="A164" s="22" t="s">
        <v>25</v>
      </c>
      <c r="B164" s="20">
        <v>161</v>
      </c>
      <c r="C164" s="60">
        <f>IF(COUNTBLANK(H163)=1,(C163*'Config.'!$D$12)+C163,(H163*'Config.'!$D$12)+H163)</f>
        <v>198.5185847072795</v>
      </c>
      <c r="D164" s="60">
        <f t="shared" si="12"/>
        <v>1.9655305416562214</v>
      </c>
      <c r="E164" s="59">
        <v>0.8</v>
      </c>
      <c r="F164" s="61">
        <f t="shared" si="10"/>
        <v>0.49138263541405536</v>
      </c>
      <c r="G164" s="12" t="str">
        <f>IF(COUNTBLANK(H164)=1,IF(C164&lt;='Config.'!$D$10,"meta","nops"),"")</f>
        <v>meta</v>
      </c>
      <c r="H164" s="62"/>
      <c r="I164" s="63" t="str">
        <f t="shared" si="13"/>
        <v/>
      </c>
      <c r="J164" s="63" t="str">
        <f t="shared" si="11"/>
        <v/>
      </c>
      <c r="K164" s="54" t="str">
        <f t="shared" si="14"/>
        <v/>
      </c>
      <c r="R164" s="27">
        <f>IF(COUNTBLANK(T163)=1,(R163*'Config.'!$D$12)+R163,(T163*'Config.'!$D$12)+T163)</f>
        <v>198.5185847072795</v>
      </c>
      <c r="S164" s="28" t="str">
        <f>IF(COUNTBLANK(T164)=1,IF(R164&lt;='Config.'!$D$10,"meta","nops"),"")</f>
        <v>meta</v>
      </c>
      <c r="T164" s="32"/>
    </row>
    <row r="165" spans="1:20" ht="20.100000000000001" customHeight="1" x14ac:dyDescent="0.25">
      <c r="A165" s="22" t="s">
        <v>25</v>
      </c>
      <c r="B165" s="20">
        <v>162</v>
      </c>
      <c r="C165" s="60">
        <f>IF(COUNTBLANK(H164)=1,(C164*'Config.'!$D$12)+C164,(H164*'Config.'!$D$12)+H164)</f>
        <v>200.50377055435229</v>
      </c>
      <c r="D165" s="60">
        <f t="shared" si="12"/>
        <v>1.9851858470727848</v>
      </c>
      <c r="E165" s="59">
        <v>0.8</v>
      </c>
      <c r="F165" s="61">
        <f t="shared" si="10"/>
        <v>0.4962964617681962</v>
      </c>
      <c r="G165" s="12" t="str">
        <f>IF(COUNTBLANK(H165)=1,IF(C165&lt;='Config.'!$D$10,"meta","nops"),"")</f>
        <v>meta</v>
      </c>
      <c r="H165" s="62"/>
      <c r="I165" s="63" t="str">
        <f t="shared" si="13"/>
        <v/>
      </c>
      <c r="J165" s="63" t="str">
        <f t="shared" si="11"/>
        <v/>
      </c>
      <c r="K165" s="54" t="str">
        <f t="shared" si="14"/>
        <v/>
      </c>
      <c r="R165" s="27">
        <f>IF(COUNTBLANK(T164)=1,(R164*'Config.'!$D$12)+R164,(T164*'Config.'!$D$12)+T164)</f>
        <v>200.50377055435229</v>
      </c>
      <c r="S165" s="28" t="str">
        <f>IF(COUNTBLANK(T165)=1,IF(R165&lt;='Config.'!$D$10,"meta","nops"),"")</f>
        <v>meta</v>
      </c>
      <c r="T165" s="32"/>
    </row>
    <row r="166" spans="1:20" ht="20.100000000000001" customHeight="1" x14ac:dyDescent="0.25">
      <c r="A166" s="22" t="s">
        <v>25</v>
      </c>
      <c r="B166" s="20">
        <v>163</v>
      </c>
      <c r="C166" s="60">
        <f>IF(COUNTBLANK(H165)=1,(C165*'Config.'!$D$12)+C165,(H165*'Config.'!$D$12)+H165)</f>
        <v>202.5088082598958</v>
      </c>
      <c r="D166" s="60">
        <f t="shared" si="12"/>
        <v>2.0050377055435149</v>
      </c>
      <c r="E166" s="59">
        <v>0.8</v>
      </c>
      <c r="F166" s="61">
        <f t="shared" si="10"/>
        <v>0.50125942638587873</v>
      </c>
      <c r="G166" s="12" t="str">
        <f>IF(COUNTBLANK(H166)=1,IF(C166&lt;='Config.'!$D$10,"meta","nops"),"")</f>
        <v>meta</v>
      </c>
      <c r="H166" s="62"/>
      <c r="I166" s="63" t="str">
        <f t="shared" si="13"/>
        <v/>
      </c>
      <c r="J166" s="63" t="str">
        <f t="shared" si="11"/>
        <v/>
      </c>
      <c r="K166" s="54" t="str">
        <f t="shared" si="14"/>
        <v/>
      </c>
      <c r="R166" s="27">
        <f>IF(COUNTBLANK(T165)=1,(R165*'Config.'!$D$12)+R165,(T165*'Config.'!$D$12)+T165)</f>
        <v>202.5088082598958</v>
      </c>
      <c r="S166" s="28" t="str">
        <f>IF(COUNTBLANK(T166)=1,IF(R166&lt;='Config.'!$D$10,"meta","nops"),"")</f>
        <v>meta</v>
      </c>
      <c r="T166" s="32"/>
    </row>
    <row r="167" spans="1:20" ht="20.100000000000001" customHeight="1" x14ac:dyDescent="0.25">
      <c r="A167" s="22" t="s">
        <v>25</v>
      </c>
      <c r="B167" s="20">
        <v>164</v>
      </c>
      <c r="C167" s="60">
        <f>IF(COUNTBLANK(H166)=1,(C166*'Config.'!$D$12)+C166,(H166*'Config.'!$D$12)+H166)</f>
        <v>204.53389634249476</v>
      </c>
      <c r="D167" s="60">
        <f t="shared" si="12"/>
        <v>2.0250880825989555</v>
      </c>
      <c r="E167" s="59">
        <v>0.8</v>
      </c>
      <c r="F167" s="61">
        <f t="shared" si="10"/>
        <v>0.50627202064973886</v>
      </c>
      <c r="G167" s="12" t="str">
        <f>IF(COUNTBLANK(H167)=1,IF(C167&lt;='Config.'!$D$10,"meta","nops"),"")</f>
        <v>meta</v>
      </c>
      <c r="H167" s="62"/>
      <c r="I167" s="63" t="str">
        <f t="shared" si="13"/>
        <v/>
      </c>
      <c r="J167" s="63" t="str">
        <f t="shared" si="11"/>
        <v/>
      </c>
      <c r="K167" s="54" t="str">
        <f t="shared" si="14"/>
        <v/>
      </c>
      <c r="R167" s="27">
        <f>IF(COUNTBLANK(T166)=1,(R166*'Config.'!$D$12)+R166,(T166*'Config.'!$D$12)+T166)</f>
        <v>204.53389634249476</v>
      </c>
      <c r="S167" s="28" t="str">
        <f>IF(COUNTBLANK(T167)=1,IF(R167&lt;='Config.'!$D$10,"meta","nops"),"")</f>
        <v>meta</v>
      </c>
      <c r="T167" s="32"/>
    </row>
    <row r="168" spans="1:20" ht="20.100000000000001" customHeight="1" x14ac:dyDescent="0.25">
      <c r="A168" s="22" t="s">
        <v>25</v>
      </c>
      <c r="B168" s="20">
        <v>165</v>
      </c>
      <c r="C168" s="60">
        <f>IF(COUNTBLANK(H167)=1,(C167*'Config.'!$D$12)+C167,(H167*'Config.'!$D$12)+H167)</f>
        <v>206.5792353059197</v>
      </c>
      <c r="D168" s="60">
        <f t="shared" si="12"/>
        <v>2.045338963424939</v>
      </c>
      <c r="E168" s="59">
        <v>0.8</v>
      </c>
      <c r="F168" s="61">
        <f t="shared" si="10"/>
        <v>0.51133474085623476</v>
      </c>
      <c r="G168" s="12" t="str">
        <f>IF(COUNTBLANK(H168)=1,IF(C168&lt;='Config.'!$D$10,"meta","nops"),"")</f>
        <v>meta</v>
      </c>
      <c r="H168" s="62"/>
      <c r="I168" s="63" t="str">
        <f t="shared" si="13"/>
        <v/>
      </c>
      <c r="J168" s="63" t="str">
        <f t="shared" si="11"/>
        <v/>
      </c>
      <c r="K168" s="54" t="str">
        <f t="shared" si="14"/>
        <v/>
      </c>
      <c r="R168" s="27">
        <f>IF(COUNTBLANK(T167)=1,(R167*'Config.'!$D$12)+R167,(T167*'Config.'!$D$12)+T167)</f>
        <v>206.5792353059197</v>
      </c>
      <c r="S168" s="28" t="str">
        <f>IF(COUNTBLANK(T168)=1,IF(R168&lt;='Config.'!$D$10,"meta","nops"),"")</f>
        <v>meta</v>
      </c>
      <c r="T168" s="32"/>
    </row>
    <row r="169" spans="1:20" ht="20.100000000000001" customHeight="1" x14ac:dyDescent="0.25">
      <c r="A169" s="22" t="s">
        <v>25</v>
      </c>
      <c r="B169" s="20">
        <v>166</v>
      </c>
      <c r="C169" s="60">
        <f>IF(COUNTBLANK(H168)=1,(C168*'Config.'!$D$12)+C168,(H168*'Config.'!$D$12)+H168)</f>
        <v>208.6450276589789</v>
      </c>
      <c r="D169" s="60">
        <f t="shared" si="12"/>
        <v>2.0657923530592086</v>
      </c>
      <c r="E169" s="59">
        <v>0.8</v>
      </c>
      <c r="F169" s="61">
        <f t="shared" si="10"/>
        <v>0.51644808826480215</v>
      </c>
      <c r="G169" s="12" t="str">
        <f>IF(COUNTBLANK(H169)=1,IF(C169&lt;='Config.'!$D$10,"meta","nops"),"")</f>
        <v>meta</v>
      </c>
      <c r="H169" s="62"/>
      <c r="I169" s="63" t="str">
        <f t="shared" si="13"/>
        <v/>
      </c>
      <c r="J169" s="63" t="str">
        <f t="shared" si="11"/>
        <v/>
      </c>
      <c r="K169" s="54" t="str">
        <f t="shared" si="14"/>
        <v/>
      </c>
      <c r="R169" s="27">
        <f>IF(COUNTBLANK(T168)=1,(R168*'Config.'!$D$12)+R168,(T168*'Config.'!$D$12)+T168)</f>
        <v>208.6450276589789</v>
      </c>
      <c r="S169" s="28" t="str">
        <f>IF(COUNTBLANK(T169)=1,IF(R169&lt;='Config.'!$D$10,"meta","nops"),"")</f>
        <v>meta</v>
      </c>
      <c r="T169" s="32"/>
    </row>
    <row r="170" spans="1:20" ht="20.100000000000001" customHeight="1" x14ac:dyDescent="0.25">
      <c r="A170" s="22" t="s">
        <v>25</v>
      </c>
      <c r="B170" s="20">
        <v>167</v>
      </c>
      <c r="C170" s="60">
        <f>IF(COUNTBLANK(H169)=1,(C169*'Config.'!$D$12)+C169,(H169*'Config.'!$D$12)+H169)</f>
        <v>210.73147793556871</v>
      </c>
      <c r="D170" s="60">
        <f t="shared" si="12"/>
        <v>2.086450276589801</v>
      </c>
      <c r="E170" s="59">
        <v>0.8</v>
      </c>
      <c r="F170" s="61">
        <f t="shared" si="10"/>
        <v>0.52161256914745024</v>
      </c>
      <c r="G170" s="12" t="str">
        <f>IF(COUNTBLANK(H170)=1,IF(C170&lt;='Config.'!$D$10,"meta","nops"),"")</f>
        <v>meta</v>
      </c>
      <c r="H170" s="62"/>
      <c r="I170" s="63" t="str">
        <f t="shared" si="13"/>
        <v/>
      </c>
      <c r="J170" s="63" t="str">
        <f t="shared" si="11"/>
        <v/>
      </c>
      <c r="K170" s="54" t="str">
        <f t="shared" si="14"/>
        <v/>
      </c>
      <c r="R170" s="27">
        <f>IF(COUNTBLANK(T169)=1,(R169*'Config.'!$D$12)+R169,(T169*'Config.'!$D$12)+T169)</f>
        <v>210.73147793556871</v>
      </c>
      <c r="S170" s="28" t="str">
        <f>IF(COUNTBLANK(T170)=1,IF(R170&lt;='Config.'!$D$10,"meta","nops"),"")</f>
        <v>meta</v>
      </c>
      <c r="T170" s="32"/>
    </row>
    <row r="171" spans="1:20" ht="20.100000000000001" customHeight="1" x14ac:dyDescent="0.25">
      <c r="A171" s="22" t="s">
        <v>25</v>
      </c>
      <c r="B171" s="20">
        <v>168</v>
      </c>
      <c r="C171" s="60">
        <f>IF(COUNTBLANK(H170)=1,(C170*'Config.'!$D$12)+C170,(H170*'Config.'!$D$12)+H170)</f>
        <v>212.83879271492438</v>
      </c>
      <c r="D171" s="60">
        <f t="shared" si="12"/>
        <v>2.1073147793556757</v>
      </c>
      <c r="E171" s="59">
        <v>0.8</v>
      </c>
      <c r="F171" s="61">
        <f t="shared" si="10"/>
        <v>0.52682869483891892</v>
      </c>
      <c r="G171" s="12" t="str">
        <f>IF(COUNTBLANK(H171)=1,IF(C171&lt;='Config.'!$D$10,"meta","nops"),"")</f>
        <v>meta</v>
      </c>
      <c r="H171" s="62"/>
      <c r="I171" s="63" t="str">
        <f t="shared" si="13"/>
        <v/>
      </c>
      <c r="J171" s="63" t="str">
        <f t="shared" si="11"/>
        <v/>
      </c>
      <c r="K171" s="54" t="str">
        <f t="shared" si="14"/>
        <v/>
      </c>
      <c r="R171" s="27">
        <f>IF(COUNTBLANK(T170)=1,(R170*'Config.'!$D$12)+R170,(T170*'Config.'!$D$12)+T170)</f>
        <v>212.83879271492438</v>
      </c>
      <c r="S171" s="28" t="str">
        <f>IF(COUNTBLANK(T171)=1,IF(R171&lt;='Config.'!$D$10,"meta","nops"),"")</f>
        <v>meta</v>
      </c>
      <c r="T171" s="32"/>
    </row>
    <row r="172" spans="1:20" ht="20.100000000000001" customHeight="1" x14ac:dyDescent="0.25">
      <c r="A172" s="22" t="s">
        <v>25</v>
      </c>
      <c r="B172" s="20">
        <v>169</v>
      </c>
      <c r="C172" s="60">
        <f>IF(COUNTBLANK(H171)=1,(C171*'Config.'!$D$12)+C171,(H171*'Config.'!$D$12)+H171)</f>
        <v>214.96718064207363</v>
      </c>
      <c r="D172" s="60">
        <f t="shared" si="12"/>
        <v>2.1283879271492481</v>
      </c>
      <c r="E172" s="59">
        <v>0.8</v>
      </c>
      <c r="F172" s="61">
        <f t="shared" si="10"/>
        <v>0.53209698178731202</v>
      </c>
      <c r="G172" s="12" t="str">
        <f>IF(COUNTBLANK(H172)=1,IF(C172&lt;='Config.'!$D$10,"meta","nops"),"")</f>
        <v>meta</v>
      </c>
      <c r="H172" s="62"/>
      <c r="I172" s="63" t="str">
        <f t="shared" si="13"/>
        <v/>
      </c>
      <c r="J172" s="63" t="str">
        <f t="shared" si="11"/>
        <v/>
      </c>
      <c r="K172" s="54" t="str">
        <f t="shared" si="14"/>
        <v/>
      </c>
      <c r="R172" s="27">
        <f>IF(COUNTBLANK(T171)=1,(R171*'Config.'!$D$12)+R171,(T171*'Config.'!$D$12)+T171)</f>
        <v>214.96718064207363</v>
      </c>
      <c r="S172" s="28" t="str">
        <f>IF(COUNTBLANK(T172)=1,IF(R172&lt;='Config.'!$D$10,"meta","nops"),"")</f>
        <v>meta</v>
      </c>
      <c r="T172" s="32"/>
    </row>
    <row r="173" spans="1:20" ht="20.100000000000001" customHeight="1" x14ac:dyDescent="0.25">
      <c r="A173" s="22" t="s">
        <v>25</v>
      </c>
      <c r="B173" s="20">
        <v>170</v>
      </c>
      <c r="C173" s="60">
        <f>IF(COUNTBLANK(H172)=1,(C172*'Config.'!$D$12)+C172,(H172*'Config.'!$D$12)+H172)</f>
        <v>217.11685244849437</v>
      </c>
      <c r="D173" s="60">
        <f t="shared" si="12"/>
        <v>2.1496718064207414</v>
      </c>
      <c r="E173" s="59">
        <v>0.8</v>
      </c>
      <c r="F173" s="61">
        <f t="shared" si="10"/>
        <v>0.53741795160518535</v>
      </c>
      <c r="G173" s="12" t="str">
        <f>IF(COUNTBLANK(H173)=1,IF(C173&lt;='Config.'!$D$10,"meta","nops"),"")</f>
        <v>meta</v>
      </c>
      <c r="H173" s="62"/>
      <c r="I173" s="63" t="str">
        <f t="shared" si="13"/>
        <v/>
      </c>
      <c r="J173" s="63" t="str">
        <f t="shared" si="11"/>
        <v/>
      </c>
      <c r="K173" s="54" t="str">
        <f t="shared" si="14"/>
        <v/>
      </c>
      <c r="R173" s="27">
        <f>IF(COUNTBLANK(T172)=1,(R172*'Config.'!$D$12)+R172,(T172*'Config.'!$D$12)+T172)</f>
        <v>217.11685244849437</v>
      </c>
      <c r="S173" s="28" t="str">
        <f>IF(COUNTBLANK(T173)=1,IF(R173&lt;='Config.'!$D$10,"meta","nops"),"")</f>
        <v>meta</v>
      </c>
      <c r="T173" s="32"/>
    </row>
    <row r="174" spans="1:20" ht="20.100000000000001" customHeight="1" x14ac:dyDescent="0.25">
      <c r="A174" s="22" t="s">
        <v>25</v>
      </c>
      <c r="B174" s="20">
        <v>171</v>
      </c>
      <c r="C174" s="60">
        <f>IF(COUNTBLANK(H173)=1,(C173*'Config.'!$D$12)+C173,(H173*'Config.'!$D$12)+H173)</f>
        <v>219.28802097297933</v>
      </c>
      <c r="D174" s="60">
        <f t="shared" si="12"/>
        <v>2.1711685244849548</v>
      </c>
      <c r="E174" s="59">
        <v>0.8</v>
      </c>
      <c r="F174" s="61">
        <f t="shared" si="10"/>
        <v>0.5427921311212387</v>
      </c>
      <c r="G174" s="12" t="str">
        <f>IF(COUNTBLANK(H174)=1,IF(C174&lt;='Config.'!$D$10,"meta","nops"),"")</f>
        <v>meta</v>
      </c>
      <c r="H174" s="62"/>
      <c r="I174" s="63" t="str">
        <f t="shared" si="13"/>
        <v/>
      </c>
      <c r="J174" s="63" t="str">
        <f t="shared" si="11"/>
        <v/>
      </c>
      <c r="K174" s="54" t="str">
        <f t="shared" si="14"/>
        <v/>
      </c>
      <c r="R174" s="27">
        <f>IF(COUNTBLANK(T173)=1,(R173*'Config.'!$D$12)+R173,(T173*'Config.'!$D$12)+T173)</f>
        <v>219.28802097297933</v>
      </c>
      <c r="S174" s="28" t="str">
        <f>IF(COUNTBLANK(T174)=1,IF(R174&lt;='Config.'!$D$10,"meta","nops"),"")</f>
        <v>meta</v>
      </c>
      <c r="T174" s="32"/>
    </row>
    <row r="175" spans="1:20" ht="20.100000000000001" customHeight="1" x14ac:dyDescent="0.25">
      <c r="A175" s="22" t="s">
        <v>25</v>
      </c>
      <c r="B175" s="20">
        <v>172</v>
      </c>
      <c r="C175" s="60">
        <f>IF(COUNTBLANK(H174)=1,(C174*'Config.'!$D$12)+C174,(H174*'Config.'!$D$12)+H174)</f>
        <v>221.48090118270912</v>
      </c>
      <c r="D175" s="60">
        <f t="shared" si="12"/>
        <v>2.1928802097297933</v>
      </c>
      <c r="E175" s="59">
        <v>0.8</v>
      </c>
      <c r="F175" s="61">
        <f t="shared" si="10"/>
        <v>0.54822005243244831</v>
      </c>
      <c r="G175" s="12" t="str">
        <f>IF(COUNTBLANK(H175)=1,IF(C175&lt;='Config.'!$D$10,"meta","nops"),"")</f>
        <v>meta</v>
      </c>
      <c r="H175" s="62"/>
      <c r="I175" s="63" t="str">
        <f t="shared" si="13"/>
        <v/>
      </c>
      <c r="J175" s="63" t="str">
        <f t="shared" si="11"/>
        <v/>
      </c>
      <c r="K175" s="54" t="str">
        <f t="shared" si="14"/>
        <v/>
      </c>
      <c r="R175" s="27">
        <f>IF(COUNTBLANK(T174)=1,(R174*'Config.'!$D$12)+R174,(T174*'Config.'!$D$12)+T174)</f>
        <v>221.48090118270912</v>
      </c>
      <c r="S175" s="28" t="str">
        <f>IF(COUNTBLANK(T175)=1,IF(R175&lt;='Config.'!$D$10,"meta","nops"),"")</f>
        <v>meta</v>
      </c>
      <c r="T175" s="32"/>
    </row>
    <row r="176" spans="1:20" ht="20.100000000000001" customHeight="1" x14ac:dyDescent="0.25">
      <c r="A176" s="22" t="s">
        <v>25</v>
      </c>
      <c r="B176" s="20">
        <v>173</v>
      </c>
      <c r="C176" s="60">
        <f>IF(COUNTBLANK(H175)=1,(C175*'Config.'!$D$12)+C175,(H175*'Config.'!$D$12)+H175)</f>
        <v>223.69571019453622</v>
      </c>
      <c r="D176" s="60">
        <f t="shared" si="12"/>
        <v>2.2148090118271</v>
      </c>
      <c r="E176" s="59">
        <v>0.8</v>
      </c>
      <c r="F176" s="61">
        <f t="shared" si="10"/>
        <v>0.553702252956775</v>
      </c>
      <c r="G176" s="12" t="str">
        <f>IF(COUNTBLANK(H176)=1,IF(C176&lt;='Config.'!$D$10,"meta","nops"),"")</f>
        <v>meta</v>
      </c>
      <c r="H176" s="62"/>
      <c r="I176" s="63" t="str">
        <f t="shared" si="13"/>
        <v/>
      </c>
      <c r="J176" s="63" t="str">
        <f t="shared" si="11"/>
        <v/>
      </c>
      <c r="K176" s="54" t="str">
        <f t="shared" si="14"/>
        <v/>
      </c>
      <c r="R176" s="27">
        <f>IF(COUNTBLANK(T175)=1,(R175*'Config.'!$D$12)+R175,(T175*'Config.'!$D$12)+T175)</f>
        <v>223.69571019453622</v>
      </c>
      <c r="S176" s="28" t="str">
        <f>IF(COUNTBLANK(T176)=1,IF(R176&lt;='Config.'!$D$10,"meta","nops"),"")</f>
        <v>meta</v>
      </c>
      <c r="T176" s="32"/>
    </row>
    <row r="177" spans="1:20" ht="20.100000000000001" customHeight="1" x14ac:dyDescent="0.25">
      <c r="A177" s="22" t="s">
        <v>25</v>
      </c>
      <c r="B177" s="20">
        <v>174</v>
      </c>
      <c r="C177" s="60">
        <f>IF(COUNTBLANK(H176)=1,(C176*'Config.'!$D$12)+C176,(H176*'Config.'!$D$12)+H176)</f>
        <v>225.93266729648158</v>
      </c>
      <c r="D177" s="60">
        <f t="shared" si="12"/>
        <v>2.2369571019453645</v>
      </c>
      <c r="E177" s="59">
        <v>0.8</v>
      </c>
      <c r="F177" s="61">
        <f t="shared" si="10"/>
        <v>0.55923927548634111</v>
      </c>
      <c r="G177" s="12" t="str">
        <f>IF(COUNTBLANK(H177)=1,IF(C177&lt;='Config.'!$D$10,"meta","nops"),"")</f>
        <v>meta</v>
      </c>
      <c r="H177" s="62"/>
      <c r="I177" s="63" t="str">
        <f t="shared" si="13"/>
        <v/>
      </c>
      <c r="J177" s="63" t="str">
        <f t="shared" si="11"/>
        <v/>
      </c>
      <c r="K177" s="54" t="str">
        <f t="shared" si="14"/>
        <v/>
      </c>
      <c r="R177" s="27">
        <f>IF(COUNTBLANK(T176)=1,(R176*'Config.'!$D$12)+R176,(T176*'Config.'!$D$12)+T176)</f>
        <v>225.93266729648158</v>
      </c>
      <c r="S177" s="28" t="str">
        <f>IF(COUNTBLANK(T177)=1,IF(R177&lt;='Config.'!$D$10,"meta","nops"),"")</f>
        <v>meta</v>
      </c>
      <c r="T177" s="32"/>
    </row>
    <row r="178" spans="1:20" ht="20.100000000000001" customHeight="1" x14ac:dyDescent="0.25">
      <c r="A178" s="22" t="s">
        <v>25</v>
      </c>
      <c r="B178" s="20">
        <v>175</v>
      </c>
      <c r="C178" s="60">
        <f>IF(COUNTBLANK(H177)=1,(C177*'Config.'!$D$12)+C177,(H177*'Config.'!$D$12)+H177)</f>
        <v>228.1919939694464</v>
      </c>
      <c r="D178" s="60">
        <f t="shared" si="12"/>
        <v>2.2593266729648178</v>
      </c>
      <c r="E178" s="59">
        <v>0.8</v>
      </c>
      <c r="F178" s="61">
        <f t="shared" si="10"/>
        <v>0.56483166824120445</v>
      </c>
      <c r="G178" s="12" t="str">
        <f>IF(COUNTBLANK(H178)=1,IF(C178&lt;='Config.'!$D$10,"meta","nops"),"")</f>
        <v>meta</v>
      </c>
      <c r="H178" s="62"/>
      <c r="I178" s="63" t="str">
        <f t="shared" si="13"/>
        <v/>
      </c>
      <c r="J178" s="63" t="str">
        <f t="shared" si="11"/>
        <v/>
      </c>
      <c r="K178" s="54" t="str">
        <f t="shared" si="14"/>
        <v/>
      </c>
      <c r="R178" s="27">
        <f>IF(COUNTBLANK(T177)=1,(R177*'Config.'!$D$12)+R177,(T177*'Config.'!$D$12)+T177)</f>
        <v>228.1919939694464</v>
      </c>
      <c r="S178" s="28" t="str">
        <f>IF(COUNTBLANK(T178)=1,IF(R178&lt;='Config.'!$D$10,"meta","nops"),"")</f>
        <v>meta</v>
      </c>
      <c r="T178" s="32"/>
    </row>
    <row r="179" spans="1:20" ht="20.100000000000001" customHeight="1" x14ac:dyDescent="0.25">
      <c r="A179" s="22" t="s">
        <v>25</v>
      </c>
      <c r="B179" s="20">
        <v>176</v>
      </c>
      <c r="C179" s="60">
        <f>IF(COUNTBLANK(H178)=1,(C178*'Config.'!$D$12)+C178,(H178*'Config.'!$D$12)+H178)</f>
        <v>230.47391390914086</v>
      </c>
      <c r="D179" s="60">
        <f t="shared" si="12"/>
        <v>2.2819199396944612</v>
      </c>
      <c r="E179" s="59">
        <v>0.8</v>
      </c>
      <c r="F179" s="61">
        <f t="shared" si="10"/>
        <v>0.57047998492361529</v>
      </c>
      <c r="G179" s="12" t="str">
        <f>IF(COUNTBLANK(H179)=1,IF(C179&lt;='Config.'!$D$10,"meta","nops"),"")</f>
        <v>meta</v>
      </c>
      <c r="H179" s="62"/>
      <c r="I179" s="63" t="str">
        <f t="shared" si="13"/>
        <v/>
      </c>
      <c r="J179" s="63" t="str">
        <f t="shared" si="11"/>
        <v/>
      </c>
      <c r="K179" s="54" t="str">
        <f t="shared" si="14"/>
        <v/>
      </c>
      <c r="R179" s="27">
        <f>IF(COUNTBLANK(T178)=1,(R178*'Config.'!$D$12)+R178,(T178*'Config.'!$D$12)+T178)</f>
        <v>230.47391390914086</v>
      </c>
      <c r="S179" s="28" t="str">
        <f>IF(COUNTBLANK(T179)=1,IF(R179&lt;='Config.'!$D$10,"meta","nops"),"")</f>
        <v>meta</v>
      </c>
      <c r="T179" s="32"/>
    </row>
    <row r="180" spans="1:20" ht="20.100000000000001" customHeight="1" x14ac:dyDescent="0.25">
      <c r="A180" s="22" t="s">
        <v>25</v>
      </c>
      <c r="B180" s="20">
        <v>177</v>
      </c>
      <c r="C180" s="60">
        <f>IF(COUNTBLANK(H179)=1,(C179*'Config.'!$D$12)+C179,(H179*'Config.'!$D$12)+H179)</f>
        <v>232.77865304823226</v>
      </c>
      <c r="D180" s="60">
        <f t="shared" si="12"/>
        <v>2.3047391390913958</v>
      </c>
      <c r="E180" s="59">
        <v>0.8</v>
      </c>
      <c r="F180" s="61">
        <f t="shared" si="10"/>
        <v>0.57618478477284896</v>
      </c>
      <c r="G180" s="12" t="str">
        <f>IF(COUNTBLANK(H180)=1,IF(C180&lt;='Config.'!$D$10,"meta","nops"),"")</f>
        <v>meta</v>
      </c>
      <c r="H180" s="62"/>
      <c r="I180" s="63" t="str">
        <f t="shared" si="13"/>
        <v/>
      </c>
      <c r="J180" s="63" t="str">
        <f t="shared" si="11"/>
        <v/>
      </c>
      <c r="K180" s="54" t="str">
        <f t="shared" si="14"/>
        <v/>
      </c>
      <c r="R180" s="27">
        <f>IF(COUNTBLANK(T179)=1,(R179*'Config.'!$D$12)+R179,(T179*'Config.'!$D$12)+T179)</f>
        <v>232.77865304823226</v>
      </c>
      <c r="S180" s="28" t="str">
        <f>IF(COUNTBLANK(T180)=1,IF(R180&lt;='Config.'!$D$10,"meta","nops"),"")</f>
        <v>meta</v>
      </c>
      <c r="T180" s="32"/>
    </row>
    <row r="181" spans="1:20" ht="20.100000000000001" customHeight="1" x14ac:dyDescent="0.25">
      <c r="A181" s="22" t="s">
        <v>25</v>
      </c>
      <c r="B181" s="20">
        <v>178</v>
      </c>
      <c r="C181" s="60">
        <f>IF(COUNTBLANK(H180)=1,(C180*'Config.'!$D$12)+C180,(H180*'Config.'!$D$12)+H180)</f>
        <v>235.10643957871457</v>
      </c>
      <c r="D181" s="60">
        <f t="shared" si="12"/>
        <v>2.3277865304823138</v>
      </c>
      <c r="E181" s="59">
        <v>0.8</v>
      </c>
      <c r="F181" s="61">
        <f t="shared" si="10"/>
        <v>0.58194663262057844</v>
      </c>
      <c r="G181" s="12" t="str">
        <f>IF(COUNTBLANK(H181)=1,IF(C181&lt;='Config.'!$D$10,"meta","nops"),"")</f>
        <v>meta</v>
      </c>
      <c r="H181" s="62"/>
      <c r="I181" s="63" t="str">
        <f t="shared" si="13"/>
        <v/>
      </c>
      <c r="J181" s="63" t="str">
        <f t="shared" si="11"/>
        <v/>
      </c>
      <c r="K181" s="54" t="str">
        <f t="shared" si="14"/>
        <v/>
      </c>
      <c r="R181" s="27">
        <f>IF(COUNTBLANK(T180)=1,(R180*'Config.'!$D$12)+R180,(T180*'Config.'!$D$12)+T180)</f>
        <v>235.10643957871457</v>
      </c>
      <c r="S181" s="28" t="str">
        <f>IF(COUNTBLANK(T181)=1,IF(R181&lt;='Config.'!$D$10,"meta","nops"),"")</f>
        <v>meta</v>
      </c>
      <c r="T181" s="32"/>
    </row>
    <row r="182" spans="1:20" ht="20.100000000000001" customHeight="1" x14ac:dyDescent="0.25">
      <c r="A182" s="22" t="s">
        <v>25</v>
      </c>
      <c r="B182" s="20">
        <v>179</v>
      </c>
      <c r="C182" s="60">
        <f>IF(COUNTBLANK(H181)=1,(C181*'Config.'!$D$12)+C181,(H181*'Config.'!$D$12)+H181)</f>
        <v>237.45750397450172</v>
      </c>
      <c r="D182" s="60">
        <f t="shared" si="12"/>
        <v>2.351064395787148</v>
      </c>
      <c r="E182" s="59">
        <v>0.8</v>
      </c>
      <c r="F182" s="61">
        <f t="shared" si="10"/>
        <v>0.587766098946787</v>
      </c>
      <c r="G182" s="12" t="str">
        <f>IF(COUNTBLANK(H182)=1,IF(C182&lt;='Config.'!$D$10,"meta","nops"),"")</f>
        <v>meta</v>
      </c>
      <c r="H182" s="62"/>
      <c r="I182" s="63" t="str">
        <f t="shared" si="13"/>
        <v/>
      </c>
      <c r="J182" s="63" t="str">
        <f t="shared" si="11"/>
        <v/>
      </c>
      <c r="K182" s="54" t="str">
        <f t="shared" si="14"/>
        <v/>
      </c>
      <c r="R182" s="27">
        <f>IF(COUNTBLANK(T181)=1,(R181*'Config.'!$D$12)+R181,(T181*'Config.'!$D$12)+T181)</f>
        <v>237.45750397450172</v>
      </c>
      <c r="S182" s="28" t="str">
        <f>IF(COUNTBLANK(T182)=1,IF(R182&lt;='Config.'!$D$10,"meta","nops"),"")</f>
        <v>meta</v>
      </c>
      <c r="T182" s="32"/>
    </row>
    <row r="183" spans="1:20" ht="20.100000000000001" customHeight="1" x14ac:dyDescent="0.25">
      <c r="A183" s="22" t="s">
        <v>25</v>
      </c>
      <c r="B183" s="20">
        <v>180</v>
      </c>
      <c r="C183" s="60">
        <f>IF(COUNTBLANK(H182)=1,(C182*'Config.'!$D$12)+C182,(H182*'Config.'!$D$12)+H182)</f>
        <v>239.83207901424674</v>
      </c>
      <c r="D183" s="60">
        <f t="shared" si="12"/>
        <v>2.3745750397450252</v>
      </c>
      <c r="E183" s="59">
        <v>0.8</v>
      </c>
      <c r="F183" s="61">
        <f t="shared" si="10"/>
        <v>0.59364375993625629</v>
      </c>
      <c r="G183" s="12" t="str">
        <f>IF(COUNTBLANK(H183)=1,IF(C183&lt;='Config.'!$D$10,"meta","nops"),"")</f>
        <v>meta</v>
      </c>
      <c r="H183" s="62"/>
      <c r="I183" s="63" t="str">
        <f t="shared" si="13"/>
        <v/>
      </c>
      <c r="J183" s="63" t="str">
        <f t="shared" si="11"/>
        <v/>
      </c>
      <c r="K183" s="54" t="str">
        <f t="shared" si="14"/>
        <v/>
      </c>
      <c r="R183" s="27">
        <f>IF(COUNTBLANK(T182)=1,(R182*'Config.'!$D$12)+R182,(T182*'Config.'!$D$12)+T182)</f>
        <v>239.83207901424674</v>
      </c>
      <c r="S183" s="28" t="str">
        <f>IF(COUNTBLANK(T183)=1,IF(R183&lt;='Config.'!$D$10,"meta","nops"),"")</f>
        <v>meta</v>
      </c>
      <c r="T183" s="32"/>
    </row>
    <row r="184" spans="1:20" ht="20.100000000000001" customHeight="1" x14ac:dyDescent="0.25">
      <c r="A184" s="22" t="s">
        <v>25</v>
      </c>
      <c r="B184" s="20">
        <v>181</v>
      </c>
      <c r="C184" s="60">
        <f>IF(COUNTBLANK(H183)=1,(C183*'Config.'!$D$12)+C183,(H183*'Config.'!$D$12)+H183)</f>
        <v>242.23039980438921</v>
      </c>
      <c r="D184" s="60">
        <f t="shared" si="12"/>
        <v>2.3983207901424635</v>
      </c>
      <c r="E184" s="59">
        <v>0.8</v>
      </c>
      <c r="F184" s="61">
        <f t="shared" si="10"/>
        <v>0.59958019753561587</v>
      </c>
      <c r="G184" s="12" t="str">
        <f>IF(COUNTBLANK(H184)=1,IF(C184&lt;='Config.'!$D$10,"meta","nops"),"")</f>
        <v>meta</v>
      </c>
      <c r="H184" s="62"/>
      <c r="I184" s="63" t="str">
        <f t="shared" si="13"/>
        <v/>
      </c>
      <c r="J184" s="63" t="str">
        <f t="shared" si="11"/>
        <v/>
      </c>
      <c r="K184" s="54" t="str">
        <f t="shared" si="14"/>
        <v/>
      </c>
      <c r="R184" s="27">
        <f>IF(COUNTBLANK(T183)=1,(R183*'Config.'!$D$12)+R183,(T183*'Config.'!$D$12)+T183)</f>
        <v>242.23039980438921</v>
      </c>
      <c r="S184" s="28" t="str">
        <f>IF(COUNTBLANK(T184)=1,IF(R184&lt;='Config.'!$D$10,"meta","nops"),"")</f>
        <v>meta</v>
      </c>
      <c r="T184" s="32"/>
    </row>
    <row r="185" spans="1:20" ht="20.100000000000001" customHeight="1" x14ac:dyDescent="0.25">
      <c r="A185" s="22" t="s">
        <v>25</v>
      </c>
      <c r="B185" s="20">
        <v>182</v>
      </c>
      <c r="C185" s="60">
        <f>IF(COUNTBLANK(H184)=1,(C184*'Config.'!$D$12)+C184,(H184*'Config.'!$D$12)+H184)</f>
        <v>244.65270380243311</v>
      </c>
      <c r="D185" s="60">
        <f t="shared" si="12"/>
        <v>2.4223039980439012</v>
      </c>
      <c r="E185" s="59">
        <v>0.8</v>
      </c>
      <c r="F185" s="61">
        <f t="shared" si="10"/>
        <v>0.60557599951097529</v>
      </c>
      <c r="G185" s="12" t="str">
        <f>IF(COUNTBLANK(H185)=1,IF(C185&lt;='Config.'!$D$10,"meta","nops"),"")</f>
        <v>meta</v>
      </c>
      <c r="H185" s="62"/>
      <c r="I185" s="63" t="str">
        <f t="shared" si="13"/>
        <v/>
      </c>
      <c r="J185" s="63" t="str">
        <f t="shared" si="11"/>
        <v/>
      </c>
      <c r="K185" s="54" t="str">
        <f t="shared" si="14"/>
        <v/>
      </c>
      <c r="R185" s="27">
        <f>IF(COUNTBLANK(T184)=1,(R184*'Config.'!$D$12)+R184,(T184*'Config.'!$D$12)+T184)</f>
        <v>244.65270380243311</v>
      </c>
      <c r="S185" s="28" t="str">
        <f>IF(COUNTBLANK(T185)=1,IF(R185&lt;='Config.'!$D$10,"meta","nops"),"")</f>
        <v>meta</v>
      </c>
      <c r="T185" s="32"/>
    </row>
    <row r="186" spans="1:20" ht="20.100000000000001" customHeight="1" x14ac:dyDescent="0.25">
      <c r="A186" s="22" t="s">
        <v>25</v>
      </c>
      <c r="B186" s="20">
        <v>183</v>
      </c>
      <c r="C186" s="60">
        <f>IF(COUNTBLANK(H185)=1,(C185*'Config.'!$D$12)+C185,(H185*'Config.'!$D$12)+H185)</f>
        <v>247.09923084045744</v>
      </c>
      <c r="D186" s="60">
        <f t="shared" si="12"/>
        <v>2.4465270380243282</v>
      </c>
      <c r="E186" s="59">
        <v>0.8</v>
      </c>
      <c r="F186" s="61">
        <f t="shared" si="10"/>
        <v>0.61163175950608206</v>
      </c>
      <c r="G186" s="12" t="str">
        <f>IF(COUNTBLANK(H186)=1,IF(C186&lt;='Config.'!$D$10,"meta","nops"),"")</f>
        <v>meta</v>
      </c>
      <c r="H186" s="62"/>
      <c r="I186" s="63" t="str">
        <f t="shared" si="13"/>
        <v/>
      </c>
      <c r="J186" s="63" t="str">
        <f t="shared" si="11"/>
        <v/>
      </c>
      <c r="K186" s="54" t="str">
        <f t="shared" si="14"/>
        <v/>
      </c>
      <c r="R186" s="27">
        <f>IF(COUNTBLANK(T185)=1,(R185*'Config.'!$D$12)+R185,(T185*'Config.'!$D$12)+T185)</f>
        <v>247.09923084045744</v>
      </c>
      <c r="S186" s="28" t="str">
        <f>IF(COUNTBLANK(T186)=1,IF(R186&lt;='Config.'!$D$10,"meta","nops"),"")</f>
        <v>meta</v>
      </c>
      <c r="T186" s="32"/>
    </row>
    <row r="187" spans="1:20" ht="20.100000000000001" customHeight="1" x14ac:dyDescent="0.25">
      <c r="A187" s="22" t="s">
        <v>25</v>
      </c>
      <c r="B187" s="20">
        <v>184</v>
      </c>
      <c r="C187" s="60">
        <f>IF(COUNTBLANK(H186)=1,(C186*'Config.'!$D$12)+C186,(H186*'Config.'!$D$12)+H186)</f>
        <v>249.570223148862</v>
      </c>
      <c r="D187" s="60">
        <f t="shared" si="12"/>
        <v>2.4709923084045613</v>
      </c>
      <c r="E187" s="59">
        <v>0.8</v>
      </c>
      <c r="F187" s="61">
        <f t="shared" si="10"/>
        <v>0.61774807710114032</v>
      </c>
      <c r="G187" s="12" t="str">
        <f>IF(COUNTBLANK(H187)=1,IF(C187&lt;='Config.'!$D$10,"meta","nops"),"")</f>
        <v>meta</v>
      </c>
      <c r="H187" s="62"/>
      <c r="I187" s="63" t="str">
        <f t="shared" si="13"/>
        <v/>
      </c>
      <c r="J187" s="63" t="str">
        <f t="shared" si="11"/>
        <v/>
      </c>
      <c r="K187" s="54" t="str">
        <f t="shared" si="14"/>
        <v/>
      </c>
      <c r="R187" s="27">
        <f>IF(COUNTBLANK(T186)=1,(R186*'Config.'!$D$12)+R186,(T186*'Config.'!$D$12)+T186)</f>
        <v>249.570223148862</v>
      </c>
      <c r="S187" s="28" t="str">
        <f>IF(COUNTBLANK(T187)=1,IF(R187&lt;='Config.'!$D$10,"meta","nops"),"")</f>
        <v>meta</v>
      </c>
      <c r="T187" s="32"/>
    </row>
    <row r="188" spans="1:20" ht="20.100000000000001" customHeight="1" x14ac:dyDescent="0.25">
      <c r="A188" s="22" t="s">
        <v>25</v>
      </c>
      <c r="B188" s="20">
        <v>185</v>
      </c>
      <c r="C188" s="60">
        <f>IF(COUNTBLANK(H187)=1,(C187*'Config.'!$D$12)+C187,(H187*'Config.'!$D$12)+H187)</f>
        <v>252.06592538035062</v>
      </c>
      <c r="D188" s="60">
        <f t="shared" si="12"/>
        <v>2.4957022314886217</v>
      </c>
      <c r="E188" s="59">
        <v>0.8</v>
      </c>
      <c r="F188" s="61">
        <f t="shared" si="10"/>
        <v>0.62392555787215542</v>
      </c>
      <c r="G188" s="12" t="str">
        <f>IF(COUNTBLANK(H188)=1,IF(C188&lt;='Config.'!$D$10,"meta","nops"),"")</f>
        <v>meta</v>
      </c>
      <c r="H188" s="62"/>
      <c r="I188" s="63" t="str">
        <f t="shared" si="13"/>
        <v/>
      </c>
      <c r="J188" s="63" t="str">
        <f t="shared" si="11"/>
        <v/>
      </c>
      <c r="K188" s="54" t="str">
        <f t="shared" si="14"/>
        <v/>
      </c>
      <c r="R188" s="27">
        <f>IF(COUNTBLANK(T187)=1,(R187*'Config.'!$D$12)+R187,(T187*'Config.'!$D$12)+T187)</f>
        <v>252.06592538035062</v>
      </c>
      <c r="S188" s="28" t="str">
        <f>IF(COUNTBLANK(T188)=1,IF(R188&lt;='Config.'!$D$10,"meta","nops"),"")</f>
        <v>meta</v>
      </c>
      <c r="T188" s="32"/>
    </row>
    <row r="189" spans="1:20" ht="20.100000000000001" customHeight="1" x14ac:dyDescent="0.25">
      <c r="A189" s="22" t="s">
        <v>25</v>
      </c>
      <c r="B189" s="20">
        <v>186</v>
      </c>
      <c r="C189" s="60">
        <f>IF(COUNTBLANK(H188)=1,(C188*'Config.'!$D$12)+C188,(H188*'Config.'!$D$12)+H188)</f>
        <v>254.58658463415412</v>
      </c>
      <c r="D189" s="60">
        <f t="shared" si="12"/>
        <v>2.5206592538035011</v>
      </c>
      <c r="E189" s="59">
        <v>0.8</v>
      </c>
      <c r="F189" s="61">
        <f t="shared" si="10"/>
        <v>0.63016481345087527</v>
      </c>
      <c r="G189" s="12" t="str">
        <f>IF(COUNTBLANK(H189)=1,IF(C189&lt;='Config.'!$D$10,"meta","nops"),"")</f>
        <v>meta</v>
      </c>
      <c r="H189" s="62"/>
      <c r="I189" s="63" t="str">
        <f t="shared" si="13"/>
        <v/>
      </c>
      <c r="J189" s="63" t="str">
        <f t="shared" si="11"/>
        <v/>
      </c>
      <c r="K189" s="54" t="str">
        <f t="shared" si="14"/>
        <v/>
      </c>
      <c r="R189" s="27">
        <f>IF(COUNTBLANK(T188)=1,(R188*'Config.'!$D$12)+R188,(T188*'Config.'!$D$12)+T188)</f>
        <v>254.58658463415412</v>
      </c>
      <c r="S189" s="28" t="str">
        <f>IF(COUNTBLANK(T189)=1,IF(R189&lt;='Config.'!$D$10,"meta","nops"),"")</f>
        <v>meta</v>
      </c>
      <c r="T189" s="32"/>
    </row>
    <row r="190" spans="1:20" ht="20.100000000000001" customHeight="1" x14ac:dyDescent="0.25">
      <c r="A190" s="22" t="s">
        <v>25</v>
      </c>
      <c r="B190" s="20">
        <v>187</v>
      </c>
      <c r="C190" s="60">
        <f>IF(COUNTBLANK(H189)=1,(C189*'Config.'!$D$12)+C189,(H189*'Config.'!$D$12)+H189)</f>
        <v>257.13245048049566</v>
      </c>
      <c r="D190" s="60">
        <f t="shared" si="12"/>
        <v>2.5458658463415418</v>
      </c>
      <c r="E190" s="59">
        <v>0.8</v>
      </c>
      <c r="F190" s="61">
        <f t="shared" si="10"/>
        <v>0.63646646158538545</v>
      </c>
      <c r="G190" s="12" t="str">
        <f>IF(COUNTBLANK(H190)=1,IF(C190&lt;='Config.'!$D$10,"meta","nops"),"")</f>
        <v>meta</v>
      </c>
      <c r="H190" s="62"/>
      <c r="I190" s="63" t="str">
        <f t="shared" si="13"/>
        <v/>
      </c>
      <c r="J190" s="63" t="str">
        <f t="shared" si="11"/>
        <v/>
      </c>
      <c r="K190" s="54" t="str">
        <f t="shared" si="14"/>
        <v/>
      </c>
      <c r="R190" s="27">
        <f>IF(COUNTBLANK(T189)=1,(R189*'Config.'!$D$12)+R189,(T189*'Config.'!$D$12)+T189)</f>
        <v>257.13245048049566</v>
      </c>
      <c r="S190" s="28" t="str">
        <f>IF(COUNTBLANK(T190)=1,IF(R190&lt;='Config.'!$D$10,"meta","nops"),"")</f>
        <v>meta</v>
      </c>
      <c r="T190" s="32"/>
    </row>
    <row r="191" spans="1:20" ht="20.100000000000001" customHeight="1" x14ac:dyDescent="0.25">
      <c r="A191" s="22" t="s">
        <v>25</v>
      </c>
      <c r="B191" s="20">
        <v>188</v>
      </c>
      <c r="C191" s="60">
        <f>IF(COUNTBLANK(H190)=1,(C190*'Config.'!$D$12)+C190,(H190*'Config.'!$D$12)+H190)</f>
        <v>259.70377498530064</v>
      </c>
      <c r="D191" s="60">
        <f t="shared" si="12"/>
        <v>2.5713245048049771</v>
      </c>
      <c r="E191" s="59">
        <v>0.8</v>
      </c>
      <c r="F191" s="61">
        <f t="shared" si="10"/>
        <v>0.64283112620124427</v>
      </c>
      <c r="G191" s="12" t="str">
        <f>IF(COUNTBLANK(H191)=1,IF(C191&lt;='Config.'!$D$10,"meta","nops"),"")</f>
        <v>meta</v>
      </c>
      <c r="H191" s="62"/>
      <c r="I191" s="63" t="str">
        <f t="shared" si="13"/>
        <v/>
      </c>
      <c r="J191" s="63" t="str">
        <f t="shared" si="11"/>
        <v/>
      </c>
      <c r="K191" s="54" t="str">
        <f t="shared" si="14"/>
        <v/>
      </c>
      <c r="R191" s="27">
        <f>IF(COUNTBLANK(T190)=1,(R190*'Config.'!$D$12)+R190,(T190*'Config.'!$D$12)+T190)</f>
        <v>259.70377498530064</v>
      </c>
      <c r="S191" s="28" t="str">
        <f>IF(COUNTBLANK(T191)=1,IF(R191&lt;='Config.'!$D$10,"meta","nops"),"")</f>
        <v>meta</v>
      </c>
      <c r="T191" s="32"/>
    </row>
    <row r="192" spans="1:20" ht="20.100000000000001" customHeight="1" x14ac:dyDescent="0.25">
      <c r="A192" s="22" t="s">
        <v>25</v>
      </c>
      <c r="B192" s="20">
        <v>189</v>
      </c>
      <c r="C192" s="60">
        <f>IF(COUNTBLANK(H191)=1,(C191*'Config.'!$D$12)+C191,(H191*'Config.'!$D$12)+H191)</f>
        <v>262.30081273515367</v>
      </c>
      <c r="D192" s="60">
        <f t="shared" si="12"/>
        <v>2.5970377498530297</v>
      </c>
      <c r="E192" s="59">
        <v>0.8</v>
      </c>
      <c r="F192" s="61">
        <f t="shared" si="10"/>
        <v>0.64925943746325743</v>
      </c>
      <c r="G192" s="12" t="str">
        <f>IF(COUNTBLANK(H192)=1,IF(C192&lt;='Config.'!$D$10,"meta","nops"),"")</f>
        <v>meta</v>
      </c>
      <c r="H192" s="62"/>
      <c r="I192" s="63" t="str">
        <f t="shared" si="13"/>
        <v/>
      </c>
      <c r="J192" s="63" t="str">
        <f t="shared" si="11"/>
        <v/>
      </c>
      <c r="K192" s="54" t="str">
        <f t="shared" si="14"/>
        <v/>
      </c>
      <c r="R192" s="27">
        <f>IF(COUNTBLANK(T191)=1,(R191*'Config.'!$D$12)+R191,(T191*'Config.'!$D$12)+T191)</f>
        <v>262.30081273515367</v>
      </c>
      <c r="S192" s="28" t="str">
        <f>IF(COUNTBLANK(T192)=1,IF(R192&lt;='Config.'!$D$10,"meta","nops"),"")</f>
        <v>meta</v>
      </c>
      <c r="T192" s="32"/>
    </row>
    <row r="193" spans="1:20" ht="20.100000000000001" customHeight="1" x14ac:dyDescent="0.25">
      <c r="A193" s="22" t="s">
        <v>25</v>
      </c>
      <c r="B193" s="20">
        <v>190</v>
      </c>
      <c r="C193" s="60">
        <f>IF(COUNTBLANK(H192)=1,(C192*'Config.'!$D$12)+C192,(H192*'Config.'!$D$12)+H192)</f>
        <v>264.92382086250518</v>
      </c>
      <c r="D193" s="60">
        <f t="shared" si="12"/>
        <v>2.6230081273515111</v>
      </c>
      <c r="E193" s="59">
        <v>0.8</v>
      </c>
      <c r="F193" s="61">
        <f t="shared" si="10"/>
        <v>0.65575203183787778</v>
      </c>
      <c r="G193" s="12" t="str">
        <f>IF(COUNTBLANK(H193)=1,IF(C193&lt;='Config.'!$D$10,"meta","nops"),"")</f>
        <v>meta</v>
      </c>
      <c r="H193" s="62"/>
      <c r="I193" s="63" t="str">
        <f t="shared" si="13"/>
        <v/>
      </c>
      <c r="J193" s="63" t="str">
        <f t="shared" si="11"/>
        <v/>
      </c>
      <c r="K193" s="54" t="str">
        <f t="shared" si="14"/>
        <v/>
      </c>
      <c r="R193" s="27">
        <f>IF(COUNTBLANK(T192)=1,(R192*'Config.'!$D$12)+R192,(T192*'Config.'!$D$12)+T192)</f>
        <v>264.92382086250518</v>
      </c>
      <c r="S193" s="28" t="str">
        <f>IF(COUNTBLANK(T193)=1,IF(R193&lt;='Config.'!$D$10,"meta","nops"),"")</f>
        <v>meta</v>
      </c>
      <c r="T193" s="32"/>
    </row>
    <row r="194" spans="1:20" ht="20.100000000000001" customHeight="1" x14ac:dyDescent="0.25">
      <c r="A194" s="22" t="s">
        <v>25</v>
      </c>
      <c r="B194" s="20">
        <v>191</v>
      </c>
      <c r="C194" s="60">
        <f>IF(COUNTBLANK(H193)=1,(C193*'Config.'!$D$12)+C193,(H193*'Config.'!$D$12)+H193)</f>
        <v>267.57305907113022</v>
      </c>
      <c r="D194" s="60">
        <f t="shared" si="12"/>
        <v>2.6492382086250359</v>
      </c>
      <c r="E194" s="59">
        <v>0.8</v>
      </c>
      <c r="F194" s="61">
        <f t="shared" si="10"/>
        <v>0.66230955215625897</v>
      </c>
      <c r="G194" s="12" t="str">
        <f>IF(COUNTBLANK(H194)=1,IF(C194&lt;='Config.'!$D$10,"meta","nops"),"")</f>
        <v>meta</v>
      </c>
      <c r="H194" s="62"/>
      <c r="I194" s="63" t="str">
        <f t="shared" si="13"/>
        <v/>
      </c>
      <c r="J194" s="63" t="str">
        <f t="shared" si="11"/>
        <v/>
      </c>
      <c r="K194" s="54" t="str">
        <f t="shared" si="14"/>
        <v/>
      </c>
      <c r="R194" s="27">
        <f>IF(COUNTBLANK(T193)=1,(R193*'Config.'!$D$12)+R193,(T193*'Config.'!$D$12)+T193)</f>
        <v>267.57305907113022</v>
      </c>
      <c r="S194" s="28" t="str">
        <f>IF(COUNTBLANK(T194)=1,IF(R194&lt;='Config.'!$D$10,"meta","nops"),"")</f>
        <v>meta</v>
      </c>
      <c r="T194" s="32"/>
    </row>
    <row r="195" spans="1:20" ht="20.100000000000001" customHeight="1" x14ac:dyDescent="0.25">
      <c r="A195" s="22" t="s">
        <v>25</v>
      </c>
      <c r="B195" s="20">
        <v>192</v>
      </c>
      <c r="C195" s="60">
        <f>IF(COUNTBLANK(H194)=1,(C194*'Config.'!$D$12)+C194,(H194*'Config.'!$D$12)+H194)</f>
        <v>270.2487896618415</v>
      </c>
      <c r="D195" s="60">
        <f t="shared" si="12"/>
        <v>2.6757305907112823</v>
      </c>
      <c r="E195" s="59">
        <v>0.8</v>
      </c>
      <c r="F195" s="61">
        <f t="shared" si="10"/>
        <v>0.66893264767782057</v>
      </c>
      <c r="G195" s="12" t="str">
        <f>IF(COUNTBLANK(H195)=1,IF(C195&lt;='Config.'!$D$10,"meta","nops"),"")</f>
        <v>meta</v>
      </c>
      <c r="H195" s="62"/>
      <c r="I195" s="63" t="str">
        <f t="shared" si="13"/>
        <v/>
      </c>
      <c r="J195" s="63" t="str">
        <f t="shared" si="11"/>
        <v/>
      </c>
      <c r="K195" s="54" t="str">
        <f t="shared" si="14"/>
        <v/>
      </c>
      <c r="R195" s="27">
        <f>IF(COUNTBLANK(T194)=1,(R194*'Config.'!$D$12)+R194,(T194*'Config.'!$D$12)+T194)</f>
        <v>270.2487896618415</v>
      </c>
      <c r="S195" s="28" t="str">
        <f>IF(COUNTBLANK(T195)=1,IF(R195&lt;='Config.'!$D$10,"meta","nops"),"")</f>
        <v>meta</v>
      </c>
      <c r="T195" s="32"/>
    </row>
    <row r="196" spans="1:20" ht="20.100000000000001" customHeight="1" x14ac:dyDescent="0.25">
      <c r="A196" s="22" t="s">
        <v>25</v>
      </c>
      <c r="B196" s="20">
        <v>193</v>
      </c>
      <c r="C196" s="60">
        <f>IF(COUNTBLANK(H195)=1,(C195*'Config.'!$D$12)+C195,(H195*'Config.'!$D$12)+H195)</f>
        <v>272.95127755845994</v>
      </c>
      <c r="D196" s="60">
        <f t="shared" si="12"/>
        <v>2.702487896618436</v>
      </c>
      <c r="E196" s="59">
        <v>0.8</v>
      </c>
      <c r="F196" s="61">
        <f t="shared" ref="F196:F259" si="15">IF(COUNTBLANK(E196)=0,(D196/E196)/$E$3,"-")</f>
        <v>0.67562197415460901</v>
      </c>
      <c r="G196" s="12" t="str">
        <f>IF(COUNTBLANK(H196)=1,IF(C196&lt;='Config.'!$D$10,"meta","nops"),"")</f>
        <v>meta</v>
      </c>
      <c r="H196" s="62"/>
      <c r="I196" s="63" t="str">
        <f t="shared" si="13"/>
        <v/>
      </c>
      <c r="J196" s="63" t="str">
        <f t="shared" ref="J196:J259" si="16">IF(I196="","",I196-D196)</f>
        <v/>
      </c>
      <c r="K196" s="54" t="str">
        <f t="shared" si="14"/>
        <v/>
      </c>
      <c r="R196" s="27">
        <f>IF(COUNTBLANK(T195)=1,(R195*'Config.'!$D$12)+R195,(T195*'Config.'!$D$12)+T195)</f>
        <v>272.95127755845994</v>
      </c>
      <c r="S196" s="28" t="str">
        <f>IF(COUNTBLANK(T196)=1,IF(R196&lt;='Config.'!$D$10,"meta","nops"),"")</f>
        <v>meta</v>
      </c>
      <c r="T196" s="32"/>
    </row>
    <row r="197" spans="1:20" ht="20.100000000000001" customHeight="1" x14ac:dyDescent="0.25">
      <c r="A197" s="22" t="s">
        <v>25</v>
      </c>
      <c r="B197" s="20">
        <v>194</v>
      </c>
      <c r="C197" s="60">
        <f>IF(COUNTBLANK(H196)=1,(C196*'Config.'!$D$12)+C196,(H196*'Config.'!$D$12)+H196)</f>
        <v>275.68079033404456</v>
      </c>
      <c r="D197" s="60">
        <f t="shared" ref="D197:D260" si="17">IF(COUNTBLANK(H196)=1,C197-C196,C197-H196)</f>
        <v>2.7295127755846238</v>
      </c>
      <c r="E197" s="59">
        <v>0.8</v>
      </c>
      <c r="F197" s="61">
        <f t="shared" si="15"/>
        <v>0.68237819389615595</v>
      </c>
      <c r="G197" s="12" t="str">
        <f>IF(COUNTBLANK(H197)=1,IF(C197&lt;='Config.'!$D$10,"meta","nops"),"")</f>
        <v>meta</v>
      </c>
      <c r="H197" s="62"/>
      <c r="I197" s="63" t="str">
        <f t="shared" ref="I197:I260" si="18">IF(COUNTBLANK(H197)=1,"",H197-H196)</f>
        <v/>
      </c>
      <c r="J197" s="63" t="str">
        <f t="shared" si="16"/>
        <v/>
      </c>
      <c r="K197" s="54" t="str">
        <f t="shared" ref="K197:K260" si="19">IF(COUNTBLANK(H197)=1,"",(H197-H196)/H196)</f>
        <v/>
      </c>
      <c r="R197" s="27">
        <f>IF(COUNTBLANK(T196)=1,(R196*'Config.'!$D$12)+R196,(T196*'Config.'!$D$12)+T196)</f>
        <v>275.68079033404456</v>
      </c>
      <c r="S197" s="28" t="str">
        <f>IF(COUNTBLANK(T197)=1,IF(R197&lt;='Config.'!$D$10,"meta","nops"),"")</f>
        <v>meta</v>
      </c>
      <c r="T197" s="32"/>
    </row>
    <row r="198" spans="1:20" ht="20.100000000000001" customHeight="1" x14ac:dyDescent="0.25">
      <c r="A198" s="22" t="s">
        <v>25</v>
      </c>
      <c r="B198" s="20">
        <v>195</v>
      </c>
      <c r="C198" s="60">
        <f>IF(COUNTBLANK(H197)=1,(C197*'Config.'!$D$12)+C197,(H197*'Config.'!$D$12)+H197)</f>
        <v>278.43759823738503</v>
      </c>
      <c r="D198" s="60">
        <f t="shared" si="17"/>
        <v>2.7568079033404729</v>
      </c>
      <c r="E198" s="59">
        <v>0.8</v>
      </c>
      <c r="F198" s="61">
        <f t="shared" si="15"/>
        <v>0.68920197583511822</v>
      </c>
      <c r="G198" s="12" t="str">
        <f>IF(COUNTBLANK(H198)=1,IF(C198&lt;='Config.'!$D$10,"meta","nops"),"")</f>
        <v>meta</v>
      </c>
      <c r="H198" s="62"/>
      <c r="I198" s="63" t="str">
        <f t="shared" si="18"/>
        <v/>
      </c>
      <c r="J198" s="63" t="str">
        <f t="shared" si="16"/>
        <v/>
      </c>
      <c r="K198" s="54" t="str">
        <f t="shared" si="19"/>
        <v/>
      </c>
      <c r="R198" s="27">
        <f>IF(COUNTBLANK(T197)=1,(R197*'Config.'!$D$12)+R197,(T197*'Config.'!$D$12)+T197)</f>
        <v>278.43759823738503</v>
      </c>
      <c r="S198" s="28" t="str">
        <f>IF(COUNTBLANK(T198)=1,IF(R198&lt;='Config.'!$D$10,"meta","nops"),"")</f>
        <v>meta</v>
      </c>
      <c r="T198" s="32"/>
    </row>
    <row r="199" spans="1:20" ht="20.100000000000001" customHeight="1" x14ac:dyDescent="0.25">
      <c r="A199" s="22" t="s">
        <v>25</v>
      </c>
      <c r="B199" s="20">
        <v>196</v>
      </c>
      <c r="C199" s="60">
        <f>IF(COUNTBLANK(H198)=1,(C198*'Config.'!$D$12)+C198,(H198*'Config.'!$D$12)+H198)</f>
        <v>281.22197421975886</v>
      </c>
      <c r="D199" s="60">
        <f t="shared" si="17"/>
        <v>2.784375982373831</v>
      </c>
      <c r="E199" s="59">
        <v>0.8</v>
      </c>
      <c r="F199" s="61">
        <f t="shared" si="15"/>
        <v>0.69609399559345775</v>
      </c>
      <c r="G199" s="12" t="str">
        <f>IF(COUNTBLANK(H199)=1,IF(C199&lt;='Config.'!$D$10,"meta","nops"),"")</f>
        <v>meta</v>
      </c>
      <c r="H199" s="62"/>
      <c r="I199" s="63" t="str">
        <f t="shared" si="18"/>
        <v/>
      </c>
      <c r="J199" s="63" t="str">
        <f t="shared" si="16"/>
        <v/>
      </c>
      <c r="K199" s="54" t="str">
        <f t="shared" si="19"/>
        <v/>
      </c>
      <c r="R199" s="27">
        <f>IF(COUNTBLANK(T198)=1,(R198*'Config.'!$D$12)+R198,(T198*'Config.'!$D$12)+T198)</f>
        <v>281.22197421975886</v>
      </c>
      <c r="S199" s="28" t="str">
        <f>IF(COUNTBLANK(T199)=1,IF(R199&lt;='Config.'!$D$10,"meta","nops"),"")</f>
        <v>meta</v>
      </c>
      <c r="T199" s="32"/>
    </row>
    <row r="200" spans="1:20" ht="20.100000000000001" customHeight="1" x14ac:dyDescent="0.25">
      <c r="A200" s="22" t="s">
        <v>25</v>
      </c>
      <c r="B200" s="20">
        <v>197</v>
      </c>
      <c r="C200" s="60">
        <f>IF(COUNTBLANK(H199)=1,(C199*'Config.'!$D$12)+C199,(H199*'Config.'!$D$12)+H199)</f>
        <v>284.03419396195648</v>
      </c>
      <c r="D200" s="60">
        <f t="shared" si="17"/>
        <v>2.8122197421976125</v>
      </c>
      <c r="E200" s="59">
        <v>0.8</v>
      </c>
      <c r="F200" s="61">
        <f t="shared" si="15"/>
        <v>0.70305493554940313</v>
      </c>
      <c r="G200" s="12" t="str">
        <f>IF(COUNTBLANK(H200)=1,IF(C200&lt;='Config.'!$D$10,"meta","nops"),"")</f>
        <v>meta</v>
      </c>
      <c r="H200" s="62"/>
      <c r="I200" s="63" t="str">
        <f t="shared" si="18"/>
        <v/>
      </c>
      <c r="J200" s="63" t="str">
        <f t="shared" si="16"/>
        <v/>
      </c>
      <c r="K200" s="54" t="str">
        <f t="shared" si="19"/>
        <v/>
      </c>
      <c r="R200" s="27">
        <f>IF(COUNTBLANK(T199)=1,(R199*'Config.'!$D$12)+R199,(T199*'Config.'!$D$12)+T199)</f>
        <v>284.03419396195648</v>
      </c>
      <c r="S200" s="28" t="str">
        <f>IF(COUNTBLANK(T200)=1,IF(R200&lt;='Config.'!$D$10,"meta","nops"),"")</f>
        <v>meta</v>
      </c>
      <c r="T200" s="32"/>
    </row>
    <row r="201" spans="1:20" ht="20.100000000000001" customHeight="1" x14ac:dyDescent="0.25">
      <c r="A201" s="22" t="s">
        <v>25</v>
      </c>
      <c r="B201" s="20">
        <v>198</v>
      </c>
      <c r="C201" s="60">
        <f>IF(COUNTBLANK(H200)=1,(C200*'Config.'!$D$12)+C200,(H200*'Config.'!$D$12)+H200)</f>
        <v>286.87453590157605</v>
      </c>
      <c r="D201" s="60">
        <f t="shared" si="17"/>
        <v>2.8403419396195773</v>
      </c>
      <c r="E201" s="59">
        <v>0.8</v>
      </c>
      <c r="F201" s="61">
        <f t="shared" si="15"/>
        <v>0.71008548490489432</v>
      </c>
      <c r="G201" s="12" t="str">
        <f>IF(COUNTBLANK(H201)=1,IF(C201&lt;='Config.'!$D$10,"meta","nops"),"")</f>
        <v>meta</v>
      </c>
      <c r="H201" s="62"/>
      <c r="I201" s="63" t="str">
        <f t="shared" si="18"/>
        <v/>
      </c>
      <c r="J201" s="63" t="str">
        <f t="shared" si="16"/>
        <v/>
      </c>
      <c r="K201" s="54" t="str">
        <f t="shared" si="19"/>
        <v/>
      </c>
      <c r="R201" s="27">
        <f>IF(COUNTBLANK(T200)=1,(R200*'Config.'!$D$12)+R200,(T200*'Config.'!$D$12)+T200)</f>
        <v>286.87453590157605</v>
      </c>
      <c r="S201" s="28" t="str">
        <f>IF(COUNTBLANK(T201)=1,IF(R201&lt;='Config.'!$D$10,"meta","nops"),"")</f>
        <v>meta</v>
      </c>
      <c r="T201" s="32"/>
    </row>
    <row r="202" spans="1:20" ht="20.100000000000001" customHeight="1" x14ac:dyDescent="0.25">
      <c r="A202" s="22" t="s">
        <v>25</v>
      </c>
      <c r="B202" s="20">
        <v>199</v>
      </c>
      <c r="C202" s="60">
        <f>IF(COUNTBLANK(H201)=1,(C201*'Config.'!$D$12)+C201,(H201*'Config.'!$D$12)+H201)</f>
        <v>289.7432812605918</v>
      </c>
      <c r="D202" s="60">
        <f t="shared" si="17"/>
        <v>2.8687453590157475</v>
      </c>
      <c r="E202" s="59">
        <v>0.8</v>
      </c>
      <c r="F202" s="61">
        <f t="shared" si="15"/>
        <v>0.71718633975393686</v>
      </c>
      <c r="G202" s="12" t="str">
        <f>IF(COUNTBLANK(H202)=1,IF(C202&lt;='Config.'!$D$10,"meta","nops"),"")</f>
        <v>meta</v>
      </c>
      <c r="H202" s="62"/>
      <c r="I202" s="63" t="str">
        <f t="shared" si="18"/>
        <v/>
      </c>
      <c r="J202" s="63" t="str">
        <f t="shared" si="16"/>
        <v/>
      </c>
      <c r="K202" s="54" t="str">
        <f t="shared" si="19"/>
        <v/>
      </c>
      <c r="R202" s="27">
        <f>IF(COUNTBLANK(T201)=1,(R201*'Config.'!$D$12)+R201,(T201*'Config.'!$D$12)+T201)</f>
        <v>289.7432812605918</v>
      </c>
      <c r="S202" s="28" t="str">
        <f>IF(COUNTBLANK(T202)=1,IF(R202&lt;='Config.'!$D$10,"meta","nops"),"")</f>
        <v>meta</v>
      </c>
      <c r="T202" s="32"/>
    </row>
    <row r="203" spans="1:20" ht="20.100000000000001" customHeight="1" x14ac:dyDescent="0.25">
      <c r="A203" s="22" t="s">
        <v>25</v>
      </c>
      <c r="B203" s="20">
        <v>200</v>
      </c>
      <c r="C203" s="60">
        <f>IF(COUNTBLANK(H202)=1,(C202*'Config.'!$D$12)+C202,(H202*'Config.'!$D$12)+H202)</f>
        <v>292.64071407319773</v>
      </c>
      <c r="D203" s="60">
        <f t="shared" si="17"/>
        <v>2.8974328126059277</v>
      </c>
      <c r="E203" s="59">
        <v>0.8</v>
      </c>
      <c r="F203" s="61">
        <f t="shared" si="15"/>
        <v>0.72435820315148192</v>
      </c>
      <c r="G203" s="12" t="str">
        <f>IF(COUNTBLANK(H203)=1,IF(C203&lt;='Config.'!$D$10,"meta","nops"),"")</f>
        <v>meta</v>
      </c>
      <c r="H203" s="62"/>
      <c r="I203" s="63" t="str">
        <f t="shared" si="18"/>
        <v/>
      </c>
      <c r="J203" s="63" t="str">
        <f t="shared" si="16"/>
        <v/>
      </c>
      <c r="K203" s="54" t="str">
        <f t="shared" si="19"/>
        <v/>
      </c>
      <c r="R203" s="27">
        <f>IF(COUNTBLANK(T202)=1,(R202*'Config.'!$D$12)+R202,(T202*'Config.'!$D$12)+T202)</f>
        <v>292.64071407319773</v>
      </c>
      <c r="S203" s="28" t="str">
        <f>IF(COUNTBLANK(T203)=1,IF(R203&lt;='Config.'!$D$10,"meta","nops"),"")</f>
        <v>meta</v>
      </c>
      <c r="T203" s="32"/>
    </row>
    <row r="204" spans="1:20" ht="20.100000000000001" customHeight="1" x14ac:dyDescent="0.25">
      <c r="A204" s="22" t="s">
        <v>25</v>
      </c>
      <c r="B204" s="20">
        <v>201</v>
      </c>
      <c r="C204" s="60">
        <f>IF(COUNTBLANK(H203)=1,(C203*'Config.'!$D$12)+C203,(H203*'Config.'!$D$12)+H203)</f>
        <v>295.56712121392968</v>
      </c>
      <c r="D204" s="60">
        <f t="shared" si="17"/>
        <v>2.9264071407319534</v>
      </c>
      <c r="E204" s="59">
        <v>0.8</v>
      </c>
      <c r="F204" s="61">
        <f t="shared" si="15"/>
        <v>0.73160178518298835</v>
      </c>
      <c r="G204" s="12" t="str">
        <f>IF(COUNTBLANK(H204)=1,IF(C204&lt;='Config.'!$D$10,"meta","nops"),"")</f>
        <v>meta</v>
      </c>
      <c r="H204" s="62"/>
      <c r="I204" s="63" t="str">
        <f t="shared" si="18"/>
        <v/>
      </c>
      <c r="J204" s="63" t="str">
        <f t="shared" si="16"/>
        <v/>
      </c>
      <c r="K204" s="54" t="str">
        <f t="shared" si="19"/>
        <v/>
      </c>
      <c r="R204" s="27">
        <f>IF(COUNTBLANK(T203)=1,(R203*'Config.'!$D$12)+R203,(T203*'Config.'!$D$12)+T203)</f>
        <v>295.56712121392968</v>
      </c>
      <c r="S204" s="28" t="str">
        <f>IF(COUNTBLANK(T204)=1,IF(R204&lt;='Config.'!$D$10,"meta","nops"),"")</f>
        <v>meta</v>
      </c>
      <c r="T204" s="32"/>
    </row>
    <row r="205" spans="1:20" ht="20.100000000000001" customHeight="1" x14ac:dyDescent="0.25">
      <c r="A205" s="22" t="s">
        <v>25</v>
      </c>
      <c r="B205" s="20">
        <v>202</v>
      </c>
      <c r="C205" s="60">
        <f>IF(COUNTBLANK(H204)=1,(C204*'Config.'!$D$12)+C204,(H204*'Config.'!$D$12)+H204)</f>
        <v>298.52279242606897</v>
      </c>
      <c r="D205" s="60">
        <f t="shared" si="17"/>
        <v>2.9556712121392934</v>
      </c>
      <c r="E205" s="59">
        <v>0.8</v>
      </c>
      <c r="F205" s="61">
        <f t="shared" si="15"/>
        <v>0.73891780303482335</v>
      </c>
      <c r="G205" s="12" t="str">
        <f>IF(COUNTBLANK(H205)=1,IF(C205&lt;='Config.'!$D$10,"meta","nops"),"")</f>
        <v>meta</v>
      </c>
      <c r="H205" s="62"/>
      <c r="I205" s="63" t="str">
        <f t="shared" si="18"/>
        <v/>
      </c>
      <c r="J205" s="63" t="str">
        <f t="shared" si="16"/>
        <v/>
      </c>
      <c r="K205" s="54" t="str">
        <f t="shared" si="19"/>
        <v/>
      </c>
      <c r="R205" s="27">
        <f>IF(COUNTBLANK(T204)=1,(R204*'Config.'!$D$12)+R204,(T204*'Config.'!$D$12)+T204)</f>
        <v>298.52279242606897</v>
      </c>
      <c r="S205" s="28" t="str">
        <f>IF(COUNTBLANK(T205)=1,IF(R205&lt;='Config.'!$D$10,"meta","nops"),"")</f>
        <v>meta</v>
      </c>
      <c r="T205" s="32"/>
    </row>
    <row r="206" spans="1:20" ht="20.100000000000001" customHeight="1" x14ac:dyDescent="0.25">
      <c r="A206" s="22" t="s">
        <v>25</v>
      </c>
      <c r="B206" s="20">
        <v>203</v>
      </c>
      <c r="C206" s="60">
        <f>IF(COUNTBLANK(H205)=1,(C205*'Config.'!$D$12)+C205,(H205*'Config.'!$D$12)+H205)</f>
        <v>301.50802035032967</v>
      </c>
      <c r="D206" s="60">
        <f t="shared" si="17"/>
        <v>2.9852279242606983</v>
      </c>
      <c r="E206" s="59">
        <v>0.8</v>
      </c>
      <c r="F206" s="61">
        <f t="shared" si="15"/>
        <v>0.74630698106517457</v>
      </c>
      <c r="G206" s="12" t="str">
        <f>IF(COUNTBLANK(H206)=1,IF(C206&lt;='Config.'!$D$10,"meta","nops"),"")</f>
        <v>meta</v>
      </c>
      <c r="H206" s="62"/>
      <c r="I206" s="63" t="str">
        <f t="shared" si="18"/>
        <v/>
      </c>
      <c r="J206" s="63" t="str">
        <f t="shared" si="16"/>
        <v/>
      </c>
      <c r="K206" s="54" t="str">
        <f t="shared" si="19"/>
        <v/>
      </c>
      <c r="R206" s="27">
        <f>IF(COUNTBLANK(T205)=1,(R205*'Config.'!$D$12)+R205,(T205*'Config.'!$D$12)+T205)</f>
        <v>301.50802035032967</v>
      </c>
      <c r="S206" s="28" t="str">
        <f>IF(COUNTBLANK(T206)=1,IF(R206&lt;='Config.'!$D$10,"meta","nops"),"")</f>
        <v>meta</v>
      </c>
      <c r="T206" s="32"/>
    </row>
    <row r="207" spans="1:20" ht="20.100000000000001" customHeight="1" x14ac:dyDescent="0.25">
      <c r="A207" s="22" t="s">
        <v>25</v>
      </c>
      <c r="B207" s="20">
        <v>204</v>
      </c>
      <c r="C207" s="60">
        <f>IF(COUNTBLANK(H206)=1,(C206*'Config.'!$D$12)+C206,(H206*'Config.'!$D$12)+H206)</f>
        <v>304.52310055383299</v>
      </c>
      <c r="D207" s="60">
        <f t="shared" si="17"/>
        <v>3.0150802035033166</v>
      </c>
      <c r="E207" s="59">
        <v>0.8</v>
      </c>
      <c r="F207" s="61">
        <f t="shared" si="15"/>
        <v>0.75377005087582916</v>
      </c>
      <c r="G207" s="12" t="str">
        <f>IF(COUNTBLANK(H207)=1,IF(C207&lt;='Config.'!$D$10,"meta","nops"),"")</f>
        <v>meta</v>
      </c>
      <c r="H207" s="62"/>
      <c r="I207" s="63" t="str">
        <f t="shared" si="18"/>
        <v/>
      </c>
      <c r="J207" s="63" t="str">
        <f t="shared" si="16"/>
        <v/>
      </c>
      <c r="K207" s="54" t="str">
        <f t="shared" si="19"/>
        <v/>
      </c>
      <c r="R207" s="27">
        <f>IF(COUNTBLANK(T206)=1,(R206*'Config.'!$D$12)+R206,(T206*'Config.'!$D$12)+T206)</f>
        <v>304.52310055383299</v>
      </c>
      <c r="S207" s="28" t="str">
        <f>IF(COUNTBLANK(T207)=1,IF(R207&lt;='Config.'!$D$10,"meta","nops"),"")</f>
        <v>meta</v>
      </c>
      <c r="T207" s="32"/>
    </row>
    <row r="208" spans="1:20" ht="20.100000000000001" customHeight="1" x14ac:dyDescent="0.25">
      <c r="A208" s="22" t="s">
        <v>25</v>
      </c>
      <c r="B208" s="20">
        <v>205</v>
      </c>
      <c r="C208" s="60">
        <f>IF(COUNTBLANK(H207)=1,(C207*'Config.'!$D$12)+C207,(H207*'Config.'!$D$12)+H207)</f>
        <v>307.5683315593713</v>
      </c>
      <c r="D208" s="60">
        <f t="shared" si="17"/>
        <v>3.0452310055383123</v>
      </c>
      <c r="E208" s="59">
        <v>0.8</v>
      </c>
      <c r="F208" s="61">
        <f t="shared" si="15"/>
        <v>0.76130775138457807</v>
      </c>
      <c r="G208" s="12" t="str">
        <f>IF(COUNTBLANK(H208)=1,IF(C208&lt;='Config.'!$D$10,"meta","nops"),"")</f>
        <v>meta</v>
      </c>
      <c r="H208" s="62"/>
      <c r="I208" s="63" t="str">
        <f t="shared" si="18"/>
        <v/>
      </c>
      <c r="J208" s="63" t="str">
        <f t="shared" si="16"/>
        <v/>
      </c>
      <c r="K208" s="54" t="str">
        <f t="shared" si="19"/>
        <v/>
      </c>
      <c r="R208" s="27">
        <f>IF(COUNTBLANK(T207)=1,(R207*'Config.'!$D$12)+R207,(T207*'Config.'!$D$12)+T207)</f>
        <v>307.5683315593713</v>
      </c>
      <c r="S208" s="28" t="str">
        <f>IF(COUNTBLANK(T208)=1,IF(R208&lt;='Config.'!$D$10,"meta","nops"),"")</f>
        <v>meta</v>
      </c>
      <c r="T208" s="32"/>
    </row>
    <row r="209" spans="1:20" ht="20.100000000000001" customHeight="1" x14ac:dyDescent="0.25">
      <c r="A209" s="22" t="s">
        <v>25</v>
      </c>
      <c r="B209" s="20">
        <v>206</v>
      </c>
      <c r="C209" s="60">
        <f>IF(COUNTBLANK(H208)=1,(C208*'Config.'!$D$12)+C208,(H208*'Config.'!$D$12)+H208)</f>
        <v>310.64401487496502</v>
      </c>
      <c r="D209" s="60">
        <f t="shared" si="17"/>
        <v>3.0756833155937215</v>
      </c>
      <c r="E209" s="59">
        <v>0.8</v>
      </c>
      <c r="F209" s="61">
        <f t="shared" si="15"/>
        <v>0.76892082889843039</v>
      </c>
      <c r="G209" s="12" t="str">
        <f>IF(COUNTBLANK(H209)=1,IF(C209&lt;='Config.'!$D$10,"meta","nops"),"")</f>
        <v>meta</v>
      </c>
      <c r="H209" s="62"/>
      <c r="I209" s="63" t="str">
        <f t="shared" si="18"/>
        <v/>
      </c>
      <c r="J209" s="63" t="str">
        <f t="shared" si="16"/>
        <v/>
      </c>
      <c r="K209" s="54" t="str">
        <f t="shared" si="19"/>
        <v/>
      </c>
      <c r="R209" s="27">
        <f>IF(COUNTBLANK(T208)=1,(R208*'Config.'!$D$12)+R208,(T208*'Config.'!$D$12)+T208)</f>
        <v>310.64401487496502</v>
      </c>
      <c r="S209" s="28" t="str">
        <f>IF(COUNTBLANK(T209)=1,IF(R209&lt;='Config.'!$D$10,"meta","nops"),"")</f>
        <v>meta</v>
      </c>
      <c r="T209" s="32"/>
    </row>
    <row r="210" spans="1:20" ht="20.100000000000001" customHeight="1" x14ac:dyDescent="0.25">
      <c r="A210" s="22" t="s">
        <v>25</v>
      </c>
      <c r="B210" s="20">
        <v>207</v>
      </c>
      <c r="C210" s="60">
        <f>IF(COUNTBLANK(H209)=1,(C209*'Config.'!$D$12)+C209,(H209*'Config.'!$D$12)+H209)</f>
        <v>313.75045502371466</v>
      </c>
      <c r="D210" s="60">
        <f t="shared" si="17"/>
        <v>3.1064401487496411</v>
      </c>
      <c r="E210" s="59">
        <v>0.8</v>
      </c>
      <c r="F210" s="61">
        <f t="shared" si="15"/>
        <v>0.77661003718741028</v>
      </c>
      <c r="G210" s="12" t="str">
        <f>IF(COUNTBLANK(H210)=1,IF(C210&lt;='Config.'!$D$10,"meta","nops"),"")</f>
        <v>meta</v>
      </c>
      <c r="H210" s="62"/>
      <c r="I210" s="63" t="str">
        <f t="shared" si="18"/>
        <v/>
      </c>
      <c r="J210" s="63" t="str">
        <f t="shared" si="16"/>
        <v/>
      </c>
      <c r="K210" s="54" t="str">
        <f t="shared" si="19"/>
        <v/>
      </c>
      <c r="R210" s="27">
        <f>IF(COUNTBLANK(T209)=1,(R209*'Config.'!$D$12)+R209,(T209*'Config.'!$D$12)+T209)</f>
        <v>313.75045502371466</v>
      </c>
      <c r="S210" s="28" t="str">
        <f>IF(COUNTBLANK(T210)=1,IF(R210&lt;='Config.'!$D$10,"meta","nops"),"")</f>
        <v>meta</v>
      </c>
      <c r="T210" s="32"/>
    </row>
    <row r="211" spans="1:20" ht="20.100000000000001" customHeight="1" x14ac:dyDescent="0.25">
      <c r="A211" s="22" t="s">
        <v>25</v>
      </c>
      <c r="B211" s="20">
        <v>208</v>
      </c>
      <c r="C211" s="60">
        <f>IF(COUNTBLANK(H210)=1,(C210*'Config.'!$D$12)+C210,(H210*'Config.'!$D$12)+H210)</f>
        <v>316.88795957395183</v>
      </c>
      <c r="D211" s="60">
        <f t="shared" si="17"/>
        <v>3.1375045502371677</v>
      </c>
      <c r="E211" s="59">
        <v>0.8</v>
      </c>
      <c r="F211" s="61">
        <f t="shared" si="15"/>
        <v>0.78437613755929192</v>
      </c>
      <c r="G211" s="12" t="str">
        <f>IF(COUNTBLANK(H211)=1,IF(C211&lt;='Config.'!$D$10,"meta","nops"),"")</f>
        <v>meta</v>
      </c>
      <c r="H211" s="62"/>
      <c r="I211" s="63" t="str">
        <f t="shared" si="18"/>
        <v/>
      </c>
      <c r="J211" s="63" t="str">
        <f t="shared" si="16"/>
        <v/>
      </c>
      <c r="K211" s="54" t="str">
        <f t="shared" si="19"/>
        <v/>
      </c>
      <c r="R211" s="27">
        <f>IF(COUNTBLANK(T210)=1,(R210*'Config.'!$D$12)+R210,(T210*'Config.'!$D$12)+T210)</f>
        <v>316.88795957395183</v>
      </c>
      <c r="S211" s="28" t="str">
        <f>IF(COUNTBLANK(T211)=1,IF(R211&lt;='Config.'!$D$10,"meta","nops"),"")</f>
        <v>meta</v>
      </c>
      <c r="T211" s="32"/>
    </row>
    <row r="212" spans="1:20" ht="20.100000000000001" customHeight="1" x14ac:dyDescent="0.25">
      <c r="A212" s="22" t="s">
        <v>25</v>
      </c>
      <c r="B212" s="20">
        <v>209</v>
      </c>
      <c r="C212" s="60">
        <f>IF(COUNTBLANK(H211)=1,(C211*'Config.'!$D$12)+C211,(H211*'Config.'!$D$12)+H211)</f>
        <v>320.05683916969133</v>
      </c>
      <c r="D212" s="60">
        <f t="shared" si="17"/>
        <v>3.1688795957394973</v>
      </c>
      <c r="E212" s="59">
        <v>0.8</v>
      </c>
      <c r="F212" s="61">
        <f t="shared" si="15"/>
        <v>0.79221989893487432</v>
      </c>
      <c r="G212" s="12" t="str">
        <f>IF(COUNTBLANK(H212)=1,IF(C212&lt;='Config.'!$D$10,"meta","nops"),"")</f>
        <v>meta</v>
      </c>
      <c r="H212" s="62"/>
      <c r="I212" s="63" t="str">
        <f t="shared" si="18"/>
        <v/>
      </c>
      <c r="J212" s="63" t="str">
        <f t="shared" si="16"/>
        <v/>
      </c>
      <c r="K212" s="54" t="str">
        <f t="shared" si="19"/>
        <v/>
      </c>
      <c r="R212" s="27">
        <f>IF(COUNTBLANK(T211)=1,(R211*'Config.'!$D$12)+R211,(T211*'Config.'!$D$12)+T211)</f>
        <v>320.05683916969133</v>
      </c>
      <c r="S212" s="28" t="str">
        <f>IF(COUNTBLANK(T212)=1,IF(R212&lt;='Config.'!$D$10,"meta","nops"),"")</f>
        <v>meta</v>
      </c>
      <c r="T212" s="32"/>
    </row>
    <row r="213" spans="1:20" ht="20.100000000000001" customHeight="1" x14ac:dyDescent="0.25">
      <c r="A213" s="22" t="s">
        <v>25</v>
      </c>
      <c r="B213" s="20">
        <v>210</v>
      </c>
      <c r="C213" s="60">
        <f>IF(COUNTBLANK(H212)=1,(C212*'Config.'!$D$12)+C212,(H212*'Config.'!$D$12)+H212)</f>
        <v>323.25740756138822</v>
      </c>
      <c r="D213" s="60">
        <f t="shared" si="17"/>
        <v>3.2005683916968906</v>
      </c>
      <c r="E213" s="59">
        <v>0.8</v>
      </c>
      <c r="F213" s="61">
        <f t="shared" si="15"/>
        <v>0.80014209792422264</v>
      </c>
      <c r="G213" s="12" t="str">
        <f>IF(COUNTBLANK(H213)=1,IF(C213&lt;='Config.'!$D$10,"meta","nops"),"")</f>
        <v>meta</v>
      </c>
      <c r="H213" s="62"/>
      <c r="I213" s="63" t="str">
        <f t="shared" si="18"/>
        <v/>
      </c>
      <c r="J213" s="63" t="str">
        <f t="shared" si="16"/>
        <v/>
      </c>
      <c r="K213" s="54" t="str">
        <f t="shared" si="19"/>
        <v/>
      </c>
      <c r="R213" s="27">
        <f>IF(COUNTBLANK(T212)=1,(R212*'Config.'!$D$12)+R212,(T212*'Config.'!$D$12)+T212)</f>
        <v>323.25740756138822</v>
      </c>
      <c r="S213" s="28" t="str">
        <f>IF(COUNTBLANK(T213)=1,IF(R213&lt;='Config.'!$D$10,"meta","nops"),"")</f>
        <v>meta</v>
      </c>
      <c r="T213" s="32"/>
    </row>
    <row r="214" spans="1:20" ht="20.100000000000001" customHeight="1" x14ac:dyDescent="0.25">
      <c r="A214" s="22" t="s">
        <v>25</v>
      </c>
      <c r="B214" s="20">
        <v>211</v>
      </c>
      <c r="C214" s="60">
        <f>IF(COUNTBLANK(H213)=1,(C213*'Config.'!$D$12)+C213,(H213*'Config.'!$D$12)+H213)</f>
        <v>326.48998163700207</v>
      </c>
      <c r="D214" s="60">
        <f t="shared" si="17"/>
        <v>3.2325740756138543</v>
      </c>
      <c r="E214" s="59">
        <v>0.8</v>
      </c>
      <c r="F214" s="61">
        <f t="shared" si="15"/>
        <v>0.80814351890346359</v>
      </c>
      <c r="G214" s="12" t="str">
        <f>IF(COUNTBLANK(H214)=1,IF(C214&lt;='Config.'!$D$10,"meta","nops"),"")</f>
        <v>meta</v>
      </c>
      <c r="H214" s="62"/>
      <c r="I214" s="63" t="str">
        <f t="shared" si="18"/>
        <v/>
      </c>
      <c r="J214" s="63" t="str">
        <f t="shared" si="16"/>
        <v/>
      </c>
      <c r="K214" s="54" t="str">
        <f t="shared" si="19"/>
        <v/>
      </c>
      <c r="R214" s="27">
        <f>IF(COUNTBLANK(T213)=1,(R213*'Config.'!$D$12)+R213,(T213*'Config.'!$D$12)+T213)</f>
        <v>326.48998163700207</v>
      </c>
      <c r="S214" s="28" t="str">
        <f>IF(COUNTBLANK(T214)=1,IF(R214&lt;='Config.'!$D$10,"meta","nops"),"")</f>
        <v>meta</v>
      </c>
      <c r="T214" s="32"/>
    </row>
    <row r="215" spans="1:20" ht="20.100000000000001" customHeight="1" x14ac:dyDescent="0.25">
      <c r="A215" s="22" t="s">
        <v>25</v>
      </c>
      <c r="B215" s="20">
        <v>212</v>
      </c>
      <c r="C215" s="60">
        <f>IF(COUNTBLANK(H214)=1,(C214*'Config.'!$D$12)+C214,(H214*'Config.'!$D$12)+H214)</f>
        <v>329.75488145337209</v>
      </c>
      <c r="D215" s="60">
        <f t="shared" si="17"/>
        <v>3.2648998163700185</v>
      </c>
      <c r="E215" s="59">
        <v>0.8</v>
      </c>
      <c r="F215" s="61">
        <f t="shared" si="15"/>
        <v>0.81622495409250462</v>
      </c>
      <c r="G215" s="12" t="str">
        <f>IF(COUNTBLANK(H215)=1,IF(C215&lt;='Config.'!$D$10,"meta","nops"),"")</f>
        <v>meta</v>
      </c>
      <c r="H215" s="62"/>
      <c r="I215" s="63" t="str">
        <f t="shared" si="18"/>
        <v/>
      </c>
      <c r="J215" s="63" t="str">
        <f t="shared" si="16"/>
        <v/>
      </c>
      <c r="K215" s="54" t="str">
        <f t="shared" si="19"/>
        <v/>
      </c>
      <c r="R215" s="27">
        <f>IF(COUNTBLANK(T214)=1,(R214*'Config.'!$D$12)+R214,(T214*'Config.'!$D$12)+T214)</f>
        <v>329.75488145337209</v>
      </c>
      <c r="S215" s="28" t="str">
        <f>IF(COUNTBLANK(T215)=1,IF(R215&lt;='Config.'!$D$10,"meta","nops"),"")</f>
        <v>meta</v>
      </c>
      <c r="T215" s="32"/>
    </row>
    <row r="216" spans="1:20" ht="20.100000000000001" customHeight="1" x14ac:dyDescent="0.25">
      <c r="A216" s="22" t="s">
        <v>25</v>
      </c>
      <c r="B216" s="20">
        <v>213</v>
      </c>
      <c r="C216" s="60">
        <f>IF(COUNTBLANK(H215)=1,(C215*'Config.'!$D$12)+C215,(H215*'Config.'!$D$12)+H215)</f>
        <v>333.05243026790583</v>
      </c>
      <c r="D216" s="60">
        <f t="shared" si="17"/>
        <v>3.2975488145337408</v>
      </c>
      <c r="E216" s="59">
        <v>0.8</v>
      </c>
      <c r="F216" s="61">
        <f t="shared" si="15"/>
        <v>0.82438720363343521</v>
      </c>
      <c r="G216" s="12" t="str">
        <f>IF(COUNTBLANK(H216)=1,IF(C216&lt;='Config.'!$D$10,"meta","nops"),"")</f>
        <v>meta</v>
      </c>
      <c r="H216" s="62"/>
      <c r="I216" s="63" t="str">
        <f t="shared" si="18"/>
        <v/>
      </c>
      <c r="J216" s="63" t="str">
        <f t="shared" si="16"/>
        <v/>
      </c>
      <c r="K216" s="54" t="str">
        <f t="shared" si="19"/>
        <v/>
      </c>
      <c r="R216" s="27">
        <f>IF(COUNTBLANK(T215)=1,(R215*'Config.'!$D$12)+R215,(T215*'Config.'!$D$12)+T215)</f>
        <v>333.05243026790583</v>
      </c>
      <c r="S216" s="28" t="str">
        <f>IF(COUNTBLANK(T216)=1,IF(R216&lt;='Config.'!$D$10,"meta","nops"),"")</f>
        <v>meta</v>
      </c>
      <c r="T216" s="32"/>
    </row>
    <row r="217" spans="1:20" ht="20.100000000000001" customHeight="1" x14ac:dyDescent="0.25">
      <c r="A217" s="22" t="s">
        <v>25</v>
      </c>
      <c r="B217" s="20">
        <v>214</v>
      </c>
      <c r="C217" s="60">
        <f>IF(COUNTBLANK(H216)=1,(C216*'Config.'!$D$12)+C216,(H216*'Config.'!$D$12)+H216)</f>
        <v>336.3829545705849</v>
      </c>
      <c r="D217" s="60">
        <f t="shared" si="17"/>
        <v>3.3305243026790663</v>
      </c>
      <c r="E217" s="59">
        <v>0.8</v>
      </c>
      <c r="F217" s="61">
        <f t="shared" si="15"/>
        <v>0.83263107566976657</v>
      </c>
      <c r="G217" s="12" t="str">
        <f>IF(COUNTBLANK(H217)=1,IF(C217&lt;='Config.'!$D$10,"meta","nops"),"")</f>
        <v>meta</v>
      </c>
      <c r="H217" s="62"/>
      <c r="I217" s="63" t="str">
        <f t="shared" si="18"/>
        <v/>
      </c>
      <c r="J217" s="63" t="str">
        <f t="shared" si="16"/>
        <v/>
      </c>
      <c r="K217" s="54" t="str">
        <f t="shared" si="19"/>
        <v/>
      </c>
      <c r="R217" s="27">
        <f>IF(COUNTBLANK(T216)=1,(R216*'Config.'!$D$12)+R216,(T216*'Config.'!$D$12)+T216)</f>
        <v>336.3829545705849</v>
      </c>
      <c r="S217" s="28" t="str">
        <f>IF(COUNTBLANK(T217)=1,IF(R217&lt;='Config.'!$D$10,"meta","nops"),"")</f>
        <v>meta</v>
      </c>
      <c r="T217" s="32"/>
    </row>
    <row r="218" spans="1:20" ht="20.100000000000001" customHeight="1" x14ac:dyDescent="0.25">
      <c r="A218" s="22" t="s">
        <v>25</v>
      </c>
      <c r="B218" s="20">
        <v>215</v>
      </c>
      <c r="C218" s="60">
        <f>IF(COUNTBLANK(H217)=1,(C217*'Config.'!$D$12)+C217,(H217*'Config.'!$D$12)+H217)</f>
        <v>339.74678411629077</v>
      </c>
      <c r="D218" s="60">
        <f t="shared" si="17"/>
        <v>3.3638295457058689</v>
      </c>
      <c r="E218" s="59">
        <v>0.8</v>
      </c>
      <c r="F218" s="61">
        <f t="shared" si="15"/>
        <v>0.84095738642646722</v>
      </c>
      <c r="G218" s="12" t="str">
        <f>IF(COUNTBLANK(H218)=1,IF(C218&lt;='Config.'!$D$10,"meta","nops"),"")</f>
        <v>meta</v>
      </c>
      <c r="H218" s="62"/>
      <c r="I218" s="63" t="str">
        <f t="shared" si="18"/>
        <v/>
      </c>
      <c r="J218" s="63" t="str">
        <f t="shared" si="16"/>
        <v/>
      </c>
      <c r="K218" s="54" t="str">
        <f t="shared" si="19"/>
        <v/>
      </c>
      <c r="R218" s="27">
        <f>IF(COUNTBLANK(T217)=1,(R217*'Config.'!$D$12)+R217,(T217*'Config.'!$D$12)+T217)</f>
        <v>339.74678411629077</v>
      </c>
      <c r="S218" s="28" t="str">
        <f>IF(COUNTBLANK(T218)=1,IF(R218&lt;='Config.'!$D$10,"meta","nops"),"")</f>
        <v>meta</v>
      </c>
      <c r="T218" s="32"/>
    </row>
    <row r="219" spans="1:20" ht="20.100000000000001" customHeight="1" x14ac:dyDescent="0.25">
      <c r="A219" s="22" t="s">
        <v>25</v>
      </c>
      <c r="B219" s="20">
        <v>216</v>
      </c>
      <c r="C219" s="60">
        <f>IF(COUNTBLANK(H218)=1,(C218*'Config.'!$D$12)+C218,(H218*'Config.'!$D$12)+H218)</f>
        <v>343.14425195745366</v>
      </c>
      <c r="D219" s="60">
        <f t="shared" si="17"/>
        <v>3.3974678411628929</v>
      </c>
      <c r="E219" s="59">
        <v>0.8</v>
      </c>
      <c r="F219" s="61">
        <f t="shared" si="15"/>
        <v>0.84936696029072323</v>
      </c>
      <c r="G219" s="12" t="str">
        <f>IF(COUNTBLANK(H219)=1,IF(C219&lt;='Config.'!$D$10,"meta","nops"),"")</f>
        <v>meta</v>
      </c>
      <c r="H219" s="62"/>
      <c r="I219" s="63" t="str">
        <f t="shared" si="18"/>
        <v/>
      </c>
      <c r="J219" s="63" t="str">
        <f t="shared" si="16"/>
        <v/>
      </c>
      <c r="K219" s="54" t="str">
        <f t="shared" si="19"/>
        <v/>
      </c>
      <c r="R219" s="27">
        <f>IF(COUNTBLANK(T218)=1,(R218*'Config.'!$D$12)+R218,(T218*'Config.'!$D$12)+T218)</f>
        <v>343.14425195745366</v>
      </c>
      <c r="S219" s="28" t="str">
        <f>IF(COUNTBLANK(T219)=1,IF(R219&lt;='Config.'!$D$10,"meta","nops"),"")</f>
        <v>meta</v>
      </c>
      <c r="T219" s="32"/>
    </row>
    <row r="220" spans="1:20" ht="20.100000000000001" customHeight="1" x14ac:dyDescent="0.25">
      <c r="A220" s="22" t="s">
        <v>25</v>
      </c>
      <c r="B220" s="20">
        <v>217</v>
      </c>
      <c r="C220" s="60">
        <f>IF(COUNTBLANK(H219)=1,(C219*'Config.'!$D$12)+C219,(H219*'Config.'!$D$12)+H219)</f>
        <v>346.57569447702821</v>
      </c>
      <c r="D220" s="60">
        <f t="shared" si="17"/>
        <v>3.4314425195745457</v>
      </c>
      <c r="E220" s="59">
        <v>0.8</v>
      </c>
      <c r="F220" s="61">
        <f t="shared" si="15"/>
        <v>0.85786062989363643</v>
      </c>
      <c r="G220" s="12" t="str">
        <f>IF(COUNTBLANK(H220)=1,IF(C220&lt;='Config.'!$D$10,"meta","nops"),"")</f>
        <v>meta</v>
      </c>
      <c r="H220" s="62"/>
      <c r="I220" s="63" t="str">
        <f t="shared" si="18"/>
        <v/>
      </c>
      <c r="J220" s="63" t="str">
        <f t="shared" si="16"/>
        <v/>
      </c>
      <c r="K220" s="54" t="str">
        <f t="shared" si="19"/>
        <v/>
      </c>
      <c r="R220" s="27">
        <f>IF(COUNTBLANK(T219)=1,(R219*'Config.'!$D$12)+R219,(T219*'Config.'!$D$12)+T219)</f>
        <v>346.57569447702821</v>
      </c>
      <c r="S220" s="28" t="str">
        <f>IF(COUNTBLANK(T220)=1,IF(R220&lt;='Config.'!$D$10,"meta","nops"),"")</f>
        <v>meta</v>
      </c>
      <c r="T220" s="32"/>
    </row>
    <row r="221" spans="1:20" ht="20.100000000000001" customHeight="1" x14ac:dyDescent="0.25">
      <c r="A221" s="22" t="s">
        <v>25</v>
      </c>
      <c r="B221" s="20">
        <v>218</v>
      </c>
      <c r="C221" s="60">
        <f>IF(COUNTBLANK(H220)=1,(C220*'Config.'!$D$12)+C220,(H220*'Config.'!$D$12)+H220)</f>
        <v>350.04145142179851</v>
      </c>
      <c r="D221" s="60">
        <f t="shared" si="17"/>
        <v>3.4657569447703054</v>
      </c>
      <c r="E221" s="59">
        <v>0.8</v>
      </c>
      <c r="F221" s="61">
        <f t="shared" si="15"/>
        <v>0.86643923619257635</v>
      </c>
      <c r="G221" s="12" t="str">
        <f>IF(COUNTBLANK(H221)=1,IF(C221&lt;='Config.'!$D$10,"meta","nops"),"")</f>
        <v>meta</v>
      </c>
      <c r="H221" s="62"/>
      <c r="I221" s="63" t="str">
        <f t="shared" si="18"/>
        <v/>
      </c>
      <c r="J221" s="63" t="str">
        <f t="shared" si="16"/>
        <v/>
      </c>
      <c r="K221" s="54" t="str">
        <f t="shared" si="19"/>
        <v/>
      </c>
      <c r="R221" s="27">
        <f>IF(COUNTBLANK(T220)=1,(R220*'Config.'!$D$12)+R220,(T220*'Config.'!$D$12)+T220)</f>
        <v>350.04145142179851</v>
      </c>
      <c r="S221" s="28" t="str">
        <f>IF(COUNTBLANK(T221)=1,IF(R221&lt;='Config.'!$D$10,"meta","nops"),"")</f>
        <v>meta</v>
      </c>
      <c r="T221" s="32"/>
    </row>
    <row r="222" spans="1:20" ht="20.100000000000001" customHeight="1" x14ac:dyDescent="0.25">
      <c r="A222" s="22" t="s">
        <v>25</v>
      </c>
      <c r="B222" s="20">
        <v>219</v>
      </c>
      <c r="C222" s="60">
        <f>IF(COUNTBLANK(H221)=1,(C221*'Config.'!$D$12)+C221,(H221*'Config.'!$D$12)+H221)</f>
        <v>353.54186593601651</v>
      </c>
      <c r="D222" s="60">
        <f t="shared" si="17"/>
        <v>3.5004145142179937</v>
      </c>
      <c r="E222" s="59">
        <v>0.8</v>
      </c>
      <c r="F222" s="61">
        <f t="shared" si="15"/>
        <v>0.87510362855449841</v>
      </c>
      <c r="G222" s="12" t="str">
        <f>IF(COUNTBLANK(H222)=1,IF(C222&lt;='Config.'!$D$10,"meta","nops"),"")</f>
        <v>meta</v>
      </c>
      <c r="H222" s="62"/>
      <c r="I222" s="63" t="str">
        <f t="shared" si="18"/>
        <v/>
      </c>
      <c r="J222" s="63" t="str">
        <f t="shared" si="16"/>
        <v/>
      </c>
      <c r="K222" s="54" t="str">
        <f t="shared" si="19"/>
        <v/>
      </c>
      <c r="R222" s="27">
        <f>IF(COUNTBLANK(T221)=1,(R221*'Config.'!$D$12)+R221,(T221*'Config.'!$D$12)+T221)</f>
        <v>353.54186593601651</v>
      </c>
      <c r="S222" s="28" t="str">
        <f>IF(COUNTBLANK(T222)=1,IF(R222&lt;='Config.'!$D$10,"meta","nops"),"")</f>
        <v>meta</v>
      </c>
      <c r="T222" s="32"/>
    </row>
    <row r="223" spans="1:20" ht="20.100000000000001" customHeight="1" x14ac:dyDescent="0.25">
      <c r="A223" s="22" t="s">
        <v>25</v>
      </c>
      <c r="B223" s="20">
        <v>220</v>
      </c>
      <c r="C223" s="60">
        <f>IF(COUNTBLANK(H222)=1,(C222*'Config.'!$D$12)+C222,(H222*'Config.'!$D$12)+H222)</f>
        <v>357.07728459537668</v>
      </c>
      <c r="D223" s="60">
        <f t="shared" si="17"/>
        <v>3.5354186593601753</v>
      </c>
      <c r="E223" s="59">
        <v>0.8</v>
      </c>
      <c r="F223" s="61">
        <f t="shared" si="15"/>
        <v>0.88385466484004382</v>
      </c>
      <c r="G223" s="12" t="str">
        <f>IF(COUNTBLANK(H223)=1,IF(C223&lt;='Config.'!$D$10,"meta","nops"),"")</f>
        <v>meta</v>
      </c>
      <c r="H223" s="62"/>
      <c r="I223" s="63" t="str">
        <f t="shared" si="18"/>
        <v/>
      </c>
      <c r="J223" s="63" t="str">
        <f t="shared" si="16"/>
        <v/>
      </c>
      <c r="K223" s="54" t="str">
        <f t="shared" si="19"/>
        <v/>
      </c>
      <c r="R223" s="27">
        <f>IF(COUNTBLANK(T222)=1,(R222*'Config.'!$D$12)+R222,(T222*'Config.'!$D$12)+T222)</f>
        <v>357.07728459537668</v>
      </c>
      <c r="S223" s="28" t="str">
        <f>IF(COUNTBLANK(T223)=1,IF(R223&lt;='Config.'!$D$10,"meta","nops"),"")</f>
        <v>meta</v>
      </c>
      <c r="T223" s="32"/>
    </row>
    <row r="224" spans="1:20" ht="20.100000000000001" customHeight="1" x14ac:dyDescent="0.25">
      <c r="A224" s="22" t="s">
        <v>25</v>
      </c>
      <c r="B224" s="20">
        <v>221</v>
      </c>
      <c r="C224" s="60">
        <f>IF(COUNTBLANK(H223)=1,(C223*'Config.'!$D$12)+C223,(H223*'Config.'!$D$12)+H223)</f>
        <v>360.64805744133042</v>
      </c>
      <c r="D224" s="60">
        <f t="shared" si="17"/>
        <v>3.5707728459537407</v>
      </c>
      <c r="E224" s="59">
        <v>0.8</v>
      </c>
      <c r="F224" s="61">
        <f t="shared" si="15"/>
        <v>0.89269321148843517</v>
      </c>
      <c r="G224" s="12" t="str">
        <f>IF(COUNTBLANK(H224)=1,IF(C224&lt;='Config.'!$D$10,"meta","nops"),"")</f>
        <v>meta</v>
      </c>
      <c r="H224" s="62"/>
      <c r="I224" s="63" t="str">
        <f t="shared" si="18"/>
        <v/>
      </c>
      <c r="J224" s="63" t="str">
        <f t="shared" si="16"/>
        <v/>
      </c>
      <c r="K224" s="54" t="str">
        <f t="shared" si="19"/>
        <v/>
      </c>
      <c r="R224" s="27">
        <f>IF(COUNTBLANK(T223)=1,(R223*'Config.'!$D$12)+R223,(T223*'Config.'!$D$12)+T223)</f>
        <v>360.64805744133042</v>
      </c>
      <c r="S224" s="28" t="str">
        <f>IF(COUNTBLANK(T224)=1,IF(R224&lt;='Config.'!$D$10,"meta","nops"),"")</f>
        <v>meta</v>
      </c>
      <c r="T224" s="32"/>
    </row>
    <row r="225" spans="1:20" ht="20.100000000000001" customHeight="1" x14ac:dyDescent="0.25">
      <c r="A225" s="22" t="s">
        <v>25</v>
      </c>
      <c r="B225" s="20">
        <v>222</v>
      </c>
      <c r="C225" s="60">
        <f>IF(COUNTBLANK(H224)=1,(C224*'Config.'!$D$12)+C224,(H224*'Config.'!$D$12)+H224)</f>
        <v>364.25453801574372</v>
      </c>
      <c r="D225" s="60">
        <f t="shared" si="17"/>
        <v>3.6064805744132968</v>
      </c>
      <c r="E225" s="59">
        <v>0.8</v>
      </c>
      <c r="F225" s="61">
        <f t="shared" si="15"/>
        <v>0.90162014360332421</v>
      </c>
      <c r="G225" s="12" t="str">
        <f>IF(COUNTBLANK(H225)=1,IF(C225&lt;='Config.'!$D$10,"meta","nops"),"")</f>
        <v>meta</v>
      </c>
      <c r="H225" s="62"/>
      <c r="I225" s="63" t="str">
        <f t="shared" si="18"/>
        <v/>
      </c>
      <c r="J225" s="63" t="str">
        <f t="shared" si="16"/>
        <v/>
      </c>
      <c r="K225" s="54" t="str">
        <f t="shared" si="19"/>
        <v/>
      </c>
      <c r="R225" s="27">
        <f>IF(COUNTBLANK(T224)=1,(R224*'Config.'!$D$12)+R224,(T224*'Config.'!$D$12)+T224)</f>
        <v>364.25453801574372</v>
      </c>
      <c r="S225" s="28" t="str">
        <f>IF(COUNTBLANK(T225)=1,IF(R225&lt;='Config.'!$D$10,"meta","nops"),"")</f>
        <v>meta</v>
      </c>
      <c r="T225" s="32"/>
    </row>
    <row r="226" spans="1:20" ht="20.100000000000001" customHeight="1" x14ac:dyDescent="0.25">
      <c r="A226" s="22" t="s">
        <v>25</v>
      </c>
      <c r="B226" s="20">
        <v>223</v>
      </c>
      <c r="C226" s="60">
        <f>IF(COUNTBLANK(H225)=1,(C225*'Config.'!$D$12)+C225,(H225*'Config.'!$D$12)+H225)</f>
        <v>367.89708339590118</v>
      </c>
      <c r="D226" s="60">
        <f t="shared" si="17"/>
        <v>3.6425453801574577</v>
      </c>
      <c r="E226" s="59">
        <v>0.8</v>
      </c>
      <c r="F226" s="61">
        <f t="shared" si="15"/>
        <v>0.91063634503936441</v>
      </c>
      <c r="G226" s="12" t="str">
        <f>IF(COUNTBLANK(H226)=1,IF(C226&lt;='Config.'!$D$10,"meta","nops"),"")</f>
        <v>meta</v>
      </c>
      <c r="H226" s="62"/>
      <c r="I226" s="63" t="str">
        <f t="shared" si="18"/>
        <v/>
      </c>
      <c r="J226" s="63" t="str">
        <f t="shared" si="16"/>
        <v/>
      </c>
      <c r="K226" s="54" t="str">
        <f t="shared" si="19"/>
        <v/>
      </c>
      <c r="R226" s="27">
        <f>IF(COUNTBLANK(T225)=1,(R225*'Config.'!$D$12)+R225,(T225*'Config.'!$D$12)+T225)</f>
        <v>367.89708339590118</v>
      </c>
      <c r="S226" s="28" t="str">
        <f>IF(COUNTBLANK(T226)=1,IF(R226&lt;='Config.'!$D$10,"meta","nops"),"")</f>
        <v>meta</v>
      </c>
      <c r="T226" s="32"/>
    </row>
    <row r="227" spans="1:20" ht="20.100000000000001" customHeight="1" x14ac:dyDescent="0.25">
      <c r="A227" s="22" t="s">
        <v>25</v>
      </c>
      <c r="B227" s="20">
        <v>224</v>
      </c>
      <c r="C227" s="60">
        <f>IF(COUNTBLANK(H226)=1,(C226*'Config.'!$D$12)+C226,(H226*'Config.'!$D$12)+H226)</f>
        <v>371.57605422986018</v>
      </c>
      <c r="D227" s="60">
        <f t="shared" si="17"/>
        <v>3.6789708339589993</v>
      </c>
      <c r="E227" s="59">
        <v>0.8</v>
      </c>
      <c r="F227" s="61">
        <f t="shared" si="15"/>
        <v>0.91974270848974982</v>
      </c>
      <c r="G227" s="12" t="str">
        <f>IF(COUNTBLANK(H227)=1,IF(C227&lt;='Config.'!$D$10,"meta","nops"),"")</f>
        <v>meta</v>
      </c>
      <c r="H227" s="62"/>
      <c r="I227" s="63" t="str">
        <f t="shared" si="18"/>
        <v/>
      </c>
      <c r="J227" s="63" t="str">
        <f t="shared" si="16"/>
        <v/>
      </c>
      <c r="K227" s="54" t="str">
        <f t="shared" si="19"/>
        <v/>
      </c>
      <c r="R227" s="27">
        <f>IF(COUNTBLANK(T226)=1,(R226*'Config.'!$D$12)+R226,(T226*'Config.'!$D$12)+T226)</f>
        <v>371.57605422986018</v>
      </c>
      <c r="S227" s="28" t="str">
        <f>IF(COUNTBLANK(T227)=1,IF(R227&lt;='Config.'!$D$10,"meta","nops"),"")</f>
        <v>meta</v>
      </c>
      <c r="T227" s="32"/>
    </row>
    <row r="228" spans="1:20" ht="20.100000000000001" customHeight="1" x14ac:dyDescent="0.25">
      <c r="A228" s="22" t="s">
        <v>25</v>
      </c>
      <c r="B228" s="20">
        <v>225</v>
      </c>
      <c r="C228" s="60">
        <f>IF(COUNTBLANK(H227)=1,(C227*'Config.'!$D$12)+C227,(H227*'Config.'!$D$12)+H227)</f>
        <v>375.29181477215877</v>
      </c>
      <c r="D228" s="60">
        <f t="shared" si="17"/>
        <v>3.7157605422985966</v>
      </c>
      <c r="E228" s="59">
        <v>0.8</v>
      </c>
      <c r="F228" s="61">
        <f t="shared" si="15"/>
        <v>0.92894013557464916</v>
      </c>
      <c r="G228" s="12" t="str">
        <f>IF(COUNTBLANK(H228)=1,IF(C228&lt;='Config.'!$D$10,"meta","nops"),"")</f>
        <v>meta</v>
      </c>
      <c r="H228" s="62"/>
      <c r="I228" s="63" t="str">
        <f t="shared" si="18"/>
        <v/>
      </c>
      <c r="J228" s="63" t="str">
        <f t="shared" si="16"/>
        <v/>
      </c>
      <c r="K228" s="54" t="str">
        <f t="shared" si="19"/>
        <v/>
      </c>
      <c r="R228" s="27">
        <f>IF(COUNTBLANK(T227)=1,(R227*'Config.'!$D$12)+R227,(T227*'Config.'!$D$12)+T227)</f>
        <v>375.29181477215877</v>
      </c>
      <c r="S228" s="28" t="str">
        <f>IF(COUNTBLANK(T228)=1,IF(R228&lt;='Config.'!$D$10,"meta","nops"),"")</f>
        <v>meta</v>
      </c>
      <c r="T228" s="32"/>
    </row>
    <row r="229" spans="1:20" ht="20.100000000000001" customHeight="1" x14ac:dyDescent="0.25">
      <c r="A229" s="22" t="s">
        <v>25</v>
      </c>
      <c r="B229" s="20">
        <v>226</v>
      </c>
      <c r="C229" s="60">
        <f>IF(COUNTBLANK(H228)=1,(C228*'Config.'!$D$12)+C228,(H228*'Config.'!$D$12)+H228)</f>
        <v>379.04473291988035</v>
      </c>
      <c r="D229" s="60">
        <f t="shared" si="17"/>
        <v>3.752918147721573</v>
      </c>
      <c r="E229" s="59">
        <v>0.8</v>
      </c>
      <c r="F229" s="61">
        <f t="shared" si="15"/>
        <v>0.93822953693039324</v>
      </c>
      <c r="G229" s="12" t="str">
        <f>IF(COUNTBLANK(H229)=1,IF(C229&lt;='Config.'!$D$10,"meta","nops"),"")</f>
        <v>meta</v>
      </c>
      <c r="H229" s="62"/>
      <c r="I229" s="63" t="str">
        <f t="shared" si="18"/>
        <v/>
      </c>
      <c r="J229" s="63" t="str">
        <f t="shared" si="16"/>
        <v/>
      </c>
      <c r="K229" s="54" t="str">
        <f t="shared" si="19"/>
        <v/>
      </c>
      <c r="R229" s="27">
        <f>IF(COUNTBLANK(T228)=1,(R228*'Config.'!$D$12)+R228,(T228*'Config.'!$D$12)+T228)</f>
        <v>379.04473291988035</v>
      </c>
      <c r="S229" s="28" t="str">
        <f>IF(COUNTBLANK(T229)=1,IF(R229&lt;='Config.'!$D$10,"meta","nops"),"")</f>
        <v>meta</v>
      </c>
      <c r="T229" s="32"/>
    </row>
    <row r="230" spans="1:20" ht="20.100000000000001" customHeight="1" x14ac:dyDescent="0.25">
      <c r="A230" s="22" t="s">
        <v>25</v>
      </c>
      <c r="B230" s="20">
        <v>227</v>
      </c>
      <c r="C230" s="60">
        <f>IF(COUNTBLANK(H229)=1,(C229*'Config.'!$D$12)+C229,(H229*'Config.'!$D$12)+H229)</f>
        <v>382.83518024907914</v>
      </c>
      <c r="D230" s="60">
        <f t="shared" si="17"/>
        <v>3.7904473291987983</v>
      </c>
      <c r="E230" s="59">
        <v>0.8</v>
      </c>
      <c r="F230" s="61">
        <f t="shared" si="15"/>
        <v>0.94761183229969959</v>
      </c>
      <c r="G230" s="12" t="str">
        <f>IF(COUNTBLANK(H230)=1,IF(C230&lt;='Config.'!$D$10,"meta","nops"),"")</f>
        <v>meta</v>
      </c>
      <c r="H230" s="62"/>
      <c r="I230" s="63" t="str">
        <f t="shared" si="18"/>
        <v/>
      </c>
      <c r="J230" s="63" t="str">
        <f t="shared" si="16"/>
        <v/>
      </c>
      <c r="K230" s="54" t="str">
        <f t="shared" si="19"/>
        <v/>
      </c>
      <c r="R230" s="27">
        <f>IF(COUNTBLANK(T229)=1,(R229*'Config.'!$D$12)+R229,(T229*'Config.'!$D$12)+T229)</f>
        <v>382.83518024907914</v>
      </c>
      <c r="S230" s="28" t="str">
        <f>IF(COUNTBLANK(T230)=1,IF(R230&lt;='Config.'!$D$10,"meta","nops"),"")</f>
        <v>meta</v>
      </c>
      <c r="T230" s="32"/>
    </row>
    <row r="231" spans="1:20" ht="20.100000000000001" customHeight="1" x14ac:dyDescent="0.25">
      <c r="A231" s="22" t="s">
        <v>25</v>
      </c>
      <c r="B231" s="20">
        <v>228</v>
      </c>
      <c r="C231" s="60">
        <f>IF(COUNTBLANK(H230)=1,(C230*'Config.'!$D$12)+C230,(H230*'Config.'!$D$12)+H230)</f>
        <v>386.66353205156992</v>
      </c>
      <c r="D231" s="60">
        <f t="shared" si="17"/>
        <v>3.8283518024907721</v>
      </c>
      <c r="E231" s="59">
        <v>0.8</v>
      </c>
      <c r="F231" s="61">
        <f t="shared" si="15"/>
        <v>0.95708795062269303</v>
      </c>
      <c r="G231" s="12" t="str">
        <f>IF(COUNTBLANK(H231)=1,IF(C231&lt;='Config.'!$D$10,"meta","nops"),"")</f>
        <v>meta</v>
      </c>
      <c r="H231" s="62"/>
      <c r="I231" s="63" t="str">
        <f t="shared" si="18"/>
        <v/>
      </c>
      <c r="J231" s="63" t="str">
        <f t="shared" si="16"/>
        <v/>
      </c>
      <c r="K231" s="54" t="str">
        <f t="shared" si="19"/>
        <v/>
      </c>
      <c r="R231" s="27">
        <f>IF(COUNTBLANK(T230)=1,(R230*'Config.'!$D$12)+R230,(T230*'Config.'!$D$12)+T230)</f>
        <v>386.66353205156992</v>
      </c>
      <c r="S231" s="28" t="str">
        <f>IF(COUNTBLANK(T231)=1,IF(R231&lt;='Config.'!$D$10,"meta","nops"),"")</f>
        <v>meta</v>
      </c>
      <c r="T231" s="32"/>
    </row>
    <row r="232" spans="1:20" ht="20.100000000000001" customHeight="1" x14ac:dyDescent="0.25">
      <c r="A232" s="22" t="s">
        <v>25</v>
      </c>
      <c r="B232" s="20">
        <v>229</v>
      </c>
      <c r="C232" s="60">
        <f>IF(COUNTBLANK(H231)=1,(C231*'Config.'!$D$12)+C231,(H231*'Config.'!$D$12)+H231)</f>
        <v>390.5301673720856</v>
      </c>
      <c r="D232" s="60">
        <f t="shared" si="17"/>
        <v>3.8666353205156838</v>
      </c>
      <c r="E232" s="59">
        <v>0.8</v>
      </c>
      <c r="F232" s="61">
        <f t="shared" si="15"/>
        <v>0.96665883012892095</v>
      </c>
      <c r="G232" s="12" t="str">
        <f>IF(COUNTBLANK(H232)=1,IF(C232&lt;='Config.'!$D$10,"meta","nops"),"")</f>
        <v>meta</v>
      </c>
      <c r="H232" s="62"/>
      <c r="I232" s="63" t="str">
        <f t="shared" si="18"/>
        <v/>
      </c>
      <c r="J232" s="63" t="str">
        <f t="shared" si="16"/>
        <v/>
      </c>
      <c r="K232" s="54" t="str">
        <f t="shared" si="19"/>
        <v/>
      </c>
      <c r="R232" s="27">
        <f>IF(COUNTBLANK(T231)=1,(R231*'Config.'!$D$12)+R231,(T231*'Config.'!$D$12)+T231)</f>
        <v>390.5301673720856</v>
      </c>
      <c r="S232" s="28" t="str">
        <f>IF(COUNTBLANK(T232)=1,IF(R232&lt;='Config.'!$D$10,"meta","nops"),"")</f>
        <v>meta</v>
      </c>
      <c r="T232" s="32"/>
    </row>
    <row r="233" spans="1:20" ht="20.100000000000001" customHeight="1" x14ac:dyDescent="0.25">
      <c r="A233" s="22" t="s">
        <v>25</v>
      </c>
      <c r="B233" s="20">
        <v>230</v>
      </c>
      <c r="C233" s="60">
        <f>IF(COUNTBLANK(H232)=1,(C232*'Config.'!$D$12)+C232,(H232*'Config.'!$D$12)+H232)</f>
        <v>394.43546904580643</v>
      </c>
      <c r="D233" s="60">
        <f t="shared" si="17"/>
        <v>3.9053016737208281</v>
      </c>
      <c r="E233" s="59">
        <v>0.8</v>
      </c>
      <c r="F233" s="61">
        <f t="shared" si="15"/>
        <v>0.97632541843020704</v>
      </c>
      <c r="G233" s="12" t="str">
        <f>IF(COUNTBLANK(H233)=1,IF(C233&lt;='Config.'!$D$10,"meta","nops"),"")</f>
        <v>meta</v>
      </c>
      <c r="H233" s="62"/>
      <c r="I233" s="63" t="str">
        <f t="shared" si="18"/>
        <v/>
      </c>
      <c r="J233" s="63" t="str">
        <f t="shared" si="16"/>
        <v/>
      </c>
      <c r="K233" s="54" t="str">
        <f t="shared" si="19"/>
        <v/>
      </c>
      <c r="R233" s="27">
        <f>IF(COUNTBLANK(T232)=1,(R232*'Config.'!$D$12)+R232,(T232*'Config.'!$D$12)+T232)</f>
        <v>394.43546904580643</v>
      </c>
      <c r="S233" s="28" t="str">
        <f>IF(COUNTBLANK(T233)=1,IF(R233&lt;='Config.'!$D$10,"meta","nops"),"")</f>
        <v>meta</v>
      </c>
      <c r="T233" s="32"/>
    </row>
    <row r="234" spans="1:20" ht="20.100000000000001" customHeight="1" x14ac:dyDescent="0.25">
      <c r="A234" s="22" t="s">
        <v>25</v>
      </c>
      <c r="B234" s="20">
        <v>231</v>
      </c>
      <c r="C234" s="60">
        <f>IF(COUNTBLANK(H233)=1,(C233*'Config.'!$D$12)+C233,(H233*'Config.'!$D$12)+H233)</f>
        <v>398.37982373626448</v>
      </c>
      <c r="D234" s="60">
        <f t="shared" si="17"/>
        <v>3.9443546904580558</v>
      </c>
      <c r="E234" s="59">
        <v>0.8</v>
      </c>
      <c r="F234" s="61">
        <f t="shared" si="15"/>
        <v>0.98608867261451394</v>
      </c>
      <c r="G234" s="12" t="str">
        <f>IF(COUNTBLANK(H234)=1,IF(C234&lt;='Config.'!$D$10,"meta","nops"),"")</f>
        <v>meta</v>
      </c>
      <c r="H234" s="62"/>
      <c r="I234" s="63" t="str">
        <f t="shared" si="18"/>
        <v/>
      </c>
      <c r="J234" s="63" t="str">
        <f t="shared" si="16"/>
        <v/>
      </c>
      <c r="K234" s="54" t="str">
        <f t="shared" si="19"/>
        <v/>
      </c>
      <c r="R234" s="27">
        <f>IF(COUNTBLANK(T233)=1,(R233*'Config.'!$D$12)+R233,(T233*'Config.'!$D$12)+T233)</f>
        <v>398.37982373626448</v>
      </c>
      <c r="S234" s="28" t="str">
        <f>IF(COUNTBLANK(T234)=1,IF(R234&lt;='Config.'!$D$10,"meta","nops"),"")</f>
        <v>meta</v>
      </c>
      <c r="T234" s="32"/>
    </row>
    <row r="235" spans="1:20" ht="20.100000000000001" customHeight="1" x14ac:dyDescent="0.25">
      <c r="A235" s="22" t="s">
        <v>25</v>
      </c>
      <c r="B235" s="20">
        <v>232</v>
      </c>
      <c r="C235" s="60">
        <f>IF(COUNTBLANK(H234)=1,(C234*'Config.'!$D$12)+C234,(H234*'Config.'!$D$12)+H234)</f>
        <v>402.36362197362712</v>
      </c>
      <c r="D235" s="60">
        <f t="shared" si="17"/>
        <v>3.9837982373626346</v>
      </c>
      <c r="E235" s="59">
        <v>0.8</v>
      </c>
      <c r="F235" s="61">
        <f t="shared" si="15"/>
        <v>0.99594955934065865</v>
      </c>
      <c r="G235" s="12" t="str">
        <f>IF(COUNTBLANK(H235)=1,IF(C235&lt;='Config.'!$D$10,"meta","nops"),"")</f>
        <v>meta</v>
      </c>
      <c r="H235" s="62"/>
      <c r="I235" s="63" t="str">
        <f t="shared" si="18"/>
        <v/>
      </c>
      <c r="J235" s="63" t="str">
        <f t="shared" si="16"/>
        <v/>
      </c>
      <c r="K235" s="54" t="str">
        <f t="shared" si="19"/>
        <v/>
      </c>
      <c r="R235" s="27">
        <f>IF(COUNTBLANK(T234)=1,(R234*'Config.'!$D$12)+R234,(T234*'Config.'!$D$12)+T234)</f>
        <v>402.36362197362712</v>
      </c>
      <c r="S235" s="28" t="str">
        <f>IF(COUNTBLANK(T235)=1,IF(R235&lt;='Config.'!$D$10,"meta","nops"),"")</f>
        <v>meta</v>
      </c>
      <c r="T235" s="32"/>
    </row>
    <row r="236" spans="1:20" ht="20.100000000000001" customHeight="1" x14ac:dyDescent="0.25">
      <c r="A236" s="22" t="s">
        <v>25</v>
      </c>
      <c r="B236" s="20">
        <v>233</v>
      </c>
      <c r="C236" s="60">
        <f>IF(COUNTBLANK(H235)=1,(C235*'Config.'!$D$12)+C235,(H235*'Config.'!$D$12)+H235)</f>
        <v>406.38725819336338</v>
      </c>
      <c r="D236" s="60">
        <f t="shared" si="17"/>
        <v>4.023636219736261</v>
      </c>
      <c r="E236" s="59">
        <v>0.8</v>
      </c>
      <c r="F236" s="61">
        <f t="shared" si="15"/>
        <v>1.0059090549340652</v>
      </c>
      <c r="G236" s="12" t="str">
        <f>IF(COUNTBLANK(H236)=1,IF(C236&lt;='Config.'!$D$10,"meta","nops"),"")</f>
        <v>meta</v>
      </c>
      <c r="H236" s="62"/>
      <c r="I236" s="63" t="str">
        <f t="shared" si="18"/>
        <v/>
      </c>
      <c r="J236" s="63" t="str">
        <f t="shared" si="16"/>
        <v/>
      </c>
      <c r="K236" s="54" t="str">
        <f t="shared" si="19"/>
        <v/>
      </c>
      <c r="R236" s="27">
        <f>IF(COUNTBLANK(T235)=1,(R235*'Config.'!$D$12)+R235,(T235*'Config.'!$D$12)+T235)</f>
        <v>406.38725819336338</v>
      </c>
      <c r="S236" s="28" t="str">
        <f>IF(COUNTBLANK(T236)=1,IF(R236&lt;='Config.'!$D$10,"meta","nops"),"")</f>
        <v>meta</v>
      </c>
      <c r="T236" s="32"/>
    </row>
    <row r="237" spans="1:20" ht="20.100000000000001" customHeight="1" x14ac:dyDescent="0.25">
      <c r="A237" s="22" t="s">
        <v>25</v>
      </c>
      <c r="B237" s="20">
        <v>234</v>
      </c>
      <c r="C237" s="60">
        <f>IF(COUNTBLANK(H236)=1,(C236*'Config.'!$D$12)+C236,(H236*'Config.'!$D$12)+H236)</f>
        <v>410.45113077529703</v>
      </c>
      <c r="D237" s="60">
        <f t="shared" si="17"/>
        <v>4.0638725819336514</v>
      </c>
      <c r="E237" s="59">
        <v>0.8</v>
      </c>
      <c r="F237" s="61">
        <f t="shared" si="15"/>
        <v>1.0159681454834129</v>
      </c>
      <c r="G237" s="12" t="str">
        <f>IF(COUNTBLANK(H237)=1,IF(C237&lt;='Config.'!$D$10,"meta","nops"),"")</f>
        <v>meta</v>
      </c>
      <c r="H237" s="62"/>
      <c r="I237" s="63" t="str">
        <f t="shared" si="18"/>
        <v/>
      </c>
      <c r="J237" s="63" t="str">
        <f t="shared" si="16"/>
        <v/>
      </c>
      <c r="K237" s="54" t="str">
        <f t="shared" si="19"/>
        <v/>
      </c>
      <c r="R237" s="27">
        <f>IF(COUNTBLANK(T236)=1,(R236*'Config.'!$D$12)+R236,(T236*'Config.'!$D$12)+T236)</f>
        <v>410.45113077529703</v>
      </c>
      <c r="S237" s="28" t="str">
        <f>IF(COUNTBLANK(T237)=1,IF(R237&lt;='Config.'!$D$10,"meta","nops"),"")</f>
        <v>meta</v>
      </c>
      <c r="T237" s="32"/>
    </row>
    <row r="238" spans="1:20" ht="20.100000000000001" customHeight="1" x14ac:dyDescent="0.25">
      <c r="A238" s="22" t="s">
        <v>25</v>
      </c>
      <c r="B238" s="20">
        <v>235</v>
      </c>
      <c r="C238" s="60">
        <f>IF(COUNTBLANK(H237)=1,(C237*'Config.'!$D$12)+C237,(H237*'Config.'!$D$12)+H237)</f>
        <v>414.55564208304997</v>
      </c>
      <c r="D238" s="60">
        <f t="shared" si="17"/>
        <v>4.1045113077529436</v>
      </c>
      <c r="E238" s="59">
        <v>0.8</v>
      </c>
      <c r="F238" s="61">
        <f t="shared" si="15"/>
        <v>1.0261278269382359</v>
      </c>
      <c r="G238" s="12" t="str">
        <f>IF(COUNTBLANK(H238)=1,IF(C238&lt;='Config.'!$D$10,"meta","nops"),"")</f>
        <v>meta</v>
      </c>
      <c r="H238" s="62"/>
      <c r="I238" s="63" t="str">
        <f t="shared" si="18"/>
        <v/>
      </c>
      <c r="J238" s="63" t="str">
        <f t="shared" si="16"/>
        <v/>
      </c>
      <c r="K238" s="54" t="str">
        <f t="shared" si="19"/>
        <v/>
      </c>
      <c r="R238" s="27">
        <f>IF(COUNTBLANK(T237)=1,(R237*'Config.'!$D$12)+R237,(T237*'Config.'!$D$12)+T237)</f>
        <v>414.55564208304997</v>
      </c>
      <c r="S238" s="28" t="str">
        <f>IF(COUNTBLANK(T238)=1,IF(R238&lt;='Config.'!$D$10,"meta","nops"),"")</f>
        <v>meta</v>
      </c>
      <c r="T238" s="32"/>
    </row>
    <row r="239" spans="1:20" ht="20.100000000000001" customHeight="1" x14ac:dyDescent="0.25">
      <c r="A239" s="22" t="s">
        <v>25</v>
      </c>
      <c r="B239" s="20">
        <v>236</v>
      </c>
      <c r="C239" s="60">
        <f>IF(COUNTBLANK(H238)=1,(C238*'Config.'!$D$12)+C238,(H238*'Config.'!$D$12)+H238)</f>
        <v>418.70119850388045</v>
      </c>
      <c r="D239" s="60">
        <f t="shared" si="17"/>
        <v>4.1455564208304736</v>
      </c>
      <c r="E239" s="59">
        <v>0.8</v>
      </c>
      <c r="F239" s="61">
        <f t="shared" si="15"/>
        <v>1.0363891052076184</v>
      </c>
      <c r="G239" s="12" t="str">
        <f>IF(COUNTBLANK(H239)=1,IF(C239&lt;='Config.'!$D$10,"meta","nops"),"")</f>
        <v>meta</v>
      </c>
      <c r="H239" s="62"/>
      <c r="I239" s="63" t="str">
        <f t="shared" si="18"/>
        <v/>
      </c>
      <c r="J239" s="63" t="str">
        <f t="shared" si="16"/>
        <v/>
      </c>
      <c r="K239" s="54" t="str">
        <f t="shared" si="19"/>
        <v/>
      </c>
      <c r="R239" s="27">
        <f>IF(COUNTBLANK(T238)=1,(R238*'Config.'!$D$12)+R238,(T238*'Config.'!$D$12)+T238)</f>
        <v>418.70119850388045</v>
      </c>
      <c r="S239" s="28" t="str">
        <f>IF(COUNTBLANK(T239)=1,IF(R239&lt;='Config.'!$D$10,"meta","nops"),"")</f>
        <v>meta</v>
      </c>
      <c r="T239" s="32"/>
    </row>
    <row r="240" spans="1:20" ht="20.100000000000001" customHeight="1" x14ac:dyDescent="0.25">
      <c r="A240" s="22" t="s">
        <v>25</v>
      </c>
      <c r="B240" s="20">
        <v>237</v>
      </c>
      <c r="C240" s="60">
        <f>IF(COUNTBLANK(H239)=1,(C239*'Config.'!$D$12)+C239,(H239*'Config.'!$D$12)+H239)</f>
        <v>422.88821048891924</v>
      </c>
      <c r="D240" s="60">
        <f t="shared" si="17"/>
        <v>4.1870119850387937</v>
      </c>
      <c r="E240" s="59">
        <v>0.8</v>
      </c>
      <c r="F240" s="61">
        <f t="shared" si="15"/>
        <v>1.0467529962596984</v>
      </c>
      <c r="G240" s="12" t="str">
        <f>IF(COUNTBLANK(H240)=1,IF(C240&lt;='Config.'!$D$10,"meta","nops"),"")</f>
        <v>meta</v>
      </c>
      <c r="H240" s="62"/>
      <c r="I240" s="63" t="str">
        <f t="shared" si="18"/>
        <v/>
      </c>
      <c r="J240" s="63" t="str">
        <f t="shared" si="16"/>
        <v/>
      </c>
      <c r="K240" s="54" t="str">
        <f t="shared" si="19"/>
        <v/>
      </c>
      <c r="R240" s="27">
        <f>IF(COUNTBLANK(T239)=1,(R239*'Config.'!$D$12)+R239,(T239*'Config.'!$D$12)+T239)</f>
        <v>422.88821048891924</v>
      </c>
      <c r="S240" s="28" t="str">
        <f>IF(COUNTBLANK(T240)=1,IF(R240&lt;='Config.'!$D$10,"meta","nops"),"")</f>
        <v>meta</v>
      </c>
      <c r="T240" s="32"/>
    </row>
    <row r="241" spans="1:20" ht="20.100000000000001" customHeight="1" x14ac:dyDescent="0.25">
      <c r="A241" s="22" t="s">
        <v>25</v>
      </c>
      <c r="B241" s="20">
        <v>238</v>
      </c>
      <c r="C241" s="60">
        <f>IF(COUNTBLANK(H240)=1,(C240*'Config.'!$D$12)+C240,(H240*'Config.'!$D$12)+H240)</f>
        <v>427.11709259380842</v>
      </c>
      <c r="D241" s="60">
        <f t="shared" si="17"/>
        <v>4.2288821048891805</v>
      </c>
      <c r="E241" s="59">
        <v>0.8</v>
      </c>
      <c r="F241" s="61">
        <f t="shared" si="15"/>
        <v>1.0572205262222951</v>
      </c>
      <c r="G241" s="12" t="str">
        <f>IF(COUNTBLANK(H241)=1,IF(C241&lt;='Config.'!$D$10,"meta","nops"),"")</f>
        <v>meta</v>
      </c>
      <c r="H241" s="62"/>
      <c r="I241" s="63" t="str">
        <f t="shared" si="18"/>
        <v/>
      </c>
      <c r="J241" s="63" t="str">
        <f t="shared" si="16"/>
        <v/>
      </c>
      <c r="K241" s="54" t="str">
        <f t="shared" si="19"/>
        <v/>
      </c>
      <c r="R241" s="27">
        <f>IF(COUNTBLANK(T240)=1,(R240*'Config.'!$D$12)+R240,(T240*'Config.'!$D$12)+T240)</f>
        <v>427.11709259380842</v>
      </c>
      <c r="S241" s="28" t="str">
        <f>IF(COUNTBLANK(T241)=1,IF(R241&lt;='Config.'!$D$10,"meta","nops"),"")</f>
        <v>meta</v>
      </c>
      <c r="T241" s="32"/>
    </row>
    <row r="242" spans="1:20" ht="20.100000000000001" customHeight="1" x14ac:dyDescent="0.25">
      <c r="A242" s="22" t="s">
        <v>25</v>
      </c>
      <c r="B242" s="20">
        <v>239</v>
      </c>
      <c r="C242" s="60">
        <f>IF(COUNTBLANK(H241)=1,(C241*'Config.'!$D$12)+C241,(H241*'Config.'!$D$12)+H241)</f>
        <v>431.38826351974649</v>
      </c>
      <c r="D242" s="60">
        <f t="shared" si="17"/>
        <v>4.2711709259380655</v>
      </c>
      <c r="E242" s="59">
        <v>0.8</v>
      </c>
      <c r="F242" s="61">
        <f t="shared" si="15"/>
        <v>1.0677927314845164</v>
      </c>
      <c r="G242" s="12" t="str">
        <f>IF(COUNTBLANK(H242)=1,IF(C242&lt;='Config.'!$D$10,"meta","nops"),"")</f>
        <v>meta</v>
      </c>
      <c r="H242" s="62"/>
      <c r="I242" s="63" t="str">
        <f t="shared" si="18"/>
        <v/>
      </c>
      <c r="J242" s="63" t="str">
        <f t="shared" si="16"/>
        <v/>
      </c>
      <c r="K242" s="54" t="str">
        <f t="shared" si="19"/>
        <v/>
      </c>
      <c r="R242" s="27">
        <f>IF(COUNTBLANK(T241)=1,(R241*'Config.'!$D$12)+R241,(T241*'Config.'!$D$12)+T241)</f>
        <v>431.38826351974649</v>
      </c>
      <c r="S242" s="28" t="str">
        <f>IF(COUNTBLANK(T242)=1,IF(R242&lt;='Config.'!$D$10,"meta","nops"),"")</f>
        <v>meta</v>
      </c>
      <c r="T242" s="32"/>
    </row>
    <row r="243" spans="1:20" ht="20.100000000000001" customHeight="1" x14ac:dyDescent="0.25">
      <c r="A243" s="22" t="s">
        <v>25</v>
      </c>
      <c r="B243" s="20">
        <v>240</v>
      </c>
      <c r="C243" s="60">
        <f>IF(COUNTBLANK(H242)=1,(C242*'Config.'!$D$12)+C242,(H242*'Config.'!$D$12)+H242)</f>
        <v>435.70214615494393</v>
      </c>
      <c r="D243" s="60">
        <f t="shared" si="17"/>
        <v>4.3138826351974444</v>
      </c>
      <c r="E243" s="59">
        <v>0.8</v>
      </c>
      <c r="F243" s="61">
        <f t="shared" si="15"/>
        <v>1.0784706587993611</v>
      </c>
      <c r="G243" s="12" t="str">
        <f>IF(COUNTBLANK(H243)=1,IF(C243&lt;='Config.'!$D$10,"meta","nops"),"")</f>
        <v>meta</v>
      </c>
      <c r="H243" s="62"/>
      <c r="I243" s="63" t="str">
        <f t="shared" si="18"/>
        <v/>
      </c>
      <c r="J243" s="63" t="str">
        <f t="shared" si="16"/>
        <v/>
      </c>
      <c r="K243" s="54" t="str">
        <f t="shared" si="19"/>
        <v/>
      </c>
      <c r="R243" s="27">
        <f>IF(COUNTBLANK(T242)=1,(R242*'Config.'!$D$12)+R242,(T242*'Config.'!$D$12)+T242)</f>
        <v>435.70214615494393</v>
      </c>
      <c r="S243" s="28" t="str">
        <f>IF(COUNTBLANK(T243)=1,IF(R243&lt;='Config.'!$D$10,"meta","nops"),"")</f>
        <v>meta</v>
      </c>
      <c r="T243" s="32"/>
    </row>
    <row r="244" spans="1:20" ht="20.100000000000001" customHeight="1" x14ac:dyDescent="0.25">
      <c r="A244" s="22" t="s">
        <v>25</v>
      </c>
      <c r="B244" s="20">
        <v>241</v>
      </c>
      <c r="C244" s="60">
        <f>IF(COUNTBLANK(H243)=1,(C243*'Config.'!$D$12)+C243,(H243*'Config.'!$D$12)+H243)</f>
        <v>440.05916761649337</v>
      </c>
      <c r="D244" s="60">
        <f t="shared" si="17"/>
        <v>4.3570214615494365</v>
      </c>
      <c r="E244" s="59">
        <v>0.8</v>
      </c>
      <c r="F244" s="61">
        <f t="shared" si="15"/>
        <v>1.0892553653873591</v>
      </c>
      <c r="G244" s="12" t="str">
        <f>IF(COUNTBLANK(H244)=1,IF(C244&lt;='Config.'!$D$10,"meta","nops"),"")</f>
        <v>meta</v>
      </c>
      <c r="H244" s="62"/>
      <c r="I244" s="63" t="str">
        <f t="shared" si="18"/>
        <v/>
      </c>
      <c r="J244" s="63" t="str">
        <f t="shared" si="16"/>
        <v/>
      </c>
      <c r="K244" s="54" t="str">
        <f t="shared" si="19"/>
        <v/>
      </c>
      <c r="R244" s="27">
        <f>IF(COUNTBLANK(T243)=1,(R243*'Config.'!$D$12)+R243,(T243*'Config.'!$D$12)+T243)</f>
        <v>440.05916761649337</v>
      </c>
      <c r="S244" s="28" t="str">
        <f>IF(COUNTBLANK(T244)=1,IF(R244&lt;='Config.'!$D$10,"meta","nops"),"")</f>
        <v>meta</v>
      </c>
      <c r="T244" s="32"/>
    </row>
    <row r="245" spans="1:20" ht="20.100000000000001" customHeight="1" x14ac:dyDescent="0.25">
      <c r="A245" s="22" t="s">
        <v>25</v>
      </c>
      <c r="B245" s="20">
        <v>242</v>
      </c>
      <c r="C245" s="60">
        <f>IF(COUNTBLANK(H244)=1,(C244*'Config.'!$D$12)+C244,(H244*'Config.'!$D$12)+H244)</f>
        <v>444.4597592926583</v>
      </c>
      <c r="D245" s="60">
        <f t="shared" si="17"/>
        <v>4.400591676164936</v>
      </c>
      <c r="E245" s="59">
        <v>0.8</v>
      </c>
      <c r="F245" s="61">
        <f t="shared" si="15"/>
        <v>1.100147919041234</v>
      </c>
      <c r="G245" s="12" t="str">
        <f>IF(COUNTBLANK(H245)=1,IF(C245&lt;='Config.'!$D$10,"meta","nops"),"")</f>
        <v>meta</v>
      </c>
      <c r="H245" s="62"/>
      <c r="I245" s="63" t="str">
        <f t="shared" si="18"/>
        <v/>
      </c>
      <c r="J245" s="63" t="str">
        <f t="shared" si="16"/>
        <v/>
      </c>
      <c r="K245" s="54" t="str">
        <f t="shared" si="19"/>
        <v/>
      </c>
      <c r="R245" s="27">
        <f>IF(COUNTBLANK(T244)=1,(R244*'Config.'!$D$12)+R244,(T244*'Config.'!$D$12)+T244)</f>
        <v>444.4597592926583</v>
      </c>
      <c r="S245" s="28" t="str">
        <f>IF(COUNTBLANK(T245)=1,IF(R245&lt;='Config.'!$D$10,"meta","nops"),"")</f>
        <v>meta</v>
      </c>
      <c r="T245" s="32"/>
    </row>
    <row r="246" spans="1:20" ht="20.100000000000001" customHeight="1" x14ac:dyDescent="0.25">
      <c r="A246" s="22" t="s">
        <v>25</v>
      </c>
      <c r="B246" s="20">
        <v>243</v>
      </c>
      <c r="C246" s="60">
        <f>IF(COUNTBLANK(H245)=1,(C245*'Config.'!$D$12)+C245,(H245*'Config.'!$D$12)+H245)</f>
        <v>448.90435688558489</v>
      </c>
      <c r="D246" s="60">
        <f t="shared" si="17"/>
        <v>4.4445975929265842</v>
      </c>
      <c r="E246" s="59">
        <v>0.8</v>
      </c>
      <c r="F246" s="61">
        <f t="shared" si="15"/>
        <v>1.111149398231646</v>
      </c>
      <c r="G246" s="12" t="str">
        <f>IF(COUNTBLANK(H246)=1,IF(C246&lt;='Config.'!$D$10,"meta","nops"),"")</f>
        <v>meta</v>
      </c>
      <c r="H246" s="62"/>
      <c r="I246" s="63" t="str">
        <f t="shared" si="18"/>
        <v/>
      </c>
      <c r="J246" s="63" t="str">
        <f t="shared" si="16"/>
        <v/>
      </c>
      <c r="K246" s="54" t="str">
        <f t="shared" si="19"/>
        <v/>
      </c>
      <c r="R246" s="27">
        <f>IF(COUNTBLANK(T245)=1,(R245*'Config.'!$D$12)+R245,(T245*'Config.'!$D$12)+T245)</f>
        <v>448.90435688558489</v>
      </c>
      <c r="S246" s="28" t="str">
        <f>IF(COUNTBLANK(T246)=1,IF(R246&lt;='Config.'!$D$10,"meta","nops"),"")</f>
        <v>meta</v>
      </c>
      <c r="T246" s="32"/>
    </row>
    <row r="247" spans="1:20" ht="20.100000000000001" customHeight="1" x14ac:dyDescent="0.25">
      <c r="A247" s="22" t="s">
        <v>25</v>
      </c>
      <c r="B247" s="20">
        <v>244</v>
      </c>
      <c r="C247" s="60">
        <f>IF(COUNTBLANK(H246)=1,(C246*'Config.'!$D$12)+C246,(H246*'Config.'!$D$12)+H246)</f>
        <v>453.39340045444072</v>
      </c>
      <c r="D247" s="60">
        <f t="shared" si="17"/>
        <v>4.4890435688558341</v>
      </c>
      <c r="E247" s="59">
        <v>0.8</v>
      </c>
      <c r="F247" s="61">
        <f t="shared" si="15"/>
        <v>1.1222608922139585</v>
      </c>
      <c r="G247" s="12" t="str">
        <f>IF(COUNTBLANK(H247)=1,IF(C247&lt;='Config.'!$D$10,"meta","nops"),"")</f>
        <v>meta</v>
      </c>
      <c r="H247" s="62"/>
      <c r="I247" s="63" t="str">
        <f t="shared" si="18"/>
        <v/>
      </c>
      <c r="J247" s="63" t="str">
        <f t="shared" si="16"/>
        <v/>
      </c>
      <c r="K247" s="54" t="str">
        <f t="shared" si="19"/>
        <v/>
      </c>
      <c r="R247" s="27">
        <f>IF(COUNTBLANK(T246)=1,(R246*'Config.'!$D$12)+R246,(T246*'Config.'!$D$12)+T246)</f>
        <v>453.39340045444072</v>
      </c>
      <c r="S247" s="28" t="str">
        <f>IF(COUNTBLANK(T247)=1,IF(R247&lt;='Config.'!$D$10,"meta","nops"),"")</f>
        <v>meta</v>
      </c>
      <c r="T247" s="32"/>
    </row>
    <row r="248" spans="1:20" ht="20.100000000000001" customHeight="1" x14ac:dyDescent="0.25">
      <c r="A248" s="22" t="s">
        <v>25</v>
      </c>
      <c r="B248" s="20">
        <v>245</v>
      </c>
      <c r="C248" s="60">
        <f>IF(COUNTBLANK(H247)=1,(C247*'Config.'!$D$12)+C247,(H247*'Config.'!$D$12)+H247)</f>
        <v>457.92733445898511</v>
      </c>
      <c r="D248" s="60">
        <f t="shared" si="17"/>
        <v>4.5339340045443919</v>
      </c>
      <c r="E248" s="59">
        <v>0.8</v>
      </c>
      <c r="F248" s="61">
        <f t="shared" si="15"/>
        <v>1.133483501136098</v>
      </c>
      <c r="G248" s="12" t="str">
        <f>IF(COUNTBLANK(H248)=1,IF(C248&lt;='Config.'!$D$10,"meta","nops"),"")</f>
        <v>meta</v>
      </c>
      <c r="H248" s="62"/>
      <c r="I248" s="63" t="str">
        <f t="shared" si="18"/>
        <v/>
      </c>
      <c r="J248" s="63" t="str">
        <f t="shared" si="16"/>
        <v/>
      </c>
      <c r="K248" s="54" t="str">
        <f t="shared" si="19"/>
        <v/>
      </c>
      <c r="R248" s="27">
        <f>IF(COUNTBLANK(T247)=1,(R247*'Config.'!$D$12)+R247,(T247*'Config.'!$D$12)+T247)</f>
        <v>457.92733445898511</v>
      </c>
      <c r="S248" s="28" t="str">
        <f>IF(COUNTBLANK(T248)=1,IF(R248&lt;='Config.'!$D$10,"meta","nops"),"")</f>
        <v>meta</v>
      </c>
      <c r="T248" s="32"/>
    </row>
    <row r="249" spans="1:20" ht="20.100000000000001" customHeight="1" x14ac:dyDescent="0.25">
      <c r="A249" s="22" t="s">
        <v>25</v>
      </c>
      <c r="B249" s="20">
        <v>246</v>
      </c>
      <c r="C249" s="60">
        <f>IF(COUNTBLANK(H248)=1,(C248*'Config.'!$D$12)+C248,(H248*'Config.'!$D$12)+H248)</f>
        <v>462.50660780357498</v>
      </c>
      <c r="D249" s="60">
        <f t="shared" si="17"/>
        <v>4.5792733445898648</v>
      </c>
      <c r="E249" s="59">
        <v>0.8</v>
      </c>
      <c r="F249" s="61">
        <f t="shared" si="15"/>
        <v>1.1448183361474662</v>
      </c>
      <c r="G249" s="12" t="str">
        <f>IF(COUNTBLANK(H249)=1,IF(C249&lt;='Config.'!$D$10,"meta","nops"),"")</f>
        <v>meta</v>
      </c>
      <c r="H249" s="62"/>
      <c r="I249" s="63" t="str">
        <f t="shared" si="18"/>
        <v/>
      </c>
      <c r="J249" s="63" t="str">
        <f t="shared" si="16"/>
        <v/>
      </c>
      <c r="K249" s="54" t="str">
        <f t="shared" si="19"/>
        <v/>
      </c>
      <c r="R249" s="27">
        <f>IF(COUNTBLANK(T248)=1,(R248*'Config.'!$D$12)+R248,(T248*'Config.'!$D$12)+T248)</f>
        <v>462.50660780357498</v>
      </c>
      <c r="S249" s="28" t="str">
        <f>IF(COUNTBLANK(T249)=1,IF(R249&lt;='Config.'!$D$10,"meta","nops"),"")</f>
        <v>meta</v>
      </c>
      <c r="T249" s="32"/>
    </row>
    <row r="250" spans="1:20" ht="20.100000000000001" customHeight="1" x14ac:dyDescent="0.25">
      <c r="A250" s="22" t="s">
        <v>25</v>
      </c>
      <c r="B250" s="20">
        <v>247</v>
      </c>
      <c r="C250" s="60">
        <f>IF(COUNTBLANK(H249)=1,(C249*'Config.'!$D$12)+C249,(H249*'Config.'!$D$12)+H249)</f>
        <v>467.13167388161071</v>
      </c>
      <c r="D250" s="60">
        <f t="shared" si="17"/>
        <v>4.6250660780357293</v>
      </c>
      <c r="E250" s="59">
        <v>0.8</v>
      </c>
      <c r="F250" s="61">
        <f t="shared" si="15"/>
        <v>1.1562665195089323</v>
      </c>
      <c r="G250" s="12" t="str">
        <f>IF(COUNTBLANK(H250)=1,IF(C250&lt;='Config.'!$D$10,"meta","nops"),"")</f>
        <v>meta</v>
      </c>
      <c r="H250" s="62"/>
      <c r="I250" s="63" t="str">
        <f t="shared" si="18"/>
        <v/>
      </c>
      <c r="J250" s="63" t="str">
        <f t="shared" si="16"/>
        <v/>
      </c>
      <c r="K250" s="54" t="str">
        <f t="shared" si="19"/>
        <v/>
      </c>
      <c r="R250" s="27">
        <f>IF(COUNTBLANK(T249)=1,(R249*'Config.'!$D$12)+R249,(T249*'Config.'!$D$12)+T249)</f>
        <v>467.13167388161071</v>
      </c>
      <c r="S250" s="28" t="str">
        <f>IF(COUNTBLANK(T250)=1,IF(R250&lt;='Config.'!$D$10,"meta","nops"),"")</f>
        <v>meta</v>
      </c>
      <c r="T250" s="32"/>
    </row>
    <row r="251" spans="1:20" ht="20.100000000000001" customHeight="1" x14ac:dyDescent="0.25">
      <c r="A251" s="22" t="s">
        <v>25</v>
      </c>
      <c r="B251" s="20">
        <v>248</v>
      </c>
      <c r="C251" s="60">
        <f>IF(COUNTBLANK(H250)=1,(C250*'Config.'!$D$12)+C250,(H250*'Config.'!$D$12)+H250)</f>
        <v>471.80299062042684</v>
      </c>
      <c r="D251" s="60">
        <f t="shared" si="17"/>
        <v>4.671316738816131</v>
      </c>
      <c r="E251" s="59">
        <v>0.8</v>
      </c>
      <c r="F251" s="61">
        <f t="shared" si="15"/>
        <v>1.1678291847040327</v>
      </c>
      <c r="G251" s="12" t="str">
        <f>IF(COUNTBLANK(H251)=1,IF(C251&lt;='Config.'!$D$10,"meta","nops"),"")</f>
        <v>meta</v>
      </c>
      <c r="H251" s="62"/>
      <c r="I251" s="63" t="str">
        <f t="shared" si="18"/>
        <v/>
      </c>
      <c r="J251" s="63" t="str">
        <f t="shared" si="16"/>
        <v/>
      </c>
      <c r="K251" s="54" t="str">
        <f t="shared" si="19"/>
        <v/>
      </c>
      <c r="R251" s="27">
        <f>IF(COUNTBLANK(T250)=1,(R250*'Config.'!$D$12)+R250,(T250*'Config.'!$D$12)+T250)</f>
        <v>471.80299062042684</v>
      </c>
      <c r="S251" s="28" t="str">
        <f>IF(COUNTBLANK(T251)=1,IF(R251&lt;='Config.'!$D$10,"meta","nops"),"")</f>
        <v>meta</v>
      </c>
      <c r="T251" s="32"/>
    </row>
    <row r="252" spans="1:20" ht="20.100000000000001" customHeight="1" x14ac:dyDescent="0.25">
      <c r="A252" s="22" t="s">
        <v>25</v>
      </c>
      <c r="B252" s="20">
        <v>249</v>
      </c>
      <c r="C252" s="60">
        <f>IF(COUNTBLANK(H251)=1,(C251*'Config.'!$D$12)+C251,(H251*'Config.'!$D$12)+H251)</f>
        <v>476.5210205266311</v>
      </c>
      <c r="D252" s="60">
        <f t="shared" si="17"/>
        <v>4.718029906204265</v>
      </c>
      <c r="E252" s="59">
        <v>0.8</v>
      </c>
      <c r="F252" s="61">
        <f t="shared" si="15"/>
        <v>1.1795074765510662</v>
      </c>
      <c r="G252" s="12" t="str">
        <f>IF(COUNTBLANK(H252)=1,IF(C252&lt;='Config.'!$D$10,"meta","nops"),"")</f>
        <v>meta</v>
      </c>
      <c r="H252" s="62"/>
      <c r="I252" s="63" t="str">
        <f t="shared" si="18"/>
        <v/>
      </c>
      <c r="J252" s="63" t="str">
        <f t="shared" si="16"/>
        <v/>
      </c>
      <c r="K252" s="54" t="str">
        <f t="shared" si="19"/>
        <v/>
      </c>
      <c r="R252" s="27">
        <f>IF(COUNTBLANK(T251)=1,(R251*'Config.'!$D$12)+R251,(T251*'Config.'!$D$12)+T251)</f>
        <v>476.5210205266311</v>
      </c>
      <c r="S252" s="28" t="str">
        <f>IF(COUNTBLANK(T252)=1,IF(R252&lt;='Config.'!$D$10,"meta","nops"),"")</f>
        <v>meta</v>
      </c>
      <c r="T252" s="32"/>
    </row>
    <row r="253" spans="1:20" ht="20.100000000000001" customHeight="1" x14ac:dyDescent="0.25">
      <c r="A253" s="22" t="s">
        <v>25</v>
      </c>
      <c r="B253" s="20">
        <v>250</v>
      </c>
      <c r="C253" s="60">
        <f>IF(COUNTBLANK(H252)=1,(C252*'Config.'!$D$12)+C252,(H252*'Config.'!$D$12)+H252)</f>
        <v>481.28623073189743</v>
      </c>
      <c r="D253" s="60">
        <f t="shared" si="17"/>
        <v>4.7652102052663281</v>
      </c>
      <c r="E253" s="59">
        <v>0.8</v>
      </c>
      <c r="F253" s="61">
        <f t="shared" si="15"/>
        <v>1.191302551316582</v>
      </c>
      <c r="G253" s="12" t="str">
        <f>IF(COUNTBLANK(H253)=1,IF(C253&lt;='Config.'!$D$10,"meta","nops"),"")</f>
        <v>meta</v>
      </c>
      <c r="H253" s="62"/>
      <c r="I253" s="63" t="str">
        <f t="shared" si="18"/>
        <v/>
      </c>
      <c r="J253" s="63" t="str">
        <f t="shared" si="16"/>
        <v/>
      </c>
      <c r="K253" s="54" t="str">
        <f t="shared" si="19"/>
        <v/>
      </c>
      <c r="R253" s="27">
        <f>IF(COUNTBLANK(T252)=1,(R252*'Config.'!$D$12)+R252,(T252*'Config.'!$D$12)+T252)</f>
        <v>481.28623073189743</v>
      </c>
      <c r="S253" s="28" t="str">
        <f>IF(COUNTBLANK(T253)=1,IF(R253&lt;='Config.'!$D$10,"meta","nops"),"")</f>
        <v>meta</v>
      </c>
      <c r="T253" s="32"/>
    </row>
    <row r="254" spans="1:20" ht="20.100000000000001" customHeight="1" x14ac:dyDescent="0.25">
      <c r="A254" s="22" t="s">
        <v>25</v>
      </c>
      <c r="B254" s="20">
        <v>251</v>
      </c>
      <c r="C254" s="60">
        <f>IF(COUNTBLANK(H253)=1,(C253*'Config.'!$D$12)+C253,(H253*'Config.'!$D$12)+H253)</f>
        <v>486.09909303921643</v>
      </c>
      <c r="D254" s="60">
        <f t="shared" si="17"/>
        <v>4.8128623073189942</v>
      </c>
      <c r="E254" s="59">
        <v>0.8</v>
      </c>
      <c r="F254" s="61">
        <f t="shared" si="15"/>
        <v>1.2032155768297486</v>
      </c>
      <c r="G254" s="12" t="str">
        <f>IF(COUNTBLANK(H254)=1,IF(C254&lt;='Config.'!$D$10,"meta","nops"),"")</f>
        <v>meta</v>
      </c>
      <c r="H254" s="62"/>
      <c r="I254" s="63" t="str">
        <f t="shared" si="18"/>
        <v/>
      </c>
      <c r="J254" s="63" t="str">
        <f t="shared" si="16"/>
        <v/>
      </c>
      <c r="K254" s="54" t="str">
        <f t="shared" si="19"/>
        <v/>
      </c>
      <c r="R254" s="27">
        <f>IF(COUNTBLANK(T253)=1,(R253*'Config.'!$D$12)+R253,(T253*'Config.'!$D$12)+T253)</f>
        <v>486.09909303921643</v>
      </c>
      <c r="S254" s="28" t="str">
        <f>IF(COUNTBLANK(T254)=1,IF(R254&lt;='Config.'!$D$10,"meta","nops"),"")</f>
        <v>meta</v>
      </c>
      <c r="T254" s="32"/>
    </row>
    <row r="255" spans="1:20" ht="20.100000000000001" customHeight="1" x14ac:dyDescent="0.25">
      <c r="A255" s="22" t="s">
        <v>25</v>
      </c>
      <c r="B255" s="20">
        <v>252</v>
      </c>
      <c r="C255" s="60">
        <f>IF(COUNTBLANK(H254)=1,(C254*'Config.'!$D$12)+C254,(H254*'Config.'!$D$12)+H254)</f>
        <v>490.9600839696086</v>
      </c>
      <c r="D255" s="60">
        <f t="shared" si="17"/>
        <v>4.8609909303921768</v>
      </c>
      <c r="E255" s="59">
        <v>0.8</v>
      </c>
      <c r="F255" s="61">
        <f t="shared" si="15"/>
        <v>1.2152477325980442</v>
      </c>
      <c r="G255" s="12" t="str">
        <f>IF(COUNTBLANK(H255)=1,IF(C255&lt;='Config.'!$D$10,"meta","nops"),"")</f>
        <v>meta</v>
      </c>
      <c r="H255" s="62"/>
      <c r="I255" s="63" t="str">
        <f t="shared" si="18"/>
        <v/>
      </c>
      <c r="J255" s="63" t="str">
        <f t="shared" si="16"/>
        <v/>
      </c>
      <c r="K255" s="54" t="str">
        <f t="shared" si="19"/>
        <v/>
      </c>
      <c r="R255" s="27">
        <f>IF(COUNTBLANK(T254)=1,(R254*'Config.'!$D$12)+R254,(T254*'Config.'!$D$12)+T254)</f>
        <v>490.9600839696086</v>
      </c>
      <c r="S255" s="28" t="str">
        <f>IF(COUNTBLANK(T255)=1,IF(R255&lt;='Config.'!$D$10,"meta","nops"),"")</f>
        <v>meta</v>
      </c>
      <c r="T255" s="32"/>
    </row>
    <row r="256" spans="1:20" ht="20.100000000000001" customHeight="1" x14ac:dyDescent="0.25">
      <c r="A256" s="22" t="s">
        <v>25</v>
      </c>
      <c r="B256" s="20">
        <v>253</v>
      </c>
      <c r="C256" s="60">
        <f>IF(COUNTBLANK(H255)=1,(C255*'Config.'!$D$12)+C255,(H255*'Config.'!$D$12)+H255)</f>
        <v>495.86968480930472</v>
      </c>
      <c r="D256" s="60">
        <f t="shared" si="17"/>
        <v>4.9096008396961111</v>
      </c>
      <c r="E256" s="59">
        <v>0.8</v>
      </c>
      <c r="F256" s="61">
        <f t="shared" si="15"/>
        <v>1.2274002099240278</v>
      </c>
      <c r="G256" s="12" t="str">
        <f>IF(COUNTBLANK(H256)=1,IF(C256&lt;='Config.'!$D$10,"meta","nops"),"")</f>
        <v>meta</v>
      </c>
      <c r="H256" s="62"/>
      <c r="I256" s="63" t="str">
        <f t="shared" si="18"/>
        <v/>
      </c>
      <c r="J256" s="63" t="str">
        <f t="shared" si="16"/>
        <v/>
      </c>
      <c r="K256" s="54" t="str">
        <f t="shared" si="19"/>
        <v/>
      </c>
      <c r="R256" s="27">
        <f>IF(COUNTBLANK(T255)=1,(R255*'Config.'!$D$12)+R255,(T255*'Config.'!$D$12)+T255)</f>
        <v>495.86968480930472</v>
      </c>
      <c r="S256" s="28" t="str">
        <f>IF(COUNTBLANK(T256)=1,IF(R256&lt;='Config.'!$D$10,"meta","nops"),"")</f>
        <v>meta</v>
      </c>
      <c r="T256" s="32"/>
    </row>
    <row r="257" spans="1:20" ht="20.100000000000001" customHeight="1" x14ac:dyDescent="0.25">
      <c r="A257" s="22" t="s">
        <v>25</v>
      </c>
      <c r="B257" s="20">
        <v>254</v>
      </c>
      <c r="C257" s="60">
        <f>IF(COUNTBLANK(H256)=1,(C256*'Config.'!$D$12)+C256,(H256*'Config.'!$D$12)+H256)</f>
        <v>500.82838165739776</v>
      </c>
      <c r="D257" s="60">
        <f t="shared" si="17"/>
        <v>4.9586968480930409</v>
      </c>
      <c r="E257" s="59">
        <v>0.8</v>
      </c>
      <c r="F257" s="61">
        <f t="shared" si="15"/>
        <v>1.2396742120232602</v>
      </c>
      <c r="G257" s="12" t="str">
        <f>IF(COUNTBLANK(H257)=1,IF(C257&lt;='Config.'!$D$10,"meta","nops"),"")</f>
        <v>meta</v>
      </c>
      <c r="H257" s="62"/>
      <c r="I257" s="63" t="str">
        <f t="shared" si="18"/>
        <v/>
      </c>
      <c r="J257" s="63" t="str">
        <f t="shared" si="16"/>
        <v/>
      </c>
      <c r="K257" s="54" t="str">
        <f t="shared" si="19"/>
        <v/>
      </c>
      <c r="R257" s="27">
        <f>IF(COUNTBLANK(T256)=1,(R256*'Config.'!$D$12)+R256,(T256*'Config.'!$D$12)+T256)</f>
        <v>500.82838165739776</v>
      </c>
      <c r="S257" s="28" t="str">
        <f>IF(COUNTBLANK(T257)=1,IF(R257&lt;='Config.'!$D$10,"meta","nops"),"")</f>
        <v>meta</v>
      </c>
      <c r="T257" s="32"/>
    </row>
    <row r="258" spans="1:20" ht="20.100000000000001" customHeight="1" x14ac:dyDescent="0.25">
      <c r="A258" s="22" t="s">
        <v>25</v>
      </c>
      <c r="B258" s="20">
        <v>255</v>
      </c>
      <c r="C258" s="60">
        <f>IF(COUNTBLANK(H257)=1,(C257*'Config.'!$D$12)+C257,(H257*'Config.'!$D$12)+H257)</f>
        <v>505.83666547397172</v>
      </c>
      <c r="D258" s="60">
        <f t="shared" si="17"/>
        <v>5.0082838165739645</v>
      </c>
      <c r="E258" s="59">
        <v>0.8</v>
      </c>
      <c r="F258" s="61">
        <f t="shared" si="15"/>
        <v>1.2520709541434911</v>
      </c>
      <c r="G258" s="12" t="str">
        <f>IF(COUNTBLANK(H258)=1,IF(C258&lt;='Config.'!$D$10,"meta","nops"),"")</f>
        <v>meta</v>
      </c>
      <c r="H258" s="62"/>
      <c r="I258" s="63" t="str">
        <f t="shared" si="18"/>
        <v/>
      </c>
      <c r="J258" s="63" t="str">
        <f t="shared" si="16"/>
        <v/>
      </c>
      <c r="K258" s="54" t="str">
        <f t="shared" si="19"/>
        <v/>
      </c>
      <c r="R258" s="27">
        <f>IF(COUNTBLANK(T257)=1,(R257*'Config.'!$D$12)+R257,(T257*'Config.'!$D$12)+T257)</f>
        <v>505.83666547397172</v>
      </c>
      <c r="S258" s="28" t="str">
        <f>IF(COUNTBLANK(T258)=1,IF(R258&lt;='Config.'!$D$10,"meta","nops"),"")</f>
        <v>meta</v>
      </c>
      <c r="T258" s="32"/>
    </row>
    <row r="259" spans="1:20" ht="20.100000000000001" customHeight="1" x14ac:dyDescent="0.25">
      <c r="A259" s="22" t="s">
        <v>25</v>
      </c>
      <c r="B259" s="20">
        <v>256</v>
      </c>
      <c r="C259" s="60">
        <f>IF(COUNTBLANK(H258)=1,(C258*'Config.'!$D$12)+C258,(H258*'Config.'!$D$12)+H258)</f>
        <v>510.89503212871142</v>
      </c>
      <c r="D259" s="60">
        <f t="shared" si="17"/>
        <v>5.0583666547397002</v>
      </c>
      <c r="E259" s="59">
        <v>0.8</v>
      </c>
      <c r="F259" s="61">
        <f t="shared" si="15"/>
        <v>1.264591663684925</v>
      </c>
      <c r="G259" s="12" t="str">
        <f>IF(COUNTBLANK(H259)=1,IF(C259&lt;='Config.'!$D$10,"meta","nops"),"")</f>
        <v>meta</v>
      </c>
      <c r="H259" s="62"/>
      <c r="I259" s="63" t="str">
        <f t="shared" si="18"/>
        <v/>
      </c>
      <c r="J259" s="63" t="str">
        <f t="shared" si="16"/>
        <v/>
      </c>
      <c r="K259" s="54" t="str">
        <f t="shared" si="19"/>
        <v/>
      </c>
      <c r="R259" s="27">
        <f>IF(COUNTBLANK(T258)=1,(R258*'Config.'!$D$12)+R258,(T258*'Config.'!$D$12)+T258)</f>
        <v>510.89503212871142</v>
      </c>
      <c r="S259" s="28" t="str">
        <f>IF(COUNTBLANK(T259)=1,IF(R259&lt;='Config.'!$D$10,"meta","nops"),"")</f>
        <v>meta</v>
      </c>
      <c r="T259" s="32"/>
    </row>
    <row r="260" spans="1:20" ht="20.100000000000001" customHeight="1" x14ac:dyDescent="0.25">
      <c r="A260" s="22" t="s">
        <v>25</v>
      </c>
      <c r="B260" s="20">
        <v>257</v>
      </c>
      <c r="C260" s="60">
        <f>IF(COUNTBLANK(H259)=1,(C259*'Config.'!$D$12)+C259,(H259*'Config.'!$D$12)+H259)</f>
        <v>516.00398244999849</v>
      </c>
      <c r="D260" s="60">
        <f t="shared" si="17"/>
        <v>5.1089503212870682</v>
      </c>
      <c r="E260" s="59">
        <v>0.8</v>
      </c>
      <c r="F260" s="61">
        <f t="shared" ref="F260:F323" si="20">IF(COUNTBLANK(E260)=0,(D260/E260)/$E$3,"-")</f>
        <v>1.277237580321767</v>
      </c>
      <c r="G260" s="12" t="str">
        <f>IF(COUNTBLANK(H260)=1,IF(C260&lt;='Config.'!$D$10,"meta","nops"),"")</f>
        <v>meta</v>
      </c>
      <c r="H260" s="62"/>
      <c r="I260" s="63" t="str">
        <f t="shared" si="18"/>
        <v/>
      </c>
      <c r="J260" s="63" t="str">
        <f t="shared" ref="J260:J323" si="21">IF(I260="","",I260-D260)</f>
        <v/>
      </c>
      <c r="K260" s="54" t="str">
        <f t="shared" si="19"/>
        <v/>
      </c>
      <c r="R260" s="27">
        <f>IF(COUNTBLANK(T259)=1,(R259*'Config.'!$D$12)+R259,(T259*'Config.'!$D$12)+T259)</f>
        <v>516.00398244999849</v>
      </c>
      <c r="S260" s="28" t="str">
        <f>IF(COUNTBLANK(T260)=1,IF(R260&lt;='Config.'!$D$10,"meta","nops"),"")</f>
        <v>meta</v>
      </c>
      <c r="T260" s="32"/>
    </row>
    <row r="261" spans="1:20" ht="20.100000000000001" customHeight="1" x14ac:dyDescent="0.25">
      <c r="A261" s="22" t="s">
        <v>25</v>
      </c>
      <c r="B261" s="20">
        <v>258</v>
      </c>
      <c r="C261" s="60">
        <f>IF(COUNTBLANK(H260)=1,(C260*'Config.'!$D$12)+C260,(H260*'Config.'!$D$12)+H260)</f>
        <v>521.16402227449851</v>
      </c>
      <c r="D261" s="60">
        <f t="shared" ref="D261:D324" si="22">IF(COUNTBLANK(H260)=1,C261-C260,C261-H260)</f>
        <v>5.1600398245000179</v>
      </c>
      <c r="E261" s="59">
        <v>0.8</v>
      </c>
      <c r="F261" s="61">
        <f t="shared" si="20"/>
        <v>1.2900099561250045</v>
      </c>
      <c r="G261" s="12" t="str">
        <f>IF(COUNTBLANK(H261)=1,IF(C261&lt;='Config.'!$D$10,"meta","nops"),"")</f>
        <v>meta</v>
      </c>
      <c r="H261" s="62"/>
      <c r="I261" s="63" t="str">
        <f t="shared" ref="I261:I324" si="23">IF(COUNTBLANK(H261)=1,"",H261-H260)</f>
        <v/>
      </c>
      <c r="J261" s="63" t="str">
        <f t="shared" si="21"/>
        <v/>
      </c>
      <c r="K261" s="54" t="str">
        <f t="shared" ref="K261:K324" si="24">IF(COUNTBLANK(H261)=1,"",(H261-H260)/H260)</f>
        <v/>
      </c>
      <c r="R261" s="27">
        <f>IF(COUNTBLANK(T260)=1,(R260*'Config.'!$D$12)+R260,(T260*'Config.'!$D$12)+T260)</f>
        <v>521.16402227449851</v>
      </c>
      <c r="S261" s="28" t="str">
        <f>IF(COUNTBLANK(T261)=1,IF(R261&lt;='Config.'!$D$10,"meta","nops"),"")</f>
        <v>meta</v>
      </c>
      <c r="T261" s="32"/>
    </row>
    <row r="262" spans="1:20" ht="20.100000000000001" customHeight="1" x14ac:dyDescent="0.25">
      <c r="A262" s="22" t="s">
        <v>25</v>
      </c>
      <c r="B262" s="20">
        <v>259</v>
      </c>
      <c r="C262" s="60">
        <f>IF(COUNTBLANK(H261)=1,(C261*'Config.'!$D$12)+C261,(H261*'Config.'!$D$12)+H261)</f>
        <v>526.37566249724352</v>
      </c>
      <c r="D262" s="60">
        <f t="shared" si="22"/>
        <v>5.211640222745018</v>
      </c>
      <c r="E262" s="59">
        <v>0.8</v>
      </c>
      <c r="F262" s="61">
        <f t="shared" si="20"/>
        <v>1.3029100556862545</v>
      </c>
      <c r="G262" s="12" t="str">
        <f>IF(COUNTBLANK(H262)=1,IF(C262&lt;='Config.'!$D$10,"meta","nops"),"")</f>
        <v>meta</v>
      </c>
      <c r="H262" s="62"/>
      <c r="I262" s="63" t="str">
        <f t="shared" si="23"/>
        <v/>
      </c>
      <c r="J262" s="63" t="str">
        <f t="shared" si="21"/>
        <v/>
      </c>
      <c r="K262" s="54" t="str">
        <f t="shared" si="24"/>
        <v/>
      </c>
      <c r="R262" s="27">
        <f>IF(COUNTBLANK(T261)=1,(R261*'Config.'!$D$12)+R261,(T261*'Config.'!$D$12)+T261)</f>
        <v>526.37566249724352</v>
      </c>
      <c r="S262" s="28" t="str">
        <f>IF(COUNTBLANK(T262)=1,IF(R262&lt;='Config.'!$D$10,"meta","nops"),"")</f>
        <v>meta</v>
      </c>
      <c r="T262" s="32"/>
    </row>
    <row r="263" spans="1:20" ht="20.100000000000001" customHeight="1" x14ac:dyDescent="0.25">
      <c r="A263" s="22" t="s">
        <v>25</v>
      </c>
      <c r="B263" s="20">
        <v>260</v>
      </c>
      <c r="C263" s="60">
        <f>IF(COUNTBLANK(H262)=1,(C262*'Config.'!$D$12)+C262,(H262*'Config.'!$D$12)+H262)</f>
        <v>531.63941912221594</v>
      </c>
      <c r="D263" s="60">
        <f t="shared" si="22"/>
        <v>5.2637566249724159</v>
      </c>
      <c r="E263" s="59">
        <v>0.8</v>
      </c>
      <c r="F263" s="61">
        <f t="shared" si="20"/>
        <v>1.315939156243104</v>
      </c>
      <c r="G263" s="12" t="str">
        <f>IF(COUNTBLANK(H263)=1,IF(C263&lt;='Config.'!$D$10,"meta","nops"),"")</f>
        <v>meta</v>
      </c>
      <c r="H263" s="62"/>
      <c r="I263" s="63" t="str">
        <f t="shared" si="23"/>
        <v/>
      </c>
      <c r="J263" s="63" t="str">
        <f t="shared" si="21"/>
        <v/>
      </c>
      <c r="K263" s="54" t="str">
        <f t="shared" si="24"/>
        <v/>
      </c>
      <c r="R263" s="27">
        <f>IF(COUNTBLANK(T262)=1,(R262*'Config.'!$D$12)+R262,(T262*'Config.'!$D$12)+T262)</f>
        <v>531.63941912221594</v>
      </c>
      <c r="S263" s="28" t="str">
        <f>IF(COUNTBLANK(T263)=1,IF(R263&lt;='Config.'!$D$10,"meta","nops"),"")</f>
        <v>meta</v>
      </c>
      <c r="T263" s="32"/>
    </row>
    <row r="264" spans="1:20" ht="20.100000000000001" customHeight="1" x14ac:dyDescent="0.25">
      <c r="A264" s="22" t="s">
        <v>25</v>
      </c>
      <c r="B264" s="20">
        <v>261</v>
      </c>
      <c r="C264" s="60">
        <f>IF(COUNTBLANK(H263)=1,(C263*'Config.'!$D$12)+C263,(H263*'Config.'!$D$12)+H263)</f>
        <v>536.95581331343806</v>
      </c>
      <c r="D264" s="60">
        <f t="shared" si="22"/>
        <v>5.3163941912221162</v>
      </c>
      <c r="E264" s="59">
        <v>0.8</v>
      </c>
      <c r="F264" s="61">
        <f t="shared" si="20"/>
        <v>1.3290985478055291</v>
      </c>
      <c r="G264" s="12" t="str">
        <f>IF(COUNTBLANK(H264)=1,IF(C264&lt;='Config.'!$D$10,"meta","nops"),"")</f>
        <v>meta</v>
      </c>
      <c r="H264" s="62"/>
      <c r="I264" s="63" t="str">
        <f t="shared" si="23"/>
        <v/>
      </c>
      <c r="J264" s="63" t="str">
        <f t="shared" si="21"/>
        <v/>
      </c>
      <c r="K264" s="54" t="str">
        <f t="shared" si="24"/>
        <v/>
      </c>
      <c r="R264" s="27">
        <f>IF(COUNTBLANK(T263)=1,(R263*'Config.'!$D$12)+R263,(T263*'Config.'!$D$12)+T263)</f>
        <v>536.95581331343806</v>
      </c>
      <c r="S264" s="28" t="str">
        <f>IF(COUNTBLANK(T264)=1,IF(R264&lt;='Config.'!$D$10,"meta","nops"),"")</f>
        <v>meta</v>
      </c>
      <c r="T264" s="32"/>
    </row>
    <row r="265" spans="1:20" ht="20.100000000000001" customHeight="1" x14ac:dyDescent="0.25">
      <c r="A265" s="22" t="s">
        <v>25</v>
      </c>
      <c r="B265" s="20">
        <v>262</v>
      </c>
      <c r="C265" s="60">
        <f>IF(COUNTBLANK(H264)=1,(C264*'Config.'!$D$12)+C264,(H264*'Config.'!$D$12)+H264)</f>
        <v>542.32537144657249</v>
      </c>
      <c r="D265" s="60">
        <f t="shared" si="22"/>
        <v>5.3695581331344329</v>
      </c>
      <c r="E265" s="59">
        <v>0.8</v>
      </c>
      <c r="F265" s="61">
        <f t="shared" si="20"/>
        <v>1.3423895332836082</v>
      </c>
      <c r="G265" s="12" t="str">
        <f>IF(COUNTBLANK(H265)=1,IF(C265&lt;='Config.'!$D$10,"meta","nops"),"")</f>
        <v>meta</v>
      </c>
      <c r="H265" s="62"/>
      <c r="I265" s="63" t="str">
        <f t="shared" si="23"/>
        <v/>
      </c>
      <c r="J265" s="63" t="str">
        <f t="shared" si="21"/>
        <v/>
      </c>
      <c r="K265" s="54" t="str">
        <f t="shared" si="24"/>
        <v/>
      </c>
      <c r="R265" s="27">
        <f>IF(COUNTBLANK(T264)=1,(R264*'Config.'!$D$12)+R264,(T264*'Config.'!$D$12)+T264)</f>
        <v>542.32537144657249</v>
      </c>
      <c r="S265" s="28" t="str">
        <f>IF(COUNTBLANK(T265)=1,IF(R265&lt;='Config.'!$D$10,"meta","nops"),"")</f>
        <v>meta</v>
      </c>
      <c r="T265" s="32"/>
    </row>
    <row r="266" spans="1:20" ht="20.100000000000001" customHeight="1" x14ac:dyDescent="0.25">
      <c r="A266" s="22" t="s">
        <v>25</v>
      </c>
      <c r="B266" s="20">
        <v>263</v>
      </c>
      <c r="C266" s="60">
        <f>IF(COUNTBLANK(H265)=1,(C265*'Config.'!$D$12)+C265,(H265*'Config.'!$D$12)+H265)</f>
        <v>547.74862516103826</v>
      </c>
      <c r="D266" s="60">
        <f t="shared" si="22"/>
        <v>5.4232537144657726</v>
      </c>
      <c r="E266" s="59">
        <v>0.8</v>
      </c>
      <c r="F266" s="61">
        <f t="shared" si="20"/>
        <v>1.3558134286164432</v>
      </c>
      <c r="G266" s="12" t="str">
        <f>IF(COUNTBLANK(H266)=1,IF(C266&lt;='Config.'!$D$10,"meta","nops"),"")</f>
        <v>meta</v>
      </c>
      <c r="H266" s="62"/>
      <c r="I266" s="63" t="str">
        <f t="shared" si="23"/>
        <v/>
      </c>
      <c r="J266" s="63" t="str">
        <f t="shared" si="21"/>
        <v/>
      </c>
      <c r="K266" s="54" t="str">
        <f t="shared" si="24"/>
        <v/>
      </c>
      <c r="R266" s="27">
        <f>IF(COUNTBLANK(T265)=1,(R265*'Config.'!$D$12)+R265,(T265*'Config.'!$D$12)+T265)</f>
        <v>547.74862516103826</v>
      </c>
      <c r="S266" s="28" t="str">
        <f>IF(COUNTBLANK(T266)=1,IF(R266&lt;='Config.'!$D$10,"meta","nops"),"")</f>
        <v>meta</v>
      </c>
      <c r="T266" s="32"/>
    </row>
    <row r="267" spans="1:20" ht="20.100000000000001" customHeight="1" x14ac:dyDescent="0.25">
      <c r="A267" s="22" t="s">
        <v>25</v>
      </c>
      <c r="B267" s="20">
        <v>264</v>
      </c>
      <c r="C267" s="60">
        <f>IF(COUNTBLANK(H266)=1,(C266*'Config.'!$D$12)+C266,(H266*'Config.'!$D$12)+H266)</f>
        <v>553.22611141264861</v>
      </c>
      <c r="D267" s="60">
        <f t="shared" si="22"/>
        <v>5.477486251610344</v>
      </c>
      <c r="E267" s="59">
        <v>0.8</v>
      </c>
      <c r="F267" s="61">
        <f t="shared" si="20"/>
        <v>1.369371562902586</v>
      </c>
      <c r="G267" s="12" t="str">
        <f>IF(COUNTBLANK(H267)=1,IF(C267&lt;='Config.'!$D$10,"meta","nops"),"")</f>
        <v>meta</v>
      </c>
      <c r="H267" s="62"/>
      <c r="I267" s="63" t="str">
        <f t="shared" si="23"/>
        <v/>
      </c>
      <c r="J267" s="63" t="str">
        <f t="shared" si="21"/>
        <v/>
      </c>
      <c r="K267" s="54" t="str">
        <f t="shared" si="24"/>
        <v/>
      </c>
      <c r="R267" s="27">
        <f>IF(COUNTBLANK(T266)=1,(R266*'Config.'!$D$12)+R266,(T266*'Config.'!$D$12)+T266)</f>
        <v>553.22611141264861</v>
      </c>
      <c r="S267" s="28" t="str">
        <f>IF(COUNTBLANK(T267)=1,IF(R267&lt;='Config.'!$D$10,"meta","nops"),"")</f>
        <v>meta</v>
      </c>
      <c r="T267" s="32"/>
    </row>
    <row r="268" spans="1:20" ht="20.100000000000001" customHeight="1" x14ac:dyDescent="0.25">
      <c r="A268" s="22" t="s">
        <v>25</v>
      </c>
      <c r="B268" s="20">
        <v>265</v>
      </c>
      <c r="C268" s="60">
        <f>IF(COUNTBLANK(H267)=1,(C267*'Config.'!$D$12)+C267,(H267*'Config.'!$D$12)+H267)</f>
        <v>558.75837252677513</v>
      </c>
      <c r="D268" s="60">
        <f t="shared" si="22"/>
        <v>5.532261114126527</v>
      </c>
      <c r="E268" s="59">
        <v>0.8</v>
      </c>
      <c r="F268" s="61">
        <f t="shared" si="20"/>
        <v>1.3830652785316317</v>
      </c>
      <c r="G268" s="12" t="str">
        <f>IF(COUNTBLANK(H268)=1,IF(C268&lt;='Config.'!$D$10,"meta","nops"),"")</f>
        <v>meta</v>
      </c>
      <c r="H268" s="62"/>
      <c r="I268" s="63" t="str">
        <f t="shared" si="23"/>
        <v/>
      </c>
      <c r="J268" s="63" t="str">
        <f t="shared" si="21"/>
        <v/>
      </c>
      <c r="K268" s="54" t="str">
        <f t="shared" si="24"/>
        <v/>
      </c>
      <c r="R268" s="27">
        <f>IF(COUNTBLANK(T267)=1,(R267*'Config.'!$D$12)+R267,(T267*'Config.'!$D$12)+T267)</f>
        <v>558.75837252677513</v>
      </c>
      <c r="S268" s="28" t="str">
        <f>IF(COUNTBLANK(T268)=1,IF(R268&lt;='Config.'!$D$10,"meta","nops"),"")</f>
        <v>meta</v>
      </c>
      <c r="T268" s="32"/>
    </row>
    <row r="269" spans="1:20" ht="20.100000000000001" customHeight="1" x14ac:dyDescent="0.25">
      <c r="A269" s="22" t="s">
        <v>25</v>
      </c>
      <c r="B269" s="20">
        <v>266</v>
      </c>
      <c r="C269" s="60">
        <f>IF(COUNTBLANK(H268)=1,(C268*'Config.'!$D$12)+C268,(H268*'Config.'!$D$12)+H268)</f>
        <v>564.34595625204292</v>
      </c>
      <c r="D269" s="60">
        <f t="shared" si="22"/>
        <v>5.5875837252677911</v>
      </c>
      <c r="E269" s="59">
        <v>0.8</v>
      </c>
      <c r="F269" s="61">
        <f t="shared" si="20"/>
        <v>1.3968959313169478</v>
      </c>
      <c r="G269" s="12" t="str">
        <f>IF(COUNTBLANK(H269)=1,IF(C269&lt;='Config.'!$D$10,"meta","nops"),"")</f>
        <v>meta</v>
      </c>
      <c r="H269" s="62"/>
      <c r="I269" s="63" t="str">
        <f t="shared" si="23"/>
        <v/>
      </c>
      <c r="J269" s="63" t="str">
        <f t="shared" si="21"/>
        <v/>
      </c>
      <c r="K269" s="54" t="str">
        <f t="shared" si="24"/>
        <v/>
      </c>
      <c r="R269" s="27">
        <f>IF(COUNTBLANK(T268)=1,(R268*'Config.'!$D$12)+R268,(T268*'Config.'!$D$12)+T268)</f>
        <v>564.34595625204292</v>
      </c>
      <c r="S269" s="28" t="str">
        <f>IF(COUNTBLANK(T269)=1,IF(R269&lt;='Config.'!$D$10,"meta","nops"),"")</f>
        <v>meta</v>
      </c>
      <c r="T269" s="32"/>
    </row>
    <row r="270" spans="1:20" ht="20.100000000000001" customHeight="1" x14ac:dyDescent="0.25">
      <c r="A270" s="22" t="s">
        <v>25</v>
      </c>
      <c r="B270" s="20">
        <v>267</v>
      </c>
      <c r="C270" s="60">
        <f>IF(COUNTBLANK(H269)=1,(C269*'Config.'!$D$12)+C269,(H269*'Config.'!$D$12)+H269)</f>
        <v>569.98941581456336</v>
      </c>
      <c r="D270" s="60">
        <f t="shared" si="22"/>
        <v>5.6434595625204338</v>
      </c>
      <c r="E270" s="59">
        <v>0.8</v>
      </c>
      <c r="F270" s="61">
        <f t="shared" si="20"/>
        <v>1.4108648906301084</v>
      </c>
      <c r="G270" s="12" t="str">
        <f>IF(COUNTBLANK(H270)=1,IF(C270&lt;='Config.'!$D$10,"meta","nops"),"")</f>
        <v>meta</v>
      </c>
      <c r="H270" s="62"/>
      <c r="I270" s="63" t="str">
        <f t="shared" si="23"/>
        <v/>
      </c>
      <c r="J270" s="63" t="str">
        <f t="shared" si="21"/>
        <v/>
      </c>
      <c r="K270" s="54" t="str">
        <f t="shared" si="24"/>
        <v/>
      </c>
      <c r="R270" s="27">
        <f>IF(COUNTBLANK(T269)=1,(R269*'Config.'!$D$12)+R269,(T269*'Config.'!$D$12)+T269)</f>
        <v>569.98941581456336</v>
      </c>
      <c r="S270" s="28" t="str">
        <f>IF(COUNTBLANK(T270)=1,IF(R270&lt;='Config.'!$D$10,"meta","nops"),"")</f>
        <v>meta</v>
      </c>
      <c r="T270" s="32"/>
    </row>
    <row r="271" spans="1:20" ht="20.100000000000001" customHeight="1" x14ac:dyDescent="0.25">
      <c r="A271" s="22" t="s">
        <v>25</v>
      </c>
      <c r="B271" s="20">
        <v>268</v>
      </c>
      <c r="C271" s="60">
        <f>IF(COUNTBLANK(H270)=1,(C270*'Config.'!$D$12)+C270,(H270*'Config.'!$D$12)+H270)</f>
        <v>575.689309972709</v>
      </c>
      <c r="D271" s="60">
        <f t="shared" si="22"/>
        <v>5.6998941581456393</v>
      </c>
      <c r="E271" s="59">
        <v>0.8</v>
      </c>
      <c r="F271" s="61">
        <f t="shared" si="20"/>
        <v>1.4249735395364098</v>
      </c>
      <c r="G271" s="12" t="str">
        <f>IF(COUNTBLANK(H271)=1,IF(C271&lt;='Config.'!$D$10,"meta","nops"),"")</f>
        <v>meta</v>
      </c>
      <c r="H271" s="62"/>
      <c r="I271" s="63" t="str">
        <f t="shared" si="23"/>
        <v/>
      </c>
      <c r="J271" s="63" t="str">
        <f t="shared" si="21"/>
        <v/>
      </c>
      <c r="K271" s="54" t="str">
        <f t="shared" si="24"/>
        <v/>
      </c>
      <c r="R271" s="27">
        <f>IF(COUNTBLANK(T270)=1,(R270*'Config.'!$D$12)+R270,(T270*'Config.'!$D$12)+T270)</f>
        <v>575.689309972709</v>
      </c>
      <c r="S271" s="28" t="str">
        <f>IF(COUNTBLANK(T271)=1,IF(R271&lt;='Config.'!$D$10,"meta","nops"),"")</f>
        <v>meta</v>
      </c>
      <c r="T271" s="32"/>
    </row>
    <row r="272" spans="1:20" ht="20.100000000000001" customHeight="1" x14ac:dyDescent="0.25">
      <c r="A272" s="22" t="s">
        <v>25</v>
      </c>
      <c r="B272" s="20">
        <v>269</v>
      </c>
      <c r="C272" s="60">
        <f>IF(COUNTBLANK(H271)=1,(C271*'Config.'!$D$12)+C271,(H271*'Config.'!$D$12)+H271)</f>
        <v>581.44620307243611</v>
      </c>
      <c r="D272" s="60">
        <f t="shared" si="22"/>
        <v>5.7568930997271082</v>
      </c>
      <c r="E272" s="59">
        <v>0.8</v>
      </c>
      <c r="F272" s="61">
        <f t="shared" si="20"/>
        <v>1.439223274931777</v>
      </c>
      <c r="G272" s="12" t="str">
        <f>IF(COUNTBLANK(H272)=1,IF(C272&lt;='Config.'!$D$10,"meta","nops"),"")</f>
        <v>meta</v>
      </c>
      <c r="H272" s="62"/>
      <c r="I272" s="63" t="str">
        <f t="shared" si="23"/>
        <v/>
      </c>
      <c r="J272" s="63" t="str">
        <f t="shared" si="21"/>
        <v/>
      </c>
      <c r="K272" s="54" t="str">
        <f t="shared" si="24"/>
        <v/>
      </c>
      <c r="R272" s="27">
        <f>IF(COUNTBLANK(T271)=1,(R271*'Config.'!$D$12)+R271,(T271*'Config.'!$D$12)+T271)</f>
        <v>581.44620307243611</v>
      </c>
      <c r="S272" s="28" t="str">
        <f>IF(COUNTBLANK(T272)=1,IF(R272&lt;='Config.'!$D$10,"meta","nops"),"")</f>
        <v>meta</v>
      </c>
      <c r="T272" s="32"/>
    </row>
    <row r="273" spans="1:20" ht="20.100000000000001" customHeight="1" x14ac:dyDescent="0.25">
      <c r="A273" s="22" t="s">
        <v>25</v>
      </c>
      <c r="B273" s="20">
        <v>270</v>
      </c>
      <c r="C273" s="60">
        <f>IF(COUNTBLANK(H272)=1,(C272*'Config.'!$D$12)+C272,(H272*'Config.'!$D$12)+H272)</f>
        <v>587.26066510316048</v>
      </c>
      <c r="D273" s="60">
        <f t="shared" si="22"/>
        <v>5.8144620307243713</v>
      </c>
      <c r="E273" s="59">
        <v>0.8</v>
      </c>
      <c r="F273" s="61">
        <f t="shared" si="20"/>
        <v>1.4536155076810928</v>
      </c>
      <c r="G273" s="12" t="str">
        <f>IF(COUNTBLANK(H273)=1,IF(C273&lt;='Config.'!$D$10,"meta","nops"),"")</f>
        <v>meta</v>
      </c>
      <c r="H273" s="62"/>
      <c r="I273" s="63" t="str">
        <f t="shared" si="23"/>
        <v/>
      </c>
      <c r="J273" s="63" t="str">
        <f t="shared" si="21"/>
        <v/>
      </c>
      <c r="K273" s="54" t="str">
        <f t="shared" si="24"/>
        <v/>
      </c>
      <c r="R273" s="27">
        <f>IF(COUNTBLANK(T272)=1,(R272*'Config.'!$D$12)+R272,(T272*'Config.'!$D$12)+T272)</f>
        <v>587.26066510316048</v>
      </c>
      <c r="S273" s="28" t="str">
        <f>IF(COUNTBLANK(T273)=1,IF(R273&lt;='Config.'!$D$10,"meta","nops"),"")</f>
        <v>meta</v>
      </c>
      <c r="T273" s="32"/>
    </row>
    <row r="274" spans="1:20" ht="20.100000000000001" customHeight="1" x14ac:dyDescent="0.25">
      <c r="A274" s="22" t="s">
        <v>25</v>
      </c>
      <c r="B274" s="20">
        <v>271</v>
      </c>
      <c r="C274" s="60">
        <f>IF(COUNTBLANK(H273)=1,(C273*'Config.'!$D$12)+C273,(H273*'Config.'!$D$12)+H273)</f>
        <v>593.13327175419204</v>
      </c>
      <c r="D274" s="60">
        <f t="shared" si="22"/>
        <v>5.8726066510315604</v>
      </c>
      <c r="E274" s="59">
        <v>0.8</v>
      </c>
      <c r="F274" s="61">
        <f t="shared" si="20"/>
        <v>1.4681516627578901</v>
      </c>
      <c r="G274" s="12" t="str">
        <f>IF(COUNTBLANK(H274)=1,IF(C274&lt;='Config.'!$D$10,"meta","nops"),"")</f>
        <v>meta</v>
      </c>
      <c r="H274" s="62"/>
      <c r="I274" s="63" t="str">
        <f t="shared" si="23"/>
        <v/>
      </c>
      <c r="J274" s="63" t="str">
        <f t="shared" si="21"/>
        <v/>
      </c>
      <c r="K274" s="54" t="str">
        <f t="shared" si="24"/>
        <v/>
      </c>
      <c r="R274" s="27">
        <f>IF(COUNTBLANK(T273)=1,(R273*'Config.'!$D$12)+R273,(T273*'Config.'!$D$12)+T273)</f>
        <v>593.13327175419204</v>
      </c>
      <c r="S274" s="28" t="str">
        <f>IF(COUNTBLANK(T274)=1,IF(R274&lt;='Config.'!$D$10,"meta","nops"),"")</f>
        <v>meta</v>
      </c>
      <c r="T274" s="32"/>
    </row>
    <row r="275" spans="1:20" ht="20.100000000000001" customHeight="1" x14ac:dyDescent="0.25">
      <c r="A275" s="22" t="s">
        <v>25</v>
      </c>
      <c r="B275" s="20">
        <v>272</v>
      </c>
      <c r="C275" s="60">
        <f>IF(COUNTBLANK(H274)=1,(C274*'Config.'!$D$12)+C274,(H274*'Config.'!$D$12)+H274)</f>
        <v>599.0646044717339</v>
      </c>
      <c r="D275" s="60">
        <f t="shared" si="22"/>
        <v>5.9313327175418635</v>
      </c>
      <c r="E275" s="59">
        <v>0.8</v>
      </c>
      <c r="F275" s="61">
        <f t="shared" si="20"/>
        <v>1.4828331793854659</v>
      </c>
      <c r="G275" s="12" t="str">
        <f>IF(COUNTBLANK(H275)=1,IF(C275&lt;='Config.'!$D$10,"meta","nops"),"")</f>
        <v>meta</v>
      </c>
      <c r="H275" s="62"/>
      <c r="I275" s="63" t="str">
        <f t="shared" si="23"/>
        <v/>
      </c>
      <c r="J275" s="63" t="str">
        <f t="shared" si="21"/>
        <v/>
      </c>
      <c r="K275" s="54" t="str">
        <f t="shared" si="24"/>
        <v/>
      </c>
      <c r="R275" s="27">
        <f>IF(COUNTBLANK(T274)=1,(R274*'Config.'!$D$12)+R274,(T274*'Config.'!$D$12)+T274)</f>
        <v>599.0646044717339</v>
      </c>
      <c r="S275" s="28" t="str">
        <f>IF(COUNTBLANK(T275)=1,IF(R275&lt;='Config.'!$D$10,"meta","nops"),"")</f>
        <v>meta</v>
      </c>
      <c r="T275" s="32"/>
    </row>
    <row r="276" spans="1:20" ht="20.100000000000001" customHeight="1" x14ac:dyDescent="0.25">
      <c r="A276" s="22" t="s">
        <v>25</v>
      </c>
      <c r="B276" s="20">
        <v>273</v>
      </c>
      <c r="C276" s="60">
        <f>IF(COUNTBLANK(H275)=1,(C275*'Config.'!$D$12)+C275,(H275*'Config.'!$D$12)+H275)</f>
        <v>605.05525051645122</v>
      </c>
      <c r="D276" s="60">
        <f t="shared" si="22"/>
        <v>5.9906460447173231</v>
      </c>
      <c r="E276" s="59">
        <v>0.8</v>
      </c>
      <c r="F276" s="61">
        <f t="shared" si="20"/>
        <v>1.4976615111793308</v>
      </c>
      <c r="G276" s="12" t="str">
        <f>IF(COUNTBLANK(H276)=1,IF(C276&lt;='Config.'!$D$10,"meta","nops"),"")</f>
        <v>meta</v>
      </c>
      <c r="H276" s="62"/>
      <c r="I276" s="63" t="str">
        <f t="shared" si="23"/>
        <v/>
      </c>
      <c r="J276" s="63" t="str">
        <f t="shared" si="21"/>
        <v/>
      </c>
      <c r="K276" s="54" t="str">
        <f t="shared" si="24"/>
        <v/>
      </c>
      <c r="R276" s="27">
        <f>IF(COUNTBLANK(T275)=1,(R275*'Config.'!$D$12)+R275,(T275*'Config.'!$D$12)+T275)</f>
        <v>605.05525051645122</v>
      </c>
      <c r="S276" s="28" t="str">
        <f>IF(COUNTBLANK(T276)=1,IF(R276&lt;='Config.'!$D$10,"meta","nops"),"")</f>
        <v>meta</v>
      </c>
      <c r="T276" s="32"/>
    </row>
    <row r="277" spans="1:20" ht="20.100000000000001" customHeight="1" x14ac:dyDescent="0.25">
      <c r="A277" s="22" t="s">
        <v>25</v>
      </c>
      <c r="B277" s="20">
        <v>274</v>
      </c>
      <c r="C277" s="60">
        <f>IF(COUNTBLANK(H276)=1,(C276*'Config.'!$D$12)+C276,(H276*'Config.'!$D$12)+H276)</f>
        <v>611.10580302161577</v>
      </c>
      <c r="D277" s="60">
        <f t="shared" si="22"/>
        <v>6.0505525051645463</v>
      </c>
      <c r="E277" s="59">
        <v>0.8</v>
      </c>
      <c r="F277" s="61">
        <f t="shared" si="20"/>
        <v>1.5126381262911366</v>
      </c>
      <c r="G277" s="12" t="str">
        <f>IF(COUNTBLANK(H277)=1,IF(C277&lt;='Config.'!$D$10,"meta","nops"),"")</f>
        <v>meta</v>
      </c>
      <c r="H277" s="62"/>
      <c r="I277" s="63" t="str">
        <f t="shared" si="23"/>
        <v/>
      </c>
      <c r="J277" s="63" t="str">
        <f t="shared" si="21"/>
        <v/>
      </c>
      <c r="K277" s="54" t="str">
        <f t="shared" si="24"/>
        <v/>
      </c>
      <c r="R277" s="27">
        <f>IF(COUNTBLANK(T276)=1,(R276*'Config.'!$D$12)+R276,(T276*'Config.'!$D$12)+T276)</f>
        <v>611.10580302161577</v>
      </c>
      <c r="S277" s="28" t="str">
        <f>IF(COUNTBLANK(T277)=1,IF(R277&lt;='Config.'!$D$10,"meta","nops"),"")</f>
        <v>meta</v>
      </c>
      <c r="T277" s="32"/>
    </row>
    <row r="278" spans="1:20" ht="20.100000000000001" customHeight="1" x14ac:dyDescent="0.25">
      <c r="A278" s="22" t="s">
        <v>25</v>
      </c>
      <c r="B278" s="20">
        <v>275</v>
      </c>
      <c r="C278" s="60">
        <f>IF(COUNTBLANK(H277)=1,(C277*'Config.'!$D$12)+C277,(H277*'Config.'!$D$12)+H277)</f>
        <v>617.21686105183198</v>
      </c>
      <c r="D278" s="60">
        <f t="shared" si="22"/>
        <v>6.1110580302162134</v>
      </c>
      <c r="E278" s="59">
        <v>0.8</v>
      </c>
      <c r="F278" s="61">
        <f t="shared" si="20"/>
        <v>1.5277645075540534</v>
      </c>
      <c r="G278" s="12" t="str">
        <f>IF(COUNTBLANK(H278)=1,IF(C278&lt;='Config.'!$D$10,"meta","nops"),"")</f>
        <v>meta</v>
      </c>
      <c r="H278" s="62"/>
      <c r="I278" s="63" t="str">
        <f t="shared" si="23"/>
        <v/>
      </c>
      <c r="J278" s="63" t="str">
        <f t="shared" si="21"/>
        <v/>
      </c>
      <c r="K278" s="54" t="str">
        <f t="shared" si="24"/>
        <v/>
      </c>
      <c r="R278" s="27">
        <f>IF(COUNTBLANK(T277)=1,(R277*'Config.'!$D$12)+R277,(T277*'Config.'!$D$12)+T277)</f>
        <v>617.21686105183198</v>
      </c>
      <c r="S278" s="28" t="str">
        <f>IF(COUNTBLANK(T278)=1,IF(R278&lt;='Config.'!$D$10,"meta","nops"),"")</f>
        <v>meta</v>
      </c>
      <c r="T278" s="32"/>
    </row>
    <row r="279" spans="1:20" ht="20.100000000000001" customHeight="1" x14ac:dyDescent="0.25">
      <c r="A279" s="22" t="s">
        <v>25</v>
      </c>
      <c r="B279" s="20">
        <v>276</v>
      </c>
      <c r="C279" s="60">
        <f>IF(COUNTBLANK(H278)=1,(C278*'Config.'!$D$12)+C278,(H278*'Config.'!$D$12)+H278)</f>
        <v>623.38902966235025</v>
      </c>
      <c r="D279" s="60">
        <f t="shared" si="22"/>
        <v>6.1721686105182698</v>
      </c>
      <c r="E279" s="59">
        <v>0.8</v>
      </c>
      <c r="F279" s="61">
        <f t="shared" si="20"/>
        <v>1.5430421526295675</v>
      </c>
      <c r="G279" s="12" t="str">
        <f>IF(COUNTBLANK(H279)=1,IF(C279&lt;='Config.'!$D$10,"meta","nops"),"")</f>
        <v>meta</v>
      </c>
      <c r="H279" s="62"/>
      <c r="I279" s="63" t="str">
        <f t="shared" si="23"/>
        <v/>
      </c>
      <c r="J279" s="63" t="str">
        <f t="shared" si="21"/>
        <v/>
      </c>
      <c r="K279" s="54" t="str">
        <f t="shared" si="24"/>
        <v/>
      </c>
      <c r="R279" s="27">
        <f>IF(COUNTBLANK(T278)=1,(R278*'Config.'!$D$12)+R278,(T278*'Config.'!$D$12)+T278)</f>
        <v>623.38902966235025</v>
      </c>
      <c r="S279" s="28" t="str">
        <f>IF(COUNTBLANK(T279)=1,IF(R279&lt;='Config.'!$D$10,"meta","nops"),"")</f>
        <v>meta</v>
      </c>
      <c r="T279" s="32"/>
    </row>
    <row r="280" spans="1:20" ht="20.100000000000001" customHeight="1" x14ac:dyDescent="0.25">
      <c r="A280" s="22" t="s">
        <v>25</v>
      </c>
      <c r="B280" s="20">
        <v>277</v>
      </c>
      <c r="C280" s="60">
        <f>IF(COUNTBLANK(H279)=1,(C279*'Config.'!$D$12)+C279,(H279*'Config.'!$D$12)+H279)</f>
        <v>629.62291995897374</v>
      </c>
      <c r="D280" s="60">
        <f t="shared" si="22"/>
        <v>6.2338902966234855</v>
      </c>
      <c r="E280" s="59">
        <v>0.8</v>
      </c>
      <c r="F280" s="61">
        <f t="shared" si="20"/>
        <v>1.5584725741558714</v>
      </c>
      <c r="G280" s="12" t="str">
        <f>IF(COUNTBLANK(H280)=1,IF(C280&lt;='Config.'!$D$10,"meta","nops"),"")</f>
        <v>meta</v>
      </c>
      <c r="H280" s="62"/>
      <c r="I280" s="63" t="str">
        <f t="shared" si="23"/>
        <v/>
      </c>
      <c r="J280" s="63" t="str">
        <f t="shared" si="21"/>
        <v/>
      </c>
      <c r="K280" s="54" t="str">
        <f t="shared" si="24"/>
        <v/>
      </c>
      <c r="R280" s="27">
        <f>IF(COUNTBLANK(T279)=1,(R279*'Config.'!$D$12)+R279,(T279*'Config.'!$D$12)+T279)</f>
        <v>629.62291995897374</v>
      </c>
      <c r="S280" s="28" t="str">
        <f>IF(COUNTBLANK(T280)=1,IF(R280&lt;='Config.'!$D$10,"meta","nops"),"")</f>
        <v>meta</v>
      </c>
      <c r="T280" s="32"/>
    </row>
    <row r="281" spans="1:20" ht="20.100000000000001" customHeight="1" x14ac:dyDescent="0.25">
      <c r="A281" s="22" t="s">
        <v>25</v>
      </c>
      <c r="B281" s="20">
        <v>278</v>
      </c>
      <c r="C281" s="60">
        <f>IF(COUNTBLANK(H280)=1,(C280*'Config.'!$D$12)+C280,(H280*'Config.'!$D$12)+H280)</f>
        <v>635.91914915856353</v>
      </c>
      <c r="D281" s="60">
        <f t="shared" si="22"/>
        <v>6.2962291995897885</v>
      </c>
      <c r="E281" s="59">
        <v>0.8</v>
      </c>
      <c r="F281" s="61">
        <f t="shared" si="20"/>
        <v>1.5740572998974471</v>
      </c>
      <c r="G281" s="12" t="str">
        <f>IF(COUNTBLANK(H281)=1,IF(C281&lt;='Config.'!$D$10,"meta","nops"),"")</f>
        <v>meta</v>
      </c>
      <c r="H281" s="62"/>
      <c r="I281" s="63" t="str">
        <f t="shared" si="23"/>
        <v/>
      </c>
      <c r="J281" s="63" t="str">
        <f t="shared" si="21"/>
        <v/>
      </c>
      <c r="K281" s="54" t="str">
        <f t="shared" si="24"/>
        <v/>
      </c>
      <c r="R281" s="27">
        <f>IF(COUNTBLANK(T280)=1,(R280*'Config.'!$D$12)+R280,(T280*'Config.'!$D$12)+T280)</f>
        <v>635.91914915856353</v>
      </c>
      <c r="S281" s="28" t="str">
        <f>IF(COUNTBLANK(T281)=1,IF(R281&lt;='Config.'!$D$10,"meta","nops"),"")</f>
        <v>meta</v>
      </c>
      <c r="T281" s="32"/>
    </row>
    <row r="282" spans="1:20" ht="20.100000000000001" customHeight="1" x14ac:dyDescent="0.25">
      <c r="A282" s="22" t="s">
        <v>25</v>
      </c>
      <c r="B282" s="20">
        <v>279</v>
      </c>
      <c r="C282" s="60">
        <f>IF(COUNTBLANK(H281)=1,(C281*'Config.'!$D$12)+C281,(H281*'Config.'!$D$12)+H281)</f>
        <v>642.27834065014918</v>
      </c>
      <c r="D282" s="60">
        <f t="shared" si="22"/>
        <v>6.3591914915856478</v>
      </c>
      <c r="E282" s="59">
        <v>0.8</v>
      </c>
      <c r="F282" s="61">
        <f t="shared" si="20"/>
        <v>1.5897978728964119</v>
      </c>
      <c r="G282" s="12" t="str">
        <f>IF(COUNTBLANK(H282)=1,IF(C282&lt;='Config.'!$D$10,"meta","nops"),"")</f>
        <v>meta</v>
      </c>
      <c r="H282" s="62"/>
      <c r="I282" s="63" t="str">
        <f t="shared" si="23"/>
        <v/>
      </c>
      <c r="J282" s="63" t="str">
        <f t="shared" si="21"/>
        <v/>
      </c>
      <c r="K282" s="54" t="str">
        <f t="shared" si="24"/>
        <v/>
      </c>
      <c r="R282" s="27">
        <f>IF(COUNTBLANK(T281)=1,(R281*'Config.'!$D$12)+R281,(T281*'Config.'!$D$12)+T281)</f>
        <v>642.27834065014918</v>
      </c>
      <c r="S282" s="28" t="str">
        <f>IF(COUNTBLANK(T282)=1,IF(R282&lt;='Config.'!$D$10,"meta","nops"),"")</f>
        <v>meta</v>
      </c>
      <c r="T282" s="32"/>
    </row>
    <row r="283" spans="1:20" ht="20.100000000000001" customHeight="1" x14ac:dyDescent="0.25">
      <c r="A283" s="22" t="s">
        <v>25</v>
      </c>
      <c r="B283" s="20">
        <v>280</v>
      </c>
      <c r="C283" s="60">
        <f>IF(COUNTBLANK(H282)=1,(C282*'Config.'!$D$12)+C282,(H282*'Config.'!$D$12)+H282)</f>
        <v>648.70112405665066</v>
      </c>
      <c r="D283" s="60">
        <f t="shared" si="22"/>
        <v>6.4227834065014804</v>
      </c>
      <c r="E283" s="59">
        <v>0.8</v>
      </c>
      <c r="F283" s="61">
        <f t="shared" si="20"/>
        <v>1.6056958516253701</v>
      </c>
      <c r="G283" s="12" t="str">
        <f>IF(COUNTBLANK(H283)=1,IF(C283&lt;='Config.'!$D$10,"meta","nops"),"")</f>
        <v>meta</v>
      </c>
      <c r="H283" s="62"/>
      <c r="I283" s="63" t="str">
        <f t="shared" si="23"/>
        <v/>
      </c>
      <c r="J283" s="63" t="str">
        <f t="shared" si="21"/>
        <v/>
      </c>
      <c r="K283" s="54" t="str">
        <f t="shared" si="24"/>
        <v/>
      </c>
      <c r="R283" s="27">
        <f>IF(COUNTBLANK(T282)=1,(R282*'Config.'!$D$12)+R282,(T282*'Config.'!$D$12)+T282)</f>
        <v>648.70112405665066</v>
      </c>
      <c r="S283" s="28" t="str">
        <f>IF(COUNTBLANK(T283)=1,IF(R283&lt;='Config.'!$D$10,"meta","nops"),"")</f>
        <v>meta</v>
      </c>
      <c r="T283" s="32"/>
    </row>
    <row r="284" spans="1:20" ht="20.100000000000001" customHeight="1" x14ac:dyDescent="0.25">
      <c r="A284" s="22" t="s">
        <v>25</v>
      </c>
      <c r="B284" s="20">
        <v>281</v>
      </c>
      <c r="C284" s="60">
        <f>IF(COUNTBLANK(H283)=1,(C283*'Config.'!$D$12)+C283,(H283*'Config.'!$D$12)+H283)</f>
        <v>655.18813529721717</v>
      </c>
      <c r="D284" s="60">
        <f t="shared" si="22"/>
        <v>6.4870112405665168</v>
      </c>
      <c r="E284" s="59">
        <v>0.8</v>
      </c>
      <c r="F284" s="61">
        <f t="shared" si="20"/>
        <v>1.6217528101416292</v>
      </c>
      <c r="G284" s="12" t="str">
        <f>IF(COUNTBLANK(H284)=1,IF(C284&lt;='Config.'!$D$10,"meta","nops"),"")</f>
        <v>meta</v>
      </c>
      <c r="H284" s="62"/>
      <c r="I284" s="63" t="str">
        <f t="shared" si="23"/>
        <v/>
      </c>
      <c r="J284" s="63" t="str">
        <f t="shared" si="21"/>
        <v/>
      </c>
      <c r="K284" s="54" t="str">
        <f t="shared" si="24"/>
        <v/>
      </c>
      <c r="R284" s="27">
        <f>IF(COUNTBLANK(T283)=1,(R283*'Config.'!$D$12)+R283,(T283*'Config.'!$D$12)+T283)</f>
        <v>655.18813529721717</v>
      </c>
      <c r="S284" s="28" t="str">
        <f>IF(COUNTBLANK(T284)=1,IF(R284&lt;='Config.'!$D$10,"meta","nops"),"")</f>
        <v>meta</v>
      </c>
      <c r="T284" s="32"/>
    </row>
    <row r="285" spans="1:20" ht="20.100000000000001" customHeight="1" x14ac:dyDescent="0.25">
      <c r="A285" s="22" t="s">
        <v>25</v>
      </c>
      <c r="B285" s="20">
        <v>282</v>
      </c>
      <c r="C285" s="60">
        <f>IF(COUNTBLANK(H284)=1,(C284*'Config.'!$D$12)+C284,(H284*'Config.'!$D$12)+H284)</f>
        <v>661.74001665018932</v>
      </c>
      <c r="D285" s="60">
        <f t="shared" si="22"/>
        <v>6.5518813529721456</v>
      </c>
      <c r="E285" s="59">
        <v>0.8</v>
      </c>
      <c r="F285" s="61">
        <f t="shared" si="20"/>
        <v>1.6379703382430364</v>
      </c>
      <c r="G285" s="12" t="str">
        <f>IF(COUNTBLANK(H285)=1,IF(C285&lt;='Config.'!$D$10,"meta","nops"),"")</f>
        <v>meta</v>
      </c>
      <c r="H285" s="62"/>
      <c r="I285" s="63" t="str">
        <f t="shared" si="23"/>
        <v/>
      </c>
      <c r="J285" s="63" t="str">
        <f t="shared" si="21"/>
        <v/>
      </c>
      <c r="K285" s="54" t="str">
        <f t="shared" si="24"/>
        <v/>
      </c>
      <c r="R285" s="27">
        <f>IF(COUNTBLANK(T284)=1,(R284*'Config.'!$D$12)+R284,(T284*'Config.'!$D$12)+T284)</f>
        <v>661.74001665018932</v>
      </c>
      <c r="S285" s="28" t="str">
        <f>IF(COUNTBLANK(T285)=1,IF(R285&lt;='Config.'!$D$10,"meta","nops"),"")</f>
        <v>meta</v>
      </c>
      <c r="T285" s="32"/>
    </row>
    <row r="286" spans="1:20" ht="20.100000000000001" customHeight="1" x14ac:dyDescent="0.25">
      <c r="A286" s="22" t="s">
        <v>25</v>
      </c>
      <c r="B286" s="20">
        <v>283</v>
      </c>
      <c r="C286" s="60">
        <f>IF(COUNTBLANK(H285)=1,(C285*'Config.'!$D$12)+C285,(H285*'Config.'!$D$12)+H285)</f>
        <v>668.35741681669117</v>
      </c>
      <c r="D286" s="60">
        <f t="shared" si="22"/>
        <v>6.6174001665018523</v>
      </c>
      <c r="E286" s="59">
        <v>0.8</v>
      </c>
      <c r="F286" s="61">
        <f t="shared" si="20"/>
        <v>1.6543500416254631</v>
      </c>
      <c r="G286" s="12" t="str">
        <f>IF(COUNTBLANK(H286)=1,IF(C286&lt;='Config.'!$D$10,"meta","nops"),"")</f>
        <v>meta</v>
      </c>
      <c r="H286" s="62"/>
      <c r="I286" s="63" t="str">
        <f t="shared" si="23"/>
        <v/>
      </c>
      <c r="J286" s="63" t="str">
        <f t="shared" si="21"/>
        <v/>
      </c>
      <c r="K286" s="54" t="str">
        <f t="shared" si="24"/>
        <v/>
      </c>
      <c r="R286" s="27">
        <f>IF(COUNTBLANK(T285)=1,(R285*'Config.'!$D$12)+R285,(T285*'Config.'!$D$12)+T285)</f>
        <v>668.35741681669117</v>
      </c>
      <c r="S286" s="28" t="str">
        <f>IF(COUNTBLANK(T286)=1,IF(R286&lt;='Config.'!$D$10,"meta","nops"),"")</f>
        <v>meta</v>
      </c>
      <c r="T286" s="32"/>
    </row>
    <row r="287" spans="1:20" ht="20.100000000000001" customHeight="1" x14ac:dyDescent="0.25">
      <c r="A287" s="22" t="s">
        <v>25</v>
      </c>
      <c r="B287" s="20">
        <v>284</v>
      </c>
      <c r="C287" s="60">
        <f>IF(COUNTBLANK(H286)=1,(C286*'Config.'!$D$12)+C286,(H286*'Config.'!$D$12)+H286)</f>
        <v>675.04099098485813</v>
      </c>
      <c r="D287" s="60">
        <f t="shared" si="22"/>
        <v>6.683574168166956</v>
      </c>
      <c r="E287" s="59">
        <v>0.8</v>
      </c>
      <c r="F287" s="61">
        <f t="shared" si="20"/>
        <v>1.670893542041739</v>
      </c>
      <c r="G287" s="12" t="str">
        <f>IF(COUNTBLANK(H287)=1,IF(C287&lt;='Config.'!$D$10,"meta","nops"),"")</f>
        <v>meta</v>
      </c>
      <c r="H287" s="62"/>
      <c r="I287" s="63" t="str">
        <f t="shared" si="23"/>
        <v/>
      </c>
      <c r="J287" s="63" t="str">
        <f t="shared" si="21"/>
        <v/>
      </c>
      <c r="K287" s="54" t="str">
        <f t="shared" si="24"/>
        <v/>
      </c>
      <c r="R287" s="27">
        <f>IF(COUNTBLANK(T286)=1,(R286*'Config.'!$D$12)+R286,(T286*'Config.'!$D$12)+T286)</f>
        <v>675.04099098485813</v>
      </c>
      <c r="S287" s="28" t="str">
        <f>IF(COUNTBLANK(T287)=1,IF(R287&lt;='Config.'!$D$10,"meta","nops"),"")</f>
        <v>meta</v>
      </c>
      <c r="T287" s="32"/>
    </row>
    <row r="288" spans="1:20" ht="20.100000000000001" customHeight="1" x14ac:dyDescent="0.25">
      <c r="A288" s="22" t="s">
        <v>25</v>
      </c>
      <c r="B288" s="20">
        <v>285</v>
      </c>
      <c r="C288" s="60">
        <f>IF(COUNTBLANK(H287)=1,(C287*'Config.'!$D$12)+C287,(H287*'Config.'!$D$12)+H287)</f>
        <v>681.79140089470673</v>
      </c>
      <c r="D288" s="60">
        <f t="shared" si="22"/>
        <v>6.7504099098485995</v>
      </c>
      <c r="E288" s="59">
        <v>0.8</v>
      </c>
      <c r="F288" s="61">
        <f t="shared" si="20"/>
        <v>1.6876024774621499</v>
      </c>
      <c r="G288" s="12" t="str">
        <f>IF(COUNTBLANK(H288)=1,IF(C288&lt;='Config.'!$D$10,"meta","nops"),"")</f>
        <v>meta</v>
      </c>
      <c r="H288" s="62"/>
      <c r="I288" s="63" t="str">
        <f t="shared" si="23"/>
        <v/>
      </c>
      <c r="J288" s="63" t="str">
        <f t="shared" si="21"/>
        <v/>
      </c>
      <c r="K288" s="54" t="str">
        <f t="shared" si="24"/>
        <v/>
      </c>
      <c r="R288" s="27">
        <f>IF(COUNTBLANK(T287)=1,(R287*'Config.'!$D$12)+R287,(T287*'Config.'!$D$12)+T287)</f>
        <v>681.79140089470673</v>
      </c>
      <c r="S288" s="28" t="str">
        <f>IF(COUNTBLANK(T288)=1,IF(R288&lt;='Config.'!$D$10,"meta","nops"),"")</f>
        <v>meta</v>
      </c>
      <c r="T288" s="32"/>
    </row>
    <row r="289" spans="1:20" ht="20.100000000000001" customHeight="1" x14ac:dyDescent="0.25">
      <c r="A289" s="22" t="s">
        <v>25</v>
      </c>
      <c r="B289" s="20">
        <v>286</v>
      </c>
      <c r="C289" s="60">
        <f>IF(COUNTBLANK(H288)=1,(C288*'Config.'!$D$12)+C288,(H288*'Config.'!$D$12)+H288)</f>
        <v>688.60931490365374</v>
      </c>
      <c r="D289" s="60">
        <f t="shared" si="22"/>
        <v>6.8179140089470138</v>
      </c>
      <c r="E289" s="59">
        <v>0.8</v>
      </c>
      <c r="F289" s="61">
        <f t="shared" si="20"/>
        <v>1.7044785022367535</v>
      </c>
      <c r="G289" s="12" t="str">
        <f>IF(COUNTBLANK(H289)=1,IF(C289&lt;='Config.'!$D$10,"meta","nops"),"")</f>
        <v>meta</v>
      </c>
      <c r="H289" s="62"/>
      <c r="I289" s="63" t="str">
        <f t="shared" si="23"/>
        <v/>
      </c>
      <c r="J289" s="63" t="str">
        <f t="shared" si="21"/>
        <v/>
      </c>
      <c r="K289" s="54" t="str">
        <f t="shared" si="24"/>
        <v/>
      </c>
      <c r="R289" s="27">
        <f>IF(COUNTBLANK(T288)=1,(R288*'Config.'!$D$12)+R288,(T288*'Config.'!$D$12)+T288)</f>
        <v>688.60931490365374</v>
      </c>
      <c r="S289" s="28" t="str">
        <f>IF(COUNTBLANK(T289)=1,IF(R289&lt;='Config.'!$D$10,"meta","nops"),"")</f>
        <v>meta</v>
      </c>
      <c r="T289" s="32"/>
    </row>
    <row r="290" spans="1:20" ht="20.100000000000001" customHeight="1" x14ac:dyDescent="0.25">
      <c r="A290" s="22" t="s">
        <v>25</v>
      </c>
      <c r="B290" s="20">
        <v>287</v>
      </c>
      <c r="C290" s="60">
        <f>IF(COUNTBLANK(H289)=1,(C289*'Config.'!$D$12)+C289,(H289*'Config.'!$D$12)+H289)</f>
        <v>695.49540805269032</v>
      </c>
      <c r="D290" s="60">
        <f t="shared" si="22"/>
        <v>6.8860931490365829</v>
      </c>
      <c r="E290" s="59">
        <v>0.8</v>
      </c>
      <c r="F290" s="61">
        <f t="shared" si="20"/>
        <v>1.7215232872591457</v>
      </c>
      <c r="G290" s="12" t="str">
        <f>IF(COUNTBLANK(H290)=1,IF(C290&lt;='Config.'!$D$10,"meta","nops"),"")</f>
        <v>meta</v>
      </c>
      <c r="H290" s="62"/>
      <c r="I290" s="63" t="str">
        <f t="shared" si="23"/>
        <v/>
      </c>
      <c r="J290" s="63" t="str">
        <f t="shared" si="21"/>
        <v/>
      </c>
      <c r="K290" s="54" t="str">
        <f t="shared" si="24"/>
        <v/>
      </c>
      <c r="R290" s="27">
        <f>IF(COUNTBLANK(T289)=1,(R289*'Config.'!$D$12)+R289,(T289*'Config.'!$D$12)+T289)</f>
        <v>695.49540805269032</v>
      </c>
      <c r="S290" s="28" t="str">
        <f>IF(COUNTBLANK(T290)=1,IF(R290&lt;='Config.'!$D$10,"meta","nops"),"")</f>
        <v>meta</v>
      </c>
      <c r="T290" s="32"/>
    </row>
    <row r="291" spans="1:20" ht="20.100000000000001" customHeight="1" x14ac:dyDescent="0.25">
      <c r="A291" s="22" t="s">
        <v>25</v>
      </c>
      <c r="B291" s="20">
        <v>288</v>
      </c>
      <c r="C291" s="60">
        <f>IF(COUNTBLANK(H290)=1,(C290*'Config.'!$D$12)+C290,(H290*'Config.'!$D$12)+H290)</f>
        <v>702.45036213321725</v>
      </c>
      <c r="D291" s="60">
        <f t="shared" si="22"/>
        <v>6.9549540805269316</v>
      </c>
      <c r="E291" s="59">
        <v>0.8</v>
      </c>
      <c r="F291" s="61">
        <f t="shared" si="20"/>
        <v>1.7387385201317329</v>
      </c>
      <c r="G291" s="12" t="str">
        <f>IF(COUNTBLANK(H291)=1,IF(C291&lt;='Config.'!$D$10,"meta","nops"),"")</f>
        <v>meta</v>
      </c>
      <c r="H291" s="62"/>
      <c r="I291" s="63" t="str">
        <f t="shared" si="23"/>
        <v/>
      </c>
      <c r="J291" s="63" t="str">
        <f t="shared" si="21"/>
        <v/>
      </c>
      <c r="K291" s="54" t="str">
        <f t="shared" si="24"/>
        <v/>
      </c>
      <c r="R291" s="27">
        <f>IF(COUNTBLANK(T290)=1,(R290*'Config.'!$D$12)+R290,(T290*'Config.'!$D$12)+T290)</f>
        <v>702.45036213321725</v>
      </c>
      <c r="S291" s="28" t="str">
        <f>IF(COUNTBLANK(T291)=1,IF(R291&lt;='Config.'!$D$10,"meta","nops"),"")</f>
        <v>meta</v>
      </c>
      <c r="T291" s="32"/>
    </row>
    <row r="292" spans="1:20" ht="20.100000000000001" customHeight="1" x14ac:dyDescent="0.25">
      <c r="A292" s="22" t="s">
        <v>25</v>
      </c>
      <c r="B292" s="20">
        <v>289</v>
      </c>
      <c r="C292" s="60">
        <f>IF(COUNTBLANK(H291)=1,(C291*'Config.'!$D$12)+C291,(H291*'Config.'!$D$12)+H291)</f>
        <v>709.47486575454946</v>
      </c>
      <c r="D292" s="60">
        <f t="shared" si="22"/>
        <v>7.024503621332201</v>
      </c>
      <c r="E292" s="59">
        <v>0.8</v>
      </c>
      <c r="F292" s="61">
        <f t="shared" si="20"/>
        <v>1.7561259053330502</v>
      </c>
      <c r="G292" s="12" t="str">
        <f>IF(COUNTBLANK(H292)=1,IF(C292&lt;='Config.'!$D$10,"meta","nops"),"")</f>
        <v>meta</v>
      </c>
      <c r="H292" s="62"/>
      <c r="I292" s="63" t="str">
        <f t="shared" si="23"/>
        <v/>
      </c>
      <c r="J292" s="63" t="str">
        <f t="shared" si="21"/>
        <v/>
      </c>
      <c r="K292" s="54" t="str">
        <f t="shared" si="24"/>
        <v/>
      </c>
      <c r="R292" s="27">
        <f>IF(COUNTBLANK(T291)=1,(R291*'Config.'!$D$12)+R291,(T291*'Config.'!$D$12)+T291)</f>
        <v>709.47486575454946</v>
      </c>
      <c r="S292" s="28" t="str">
        <f>IF(COUNTBLANK(T292)=1,IF(R292&lt;='Config.'!$D$10,"meta","nops"),"")</f>
        <v>meta</v>
      </c>
      <c r="T292" s="32"/>
    </row>
    <row r="293" spans="1:20" ht="20.100000000000001" customHeight="1" x14ac:dyDescent="0.25">
      <c r="A293" s="22" t="s">
        <v>25</v>
      </c>
      <c r="B293" s="20">
        <v>290</v>
      </c>
      <c r="C293" s="60">
        <f>IF(COUNTBLANK(H292)=1,(C292*'Config.'!$D$12)+C292,(H292*'Config.'!$D$12)+H292)</f>
        <v>716.56961441209501</v>
      </c>
      <c r="D293" s="60">
        <f t="shared" si="22"/>
        <v>7.0947486575455514</v>
      </c>
      <c r="E293" s="59">
        <v>0.8</v>
      </c>
      <c r="F293" s="61">
        <f t="shared" si="20"/>
        <v>1.7736871643863878</v>
      </c>
      <c r="G293" s="12" t="str">
        <f>IF(COUNTBLANK(H293)=1,IF(C293&lt;='Config.'!$D$10,"meta","nops"),"")</f>
        <v>meta</v>
      </c>
      <c r="H293" s="62"/>
      <c r="I293" s="63" t="str">
        <f t="shared" si="23"/>
        <v/>
      </c>
      <c r="J293" s="63" t="str">
        <f t="shared" si="21"/>
        <v/>
      </c>
      <c r="K293" s="54" t="str">
        <f t="shared" si="24"/>
        <v/>
      </c>
      <c r="R293" s="27">
        <f>IF(COUNTBLANK(T292)=1,(R292*'Config.'!$D$12)+R292,(T292*'Config.'!$D$12)+T292)</f>
        <v>716.56961441209501</v>
      </c>
      <c r="S293" s="28" t="str">
        <f>IF(COUNTBLANK(T293)=1,IF(R293&lt;='Config.'!$D$10,"meta","nops"),"")</f>
        <v>meta</v>
      </c>
      <c r="T293" s="32"/>
    </row>
    <row r="294" spans="1:20" ht="20.100000000000001" customHeight="1" x14ac:dyDescent="0.25">
      <c r="A294" s="22" t="s">
        <v>25</v>
      </c>
      <c r="B294" s="20">
        <v>291</v>
      </c>
      <c r="C294" s="60">
        <f>IF(COUNTBLANK(H293)=1,(C293*'Config.'!$D$12)+C293,(H293*'Config.'!$D$12)+H293)</f>
        <v>723.73531055621595</v>
      </c>
      <c r="D294" s="60">
        <f t="shared" si="22"/>
        <v>7.1656961441209432</v>
      </c>
      <c r="E294" s="59">
        <v>0.8</v>
      </c>
      <c r="F294" s="61">
        <f t="shared" si="20"/>
        <v>1.7914240360302358</v>
      </c>
      <c r="G294" s="12" t="str">
        <f>IF(COUNTBLANK(H294)=1,IF(C294&lt;='Config.'!$D$10,"meta","nops"),"")</f>
        <v>meta</v>
      </c>
      <c r="H294" s="62"/>
      <c r="I294" s="63" t="str">
        <f t="shared" si="23"/>
        <v/>
      </c>
      <c r="J294" s="63" t="str">
        <f t="shared" si="21"/>
        <v/>
      </c>
      <c r="K294" s="54" t="str">
        <f t="shared" si="24"/>
        <v/>
      </c>
      <c r="R294" s="27">
        <f>IF(COUNTBLANK(T293)=1,(R293*'Config.'!$D$12)+R293,(T293*'Config.'!$D$12)+T293)</f>
        <v>723.73531055621595</v>
      </c>
      <c r="S294" s="28" t="str">
        <f>IF(COUNTBLANK(T294)=1,IF(R294&lt;='Config.'!$D$10,"meta","nops"),"")</f>
        <v>meta</v>
      </c>
      <c r="T294" s="32"/>
    </row>
    <row r="295" spans="1:20" ht="20.100000000000001" customHeight="1" x14ac:dyDescent="0.25">
      <c r="A295" s="22" t="s">
        <v>25</v>
      </c>
      <c r="B295" s="20">
        <v>292</v>
      </c>
      <c r="C295" s="60">
        <f>IF(COUNTBLANK(H294)=1,(C294*'Config.'!$D$12)+C294,(H294*'Config.'!$D$12)+H294)</f>
        <v>730.97266366177814</v>
      </c>
      <c r="D295" s="60">
        <f t="shared" si="22"/>
        <v>7.2373531055621925</v>
      </c>
      <c r="E295" s="59">
        <v>0.8</v>
      </c>
      <c r="F295" s="61">
        <f t="shared" si="20"/>
        <v>1.8093382763905481</v>
      </c>
      <c r="G295" s="12" t="str">
        <f>IF(COUNTBLANK(H295)=1,IF(C295&lt;='Config.'!$D$10,"meta","nops"),"")</f>
        <v>meta</v>
      </c>
      <c r="H295" s="62"/>
      <c r="I295" s="63" t="str">
        <f t="shared" si="23"/>
        <v/>
      </c>
      <c r="J295" s="63" t="str">
        <f t="shared" si="21"/>
        <v/>
      </c>
      <c r="K295" s="54" t="str">
        <f t="shared" si="24"/>
        <v/>
      </c>
      <c r="R295" s="27">
        <f>IF(COUNTBLANK(T294)=1,(R294*'Config.'!$D$12)+R294,(T294*'Config.'!$D$12)+T294)</f>
        <v>730.97266366177814</v>
      </c>
      <c r="S295" s="28" t="str">
        <f>IF(COUNTBLANK(T295)=1,IF(R295&lt;='Config.'!$D$10,"meta","nops"),"")</f>
        <v>meta</v>
      </c>
      <c r="T295" s="32"/>
    </row>
    <row r="296" spans="1:20" ht="20.100000000000001" customHeight="1" x14ac:dyDescent="0.25">
      <c r="A296" s="22" t="s">
        <v>25</v>
      </c>
      <c r="B296" s="20">
        <v>293</v>
      </c>
      <c r="C296" s="60">
        <f>IF(COUNTBLANK(H295)=1,(C295*'Config.'!$D$12)+C295,(H295*'Config.'!$D$12)+H295)</f>
        <v>738.28239029839597</v>
      </c>
      <c r="D296" s="60">
        <f t="shared" si="22"/>
        <v>7.3097266366178246</v>
      </c>
      <c r="E296" s="59">
        <v>0.8</v>
      </c>
      <c r="F296" s="61">
        <f t="shared" si="20"/>
        <v>1.8274316591544562</v>
      </c>
      <c r="G296" s="12" t="str">
        <f>IF(COUNTBLANK(H296)=1,IF(C296&lt;='Config.'!$D$10,"meta","nops"),"")</f>
        <v>meta</v>
      </c>
      <c r="H296" s="62"/>
      <c r="I296" s="63" t="str">
        <f t="shared" si="23"/>
        <v/>
      </c>
      <c r="J296" s="63" t="str">
        <f t="shared" si="21"/>
        <v/>
      </c>
      <c r="K296" s="54" t="str">
        <f t="shared" si="24"/>
        <v/>
      </c>
      <c r="R296" s="27">
        <f>IF(COUNTBLANK(T295)=1,(R295*'Config.'!$D$12)+R295,(T295*'Config.'!$D$12)+T295)</f>
        <v>738.28239029839597</v>
      </c>
      <c r="S296" s="28" t="str">
        <f>IF(COUNTBLANK(T296)=1,IF(R296&lt;='Config.'!$D$10,"meta","nops"),"")</f>
        <v>meta</v>
      </c>
      <c r="T296" s="32"/>
    </row>
    <row r="297" spans="1:20" ht="20.100000000000001" customHeight="1" x14ac:dyDescent="0.25">
      <c r="A297" s="22" t="s">
        <v>25</v>
      </c>
      <c r="B297" s="20">
        <v>294</v>
      </c>
      <c r="C297" s="60">
        <f>IF(COUNTBLANK(H296)=1,(C296*'Config.'!$D$12)+C296,(H296*'Config.'!$D$12)+H296)</f>
        <v>745.66521420137997</v>
      </c>
      <c r="D297" s="60">
        <f t="shared" si="22"/>
        <v>7.3828239029840006</v>
      </c>
      <c r="E297" s="59">
        <v>0.8</v>
      </c>
      <c r="F297" s="61">
        <f t="shared" si="20"/>
        <v>1.8457059757460001</v>
      </c>
      <c r="G297" s="12" t="str">
        <f>IF(COUNTBLANK(H297)=1,IF(C297&lt;='Config.'!$D$10,"meta","nops"),"")</f>
        <v>meta</v>
      </c>
      <c r="H297" s="62"/>
      <c r="I297" s="63" t="str">
        <f t="shared" si="23"/>
        <v/>
      </c>
      <c r="J297" s="63" t="str">
        <f t="shared" si="21"/>
        <v/>
      </c>
      <c r="K297" s="54" t="str">
        <f t="shared" si="24"/>
        <v/>
      </c>
      <c r="R297" s="27">
        <f>IF(COUNTBLANK(T296)=1,(R296*'Config.'!$D$12)+R296,(T296*'Config.'!$D$12)+T296)</f>
        <v>745.66521420137997</v>
      </c>
      <c r="S297" s="28" t="str">
        <f>IF(COUNTBLANK(T297)=1,IF(R297&lt;='Config.'!$D$10,"meta","nops"),"")</f>
        <v>meta</v>
      </c>
      <c r="T297" s="32"/>
    </row>
    <row r="298" spans="1:20" ht="20.100000000000001" customHeight="1" x14ac:dyDescent="0.25">
      <c r="A298" s="22" t="s">
        <v>25</v>
      </c>
      <c r="B298" s="20">
        <v>295</v>
      </c>
      <c r="C298" s="60">
        <f>IF(COUNTBLANK(H297)=1,(C297*'Config.'!$D$12)+C297,(H297*'Config.'!$D$12)+H297)</f>
        <v>753.12186634339378</v>
      </c>
      <c r="D298" s="60">
        <f t="shared" si="22"/>
        <v>7.4566521420138088</v>
      </c>
      <c r="E298" s="59">
        <v>0.8</v>
      </c>
      <c r="F298" s="61">
        <f t="shared" si="20"/>
        <v>1.8641630355034522</v>
      </c>
      <c r="G298" s="12" t="str">
        <f>IF(COUNTBLANK(H298)=1,IF(C298&lt;='Config.'!$D$10,"meta","nops"),"")</f>
        <v>meta</v>
      </c>
      <c r="H298" s="62"/>
      <c r="I298" s="63" t="str">
        <f t="shared" si="23"/>
        <v/>
      </c>
      <c r="J298" s="63" t="str">
        <f t="shared" si="21"/>
        <v/>
      </c>
      <c r="K298" s="54" t="str">
        <f t="shared" si="24"/>
        <v/>
      </c>
      <c r="R298" s="27">
        <f>IF(COUNTBLANK(T297)=1,(R297*'Config.'!$D$12)+R297,(T297*'Config.'!$D$12)+T297)</f>
        <v>753.12186634339378</v>
      </c>
      <c r="S298" s="28" t="str">
        <f>IF(COUNTBLANK(T298)=1,IF(R298&lt;='Config.'!$D$10,"meta","nops"),"")</f>
        <v>meta</v>
      </c>
      <c r="T298" s="32"/>
    </row>
    <row r="299" spans="1:20" ht="20.100000000000001" customHeight="1" x14ac:dyDescent="0.25">
      <c r="A299" s="22" t="s">
        <v>25</v>
      </c>
      <c r="B299" s="20">
        <v>296</v>
      </c>
      <c r="C299" s="60">
        <f>IF(COUNTBLANK(H298)=1,(C298*'Config.'!$D$12)+C298,(H298*'Config.'!$D$12)+H298)</f>
        <v>760.65308500682772</v>
      </c>
      <c r="D299" s="60">
        <f t="shared" si="22"/>
        <v>7.5312186634339469</v>
      </c>
      <c r="E299" s="59">
        <v>0.8</v>
      </c>
      <c r="F299" s="61">
        <f t="shared" si="20"/>
        <v>1.8828046658584867</v>
      </c>
      <c r="G299" s="12" t="str">
        <f>IF(COUNTBLANK(H299)=1,IF(C299&lt;='Config.'!$D$10,"meta","nops"),"")</f>
        <v>meta</v>
      </c>
      <c r="H299" s="62"/>
      <c r="I299" s="63" t="str">
        <f t="shared" si="23"/>
        <v/>
      </c>
      <c r="J299" s="63" t="str">
        <f t="shared" si="21"/>
        <v/>
      </c>
      <c r="K299" s="54" t="str">
        <f t="shared" si="24"/>
        <v/>
      </c>
      <c r="R299" s="27">
        <f>IF(COUNTBLANK(T298)=1,(R298*'Config.'!$D$12)+R298,(T298*'Config.'!$D$12)+T298)</f>
        <v>760.65308500682772</v>
      </c>
      <c r="S299" s="28" t="str">
        <f>IF(COUNTBLANK(T299)=1,IF(R299&lt;='Config.'!$D$10,"meta","nops"),"")</f>
        <v>meta</v>
      </c>
      <c r="T299" s="32"/>
    </row>
    <row r="300" spans="1:20" ht="20.100000000000001" customHeight="1" x14ac:dyDescent="0.25">
      <c r="A300" s="22" t="s">
        <v>25</v>
      </c>
      <c r="B300" s="20">
        <v>297</v>
      </c>
      <c r="C300" s="60">
        <f>IF(COUNTBLANK(H299)=1,(C299*'Config.'!$D$12)+C299,(H299*'Config.'!$D$12)+H299)</f>
        <v>768.25961585689595</v>
      </c>
      <c r="D300" s="60">
        <f t="shared" si="22"/>
        <v>7.6065308500682249</v>
      </c>
      <c r="E300" s="59">
        <v>0.8</v>
      </c>
      <c r="F300" s="61">
        <f t="shared" si="20"/>
        <v>1.9016327125170562</v>
      </c>
      <c r="G300" s="12" t="str">
        <f>IF(COUNTBLANK(H300)=1,IF(C300&lt;='Config.'!$D$10,"meta","nops"),"")</f>
        <v>meta</v>
      </c>
      <c r="H300" s="62"/>
      <c r="I300" s="63" t="str">
        <f t="shared" si="23"/>
        <v/>
      </c>
      <c r="J300" s="63" t="str">
        <f t="shared" si="21"/>
        <v/>
      </c>
      <c r="K300" s="54" t="str">
        <f t="shared" si="24"/>
        <v/>
      </c>
      <c r="R300" s="27">
        <f>IF(COUNTBLANK(T299)=1,(R299*'Config.'!$D$12)+R299,(T299*'Config.'!$D$12)+T299)</f>
        <v>768.25961585689595</v>
      </c>
      <c r="S300" s="28" t="str">
        <f>IF(COUNTBLANK(T300)=1,IF(R300&lt;='Config.'!$D$10,"meta","nops"),"")</f>
        <v>meta</v>
      </c>
      <c r="T300" s="32"/>
    </row>
    <row r="301" spans="1:20" ht="20.100000000000001" customHeight="1" x14ac:dyDescent="0.25">
      <c r="A301" s="22" t="s">
        <v>25</v>
      </c>
      <c r="B301" s="20">
        <v>298</v>
      </c>
      <c r="C301" s="60">
        <f>IF(COUNTBLANK(H300)=1,(C300*'Config.'!$D$12)+C300,(H300*'Config.'!$D$12)+H300)</f>
        <v>775.94221201546486</v>
      </c>
      <c r="D301" s="60">
        <f t="shared" si="22"/>
        <v>7.6825961585689129</v>
      </c>
      <c r="E301" s="59">
        <v>0.8</v>
      </c>
      <c r="F301" s="61">
        <f t="shared" si="20"/>
        <v>1.9206490396422282</v>
      </c>
      <c r="G301" s="12" t="str">
        <f>IF(COUNTBLANK(H301)=1,IF(C301&lt;='Config.'!$D$10,"meta","nops"),"")</f>
        <v>meta</v>
      </c>
      <c r="H301" s="62"/>
      <c r="I301" s="63" t="str">
        <f t="shared" si="23"/>
        <v/>
      </c>
      <c r="J301" s="63" t="str">
        <f t="shared" si="21"/>
        <v/>
      </c>
      <c r="K301" s="54" t="str">
        <f t="shared" si="24"/>
        <v/>
      </c>
      <c r="R301" s="27">
        <f>IF(COUNTBLANK(T300)=1,(R300*'Config.'!$D$12)+R300,(T300*'Config.'!$D$12)+T300)</f>
        <v>775.94221201546486</v>
      </c>
      <c r="S301" s="28" t="str">
        <f>IF(COUNTBLANK(T301)=1,IF(R301&lt;='Config.'!$D$10,"meta","nops"),"")</f>
        <v>meta</v>
      </c>
      <c r="T301" s="32"/>
    </row>
    <row r="302" spans="1:20" ht="20.100000000000001" customHeight="1" x14ac:dyDescent="0.25">
      <c r="A302" s="22" t="s">
        <v>25</v>
      </c>
      <c r="B302" s="20">
        <v>299</v>
      </c>
      <c r="C302" s="60">
        <f>IF(COUNTBLANK(H301)=1,(C301*'Config.'!$D$12)+C301,(H301*'Config.'!$D$12)+H301)</f>
        <v>783.70163413561954</v>
      </c>
      <c r="D302" s="60">
        <f t="shared" si="22"/>
        <v>7.7594221201546816</v>
      </c>
      <c r="E302" s="59">
        <v>0.8</v>
      </c>
      <c r="F302" s="61">
        <f t="shared" si="20"/>
        <v>1.9398555300386704</v>
      </c>
      <c r="G302" s="12" t="str">
        <f>IF(COUNTBLANK(H302)=1,IF(C302&lt;='Config.'!$D$10,"meta","nops"),"")</f>
        <v>meta</v>
      </c>
      <c r="H302" s="62"/>
      <c r="I302" s="63" t="str">
        <f t="shared" si="23"/>
        <v/>
      </c>
      <c r="J302" s="63" t="str">
        <f t="shared" si="21"/>
        <v/>
      </c>
      <c r="K302" s="54" t="str">
        <f t="shared" si="24"/>
        <v/>
      </c>
      <c r="R302" s="27">
        <f>IF(COUNTBLANK(T301)=1,(R301*'Config.'!$D$12)+R301,(T301*'Config.'!$D$12)+T301)</f>
        <v>783.70163413561954</v>
      </c>
      <c r="S302" s="28" t="str">
        <f>IF(COUNTBLANK(T302)=1,IF(R302&lt;='Config.'!$D$10,"meta","nops"),"")</f>
        <v>meta</v>
      </c>
      <c r="T302" s="32"/>
    </row>
    <row r="303" spans="1:20" ht="20.100000000000001" customHeight="1" x14ac:dyDescent="0.25">
      <c r="A303" s="22" t="s">
        <v>25</v>
      </c>
      <c r="B303" s="20">
        <v>300</v>
      </c>
      <c r="C303" s="60">
        <f>IF(COUNTBLANK(H302)=1,(C302*'Config.'!$D$12)+C302,(H302*'Config.'!$D$12)+H302)</f>
        <v>791.5386504769757</v>
      </c>
      <c r="D303" s="60">
        <f t="shared" si="22"/>
        <v>7.8370163413561613</v>
      </c>
      <c r="E303" s="59">
        <v>0.8</v>
      </c>
      <c r="F303" s="61">
        <f t="shared" si="20"/>
        <v>1.9592540853390403</v>
      </c>
      <c r="G303" s="12" t="str">
        <f>IF(COUNTBLANK(H303)=1,IF(C303&lt;='Config.'!$D$10,"meta","nops"),"")</f>
        <v>meta</v>
      </c>
      <c r="H303" s="62"/>
      <c r="I303" s="63" t="str">
        <f t="shared" si="23"/>
        <v/>
      </c>
      <c r="J303" s="63" t="str">
        <f t="shared" si="21"/>
        <v/>
      </c>
      <c r="K303" s="54" t="str">
        <f t="shared" si="24"/>
        <v/>
      </c>
      <c r="R303" s="27">
        <f>IF(COUNTBLANK(T302)=1,(R302*'Config.'!$D$12)+R302,(T302*'Config.'!$D$12)+T302)</f>
        <v>791.5386504769757</v>
      </c>
      <c r="S303" s="28" t="str">
        <f>IF(COUNTBLANK(T303)=1,IF(R303&lt;='Config.'!$D$10,"meta","nops"),"")</f>
        <v>meta</v>
      </c>
      <c r="T303" s="32"/>
    </row>
    <row r="304" spans="1:20" ht="20.100000000000001" customHeight="1" x14ac:dyDescent="0.25">
      <c r="A304" s="22" t="s">
        <v>25</v>
      </c>
      <c r="B304" s="20">
        <v>301</v>
      </c>
      <c r="C304" s="60">
        <f>IF(COUNTBLANK(H303)=1,(C303*'Config.'!$D$12)+C303,(H303*'Config.'!$D$12)+H303)</f>
        <v>799.4540369817455</v>
      </c>
      <c r="D304" s="60">
        <f t="shared" si="22"/>
        <v>7.9153865047697991</v>
      </c>
      <c r="E304" s="59">
        <v>0.8</v>
      </c>
      <c r="F304" s="61">
        <f t="shared" si="20"/>
        <v>1.9788466261924498</v>
      </c>
      <c r="G304" s="12" t="str">
        <f>IF(COUNTBLANK(H304)=1,IF(C304&lt;='Config.'!$D$10,"meta","nops"),"")</f>
        <v>meta</v>
      </c>
      <c r="H304" s="62"/>
      <c r="I304" s="63" t="str">
        <f t="shared" si="23"/>
        <v/>
      </c>
      <c r="J304" s="63" t="str">
        <f t="shared" si="21"/>
        <v/>
      </c>
      <c r="K304" s="54" t="str">
        <f t="shared" si="24"/>
        <v/>
      </c>
      <c r="R304" s="27">
        <f>IF(COUNTBLANK(T303)=1,(R303*'Config.'!$D$12)+R303,(T303*'Config.'!$D$12)+T303)</f>
        <v>799.4540369817455</v>
      </c>
      <c r="S304" s="28" t="str">
        <f>IF(COUNTBLANK(T304)=1,IF(R304&lt;='Config.'!$D$10,"meta","nops"),"")</f>
        <v>meta</v>
      </c>
      <c r="T304" s="32"/>
    </row>
    <row r="305" spans="1:20" ht="20.100000000000001" customHeight="1" x14ac:dyDescent="0.25">
      <c r="A305" s="22" t="s">
        <v>25</v>
      </c>
      <c r="B305" s="20">
        <v>302</v>
      </c>
      <c r="C305" s="60">
        <f>IF(COUNTBLANK(H304)=1,(C304*'Config.'!$D$12)+C304,(H304*'Config.'!$D$12)+H304)</f>
        <v>807.4485773515629</v>
      </c>
      <c r="D305" s="60">
        <f t="shared" si="22"/>
        <v>7.9945403698174005</v>
      </c>
      <c r="E305" s="59">
        <v>0.8</v>
      </c>
      <c r="F305" s="61">
        <f t="shared" si="20"/>
        <v>1.9986350924543501</v>
      </c>
      <c r="G305" s="12" t="str">
        <f>IF(COUNTBLANK(H305)=1,IF(C305&lt;='Config.'!$D$10,"meta","nops"),"")</f>
        <v>meta</v>
      </c>
      <c r="H305" s="62"/>
      <c r="I305" s="63" t="str">
        <f t="shared" si="23"/>
        <v/>
      </c>
      <c r="J305" s="63" t="str">
        <f t="shared" si="21"/>
        <v/>
      </c>
      <c r="K305" s="54" t="str">
        <f t="shared" si="24"/>
        <v/>
      </c>
      <c r="R305" s="27">
        <f>IF(COUNTBLANK(T304)=1,(R304*'Config.'!$D$12)+R304,(T304*'Config.'!$D$12)+T304)</f>
        <v>807.4485773515629</v>
      </c>
      <c r="S305" s="28" t="str">
        <f>IF(COUNTBLANK(T305)=1,IF(R305&lt;='Config.'!$D$10,"meta","nops"),"")</f>
        <v>meta</v>
      </c>
      <c r="T305" s="32"/>
    </row>
    <row r="306" spans="1:20" ht="20.100000000000001" customHeight="1" x14ac:dyDescent="0.25">
      <c r="A306" s="22" t="s">
        <v>25</v>
      </c>
      <c r="B306" s="20">
        <v>303</v>
      </c>
      <c r="C306" s="60">
        <f>IF(COUNTBLANK(H305)=1,(C305*'Config.'!$D$12)+C305,(H305*'Config.'!$D$12)+H305)</f>
        <v>815.52306312507858</v>
      </c>
      <c r="D306" s="60">
        <f t="shared" si="22"/>
        <v>8.0744857735156756</v>
      </c>
      <c r="E306" s="59">
        <v>0.8</v>
      </c>
      <c r="F306" s="61">
        <f t="shared" si="20"/>
        <v>2.0186214433789189</v>
      </c>
      <c r="G306" s="12" t="str">
        <f>IF(COUNTBLANK(H306)=1,IF(C306&lt;='Config.'!$D$10,"meta","nops"),"")</f>
        <v>meta</v>
      </c>
      <c r="H306" s="62"/>
      <c r="I306" s="63" t="str">
        <f t="shared" si="23"/>
        <v/>
      </c>
      <c r="J306" s="63" t="str">
        <f t="shared" si="21"/>
        <v/>
      </c>
      <c r="K306" s="54" t="str">
        <f t="shared" si="24"/>
        <v/>
      </c>
      <c r="R306" s="27">
        <f>IF(COUNTBLANK(T305)=1,(R305*'Config.'!$D$12)+R305,(T305*'Config.'!$D$12)+T305)</f>
        <v>815.52306312507858</v>
      </c>
      <c r="S306" s="28" t="str">
        <f>IF(COUNTBLANK(T306)=1,IF(R306&lt;='Config.'!$D$10,"meta","nops"),"")</f>
        <v>meta</v>
      </c>
      <c r="T306" s="32"/>
    </row>
    <row r="307" spans="1:20" ht="20.100000000000001" customHeight="1" x14ac:dyDescent="0.25">
      <c r="A307" s="22" t="s">
        <v>25</v>
      </c>
      <c r="B307" s="20">
        <v>304</v>
      </c>
      <c r="C307" s="60">
        <f>IF(COUNTBLANK(H306)=1,(C306*'Config.'!$D$12)+C306,(H306*'Config.'!$D$12)+H306)</f>
        <v>823.67829375632937</v>
      </c>
      <c r="D307" s="60">
        <f t="shared" si="22"/>
        <v>8.1552306312507881</v>
      </c>
      <c r="E307" s="59">
        <v>0.8</v>
      </c>
      <c r="F307" s="61">
        <f t="shared" si="20"/>
        <v>2.038807657812697</v>
      </c>
      <c r="G307" s="12" t="str">
        <f>IF(COUNTBLANK(H307)=1,IF(C307&lt;='Config.'!$D$10,"meta","nops"),"")</f>
        <v>meta</v>
      </c>
      <c r="H307" s="62"/>
      <c r="I307" s="63" t="str">
        <f t="shared" si="23"/>
        <v/>
      </c>
      <c r="J307" s="63" t="str">
        <f t="shared" si="21"/>
        <v/>
      </c>
      <c r="K307" s="54" t="str">
        <f t="shared" si="24"/>
        <v/>
      </c>
      <c r="R307" s="27">
        <f>IF(COUNTBLANK(T306)=1,(R306*'Config.'!$D$12)+R306,(T306*'Config.'!$D$12)+T306)</f>
        <v>823.67829375632937</v>
      </c>
      <c r="S307" s="28" t="str">
        <f>IF(COUNTBLANK(T307)=1,IF(R307&lt;='Config.'!$D$10,"meta","nops"),"")</f>
        <v>meta</v>
      </c>
      <c r="T307" s="32"/>
    </row>
    <row r="308" spans="1:20" ht="20.100000000000001" customHeight="1" x14ac:dyDescent="0.25">
      <c r="A308" s="22" t="s">
        <v>25</v>
      </c>
      <c r="B308" s="20">
        <v>305</v>
      </c>
      <c r="C308" s="60">
        <f>IF(COUNTBLANK(H307)=1,(C307*'Config.'!$D$12)+C307,(H307*'Config.'!$D$12)+H307)</f>
        <v>831.91507669389262</v>
      </c>
      <c r="D308" s="60">
        <f t="shared" si="22"/>
        <v>8.2367829375632482</v>
      </c>
      <c r="E308" s="59">
        <v>0.8</v>
      </c>
      <c r="F308" s="61">
        <f t="shared" si="20"/>
        <v>2.059195734390812</v>
      </c>
      <c r="G308" s="12" t="str">
        <f>IF(COUNTBLANK(H308)=1,IF(C308&lt;='Config.'!$D$10,"meta","nops"),"")</f>
        <v>meta</v>
      </c>
      <c r="H308" s="62"/>
      <c r="I308" s="63" t="str">
        <f t="shared" si="23"/>
        <v/>
      </c>
      <c r="J308" s="63" t="str">
        <f t="shared" si="21"/>
        <v/>
      </c>
      <c r="K308" s="54" t="str">
        <f t="shared" si="24"/>
        <v/>
      </c>
      <c r="R308" s="27">
        <f>IF(COUNTBLANK(T307)=1,(R307*'Config.'!$D$12)+R307,(T307*'Config.'!$D$12)+T307)</f>
        <v>831.91507669389262</v>
      </c>
      <c r="S308" s="28" t="str">
        <f>IF(COUNTBLANK(T308)=1,IF(R308&lt;='Config.'!$D$10,"meta","nops"),"")</f>
        <v>meta</v>
      </c>
      <c r="T308" s="32"/>
    </row>
    <row r="309" spans="1:20" ht="20.100000000000001" customHeight="1" x14ac:dyDescent="0.25">
      <c r="A309" s="22" t="s">
        <v>25</v>
      </c>
      <c r="B309" s="20">
        <v>306</v>
      </c>
      <c r="C309" s="60">
        <f>IF(COUNTBLANK(H308)=1,(C308*'Config.'!$D$12)+C308,(H308*'Config.'!$D$12)+H308)</f>
        <v>840.23422746083156</v>
      </c>
      <c r="D309" s="60">
        <f t="shared" si="22"/>
        <v>8.3191507669389466</v>
      </c>
      <c r="E309" s="59">
        <v>0.8</v>
      </c>
      <c r="F309" s="61">
        <f t="shared" si="20"/>
        <v>2.0797876917347367</v>
      </c>
      <c r="G309" s="12" t="str">
        <f>IF(COUNTBLANK(H309)=1,IF(C309&lt;='Config.'!$D$10,"meta","nops"),"")</f>
        <v>meta</v>
      </c>
      <c r="H309" s="62"/>
      <c r="I309" s="63" t="str">
        <f t="shared" si="23"/>
        <v/>
      </c>
      <c r="J309" s="63" t="str">
        <f t="shared" si="21"/>
        <v/>
      </c>
      <c r="K309" s="54" t="str">
        <f t="shared" si="24"/>
        <v/>
      </c>
      <c r="R309" s="27">
        <f>IF(COUNTBLANK(T308)=1,(R308*'Config.'!$D$12)+R308,(T308*'Config.'!$D$12)+T308)</f>
        <v>840.23422746083156</v>
      </c>
      <c r="S309" s="28" t="str">
        <f>IF(COUNTBLANK(T309)=1,IF(R309&lt;='Config.'!$D$10,"meta","nops"),"")</f>
        <v>meta</v>
      </c>
      <c r="T309" s="32"/>
    </row>
    <row r="310" spans="1:20" ht="20.100000000000001" customHeight="1" x14ac:dyDescent="0.25">
      <c r="A310" s="22" t="s">
        <v>25</v>
      </c>
      <c r="B310" s="20">
        <v>307</v>
      </c>
      <c r="C310" s="60">
        <f>IF(COUNTBLANK(H309)=1,(C309*'Config.'!$D$12)+C309,(H309*'Config.'!$D$12)+H309)</f>
        <v>848.63656973543993</v>
      </c>
      <c r="D310" s="60">
        <f t="shared" si="22"/>
        <v>8.4023422746083725</v>
      </c>
      <c r="E310" s="59">
        <v>0.8</v>
      </c>
      <c r="F310" s="61">
        <f t="shared" si="20"/>
        <v>2.1005855686520931</v>
      </c>
      <c r="G310" s="12" t="str">
        <f>IF(COUNTBLANK(H310)=1,IF(C310&lt;='Config.'!$D$10,"meta","nops"),"")</f>
        <v>meta</v>
      </c>
      <c r="H310" s="62"/>
      <c r="I310" s="63" t="str">
        <f t="shared" si="23"/>
        <v/>
      </c>
      <c r="J310" s="63" t="str">
        <f t="shared" si="21"/>
        <v/>
      </c>
      <c r="K310" s="54" t="str">
        <f t="shared" si="24"/>
        <v/>
      </c>
      <c r="R310" s="27">
        <f>IF(COUNTBLANK(T309)=1,(R309*'Config.'!$D$12)+R309,(T309*'Config.'!$D$12)+T309)</f>
        <v>848.63656973543993</v>
      </c>
      <c r="S310" s="28" t="str">
        <f>IF(COUNTBLANK(T310)=1,IF(R310&lt;='Config.'!$D$10,"meta","nops"),"")</f>
        <v>meta</v>
      </c>
      <c r="T310" s="32"/>
    </row>
    <row r="311" spans="1:20" ht="20.100000000000001" customHeight="1" x14ac:dyDescent="0.25">
      <c r="A311" s="22" t="s">
        <v>25</v>
      </c>
      <c r="B311" s="20">
        <v>308</v>
      </c>
      <c r="C311" s="60">
        <f>IF(COUNTBLANK(H310)=1,(C310*'Config.'!$D$12)+C310,(H310*'Config.'!$D$12)+H310)</f>
        <v>857.12293543279429</v>
      </c>
      <c r="D311" s="60">
        <f t="shared" si="22"/>
        <v>8.4863656973543584</v>
      </c>
      <c r="E311" s="59">
        <v>0.8</v>
      </c>
      <c r="F311" s="61">
        <f t="shared" si="20"/>
        <v>2.1215914243385896</v>
      </c>
      <c r="G311" s="12" t="str">
        <f>IF(COUNTBLANK(H311)=1,IF(C311&lt;='Config.'!$D$10,"meta","nops"),"")</f>
        <v>meta</v>
      </c>
      <c r="H311" s="62"/>
      <c r="I311" s="63" t="str">
        <f t="shared" si="23"/>
        <v/>
      </c>
      <c r="J311" s="63" t="str">
        <f t="shared" si="21"/>
        <v/>
      </c>
      <c r="K311" s="54" t="str">
        <f t="shared" si="24"/>
        <v/>
      </c>
      <c r="R311" s="27">
        <f>IF(COUNTBLANK(T310)=1,(R310*'Config.'!$D$12)+R310,(T310*'Config.'!$D$12)+T310)</f>
        <v>857.12293543279429</v>
      </c>
      <c r="S311" s="28" t="str">
        <f>IF(COUNTBLANK(T311)=1,IF(R311&lt;='Config.'!$D$10,"meta","nops"),"")</f>
        <v>meta</v>
      </c>
      <c r="T311" s="32"/>
    </row>
    <row r="312" spans="1:20" ht="20.100000000000001" customHeight="1" x14ac:dyDescent="0.25">
      <c r="A312" s="22" t="s">
        <v>25</v>
      </c>
      <c r="B312" s="20">
        <v>309</v>
      </c>
      <c r="C312" s="60">
        <f>IF(COUNTBLANK(H311)=1,(C311*'Config.'!$D$12)+C311,(H311*'Config.'!$D$12)+H311)</f>
        <v>865.69416478712219</v>
      </c>
      <c r="D312" s="60">
        <f t="shared" si="22"/>
        <v>8.5712293543278975</v>
      </c>
      <c r="E312" s="59">
        <v>0.8</v>
      </c>
      <c r="F312" s="61">
        <f t="shared" si="20"/>
        <v>2.1428073385819744</v>
      </c>
      <c r="G312" s="12" t="str">
        <f>IF(COUNTBLANK(H312)=1,IF(C312&lt;='Config.'!$D$10,"meta","nops"),"")</f>
        <v>meta</v>
      </c>
      <c r="H312" s="62"/>
      <c r="I312" s="63" t="str">
        <f t="shared" si="23"/>
        <v/>
      </c>
      <c r="J312" s="63" t="str">
        <f t="shared" si="21"/>
        <v/>
      </c>
      <c r="K312" s="54" t="str">
        <f t="shared" si="24"/>
        <v/>
      </c>
      <c r="R312" s="27">
        <f>IF(COUNTBLANK(T311)=1,(R311*'Config.'!$D$12)+R311,(T311*'Config.'!$D$12)+T311)</f>
        <v>865.69416478712219</v>
      </c>
      <c r="S312" s="28" t="str">
        <f>IF(COUNTBLANK(T312)=1,IF(R312&lt;='Config.'!$D$10,"meta","nops"),"")</f>
        <v>meta</v>
      </c>
      <c r="T312" s="32"/>
    </row>
    <row r="313" spans="1:20" ht="20.100000000000001" customHeight="1" x14ac:dyDescent="0.25">
      <c r="A313" s="22" t="s">
        <v>25</v>
      </c>
      <c r="B313" s="20">
        <v>310</v>
      </c>
      <c r="C313" s="60">
        <f>IF(COUNTBLANK(H312)=1,(C312*'Config.'!$D$12)+C312,(H312*'Config.'!$D$12)+H312)</f>
        <v>874.35110643499343</v>
      </c>
      <c r="D313" s="60">
        <f t="shared" si="22"/>
        <v>8.6569416478712355</v>
      </c>
      <c r="E313" s="59">
        <v>0.8</v>
      </c>
      <c r="F313" s="61">
        <f t="shared" si="20"/>
        <v>2.1642354119678089</v>
      </c>
      <c r="G313" s="12" t="str">
        <f>IF(COUNTBLANK(H313)=1,IF(C313&lt;='Config.'!$D$10,"meta","nops"),"")</f>
        <v>meta</v>
      </c>
      <c r="H313" s="62"/>
      <c r="I313" s="63" t="str">
        <f t="shared" si="23"/>
        <v/>
      </c>
      <c r="J313" s="63" t="str">
        <f t="shared" si="21"/>
        <v/>
      </c>
      <c r="K313" s="54" t="str">
        <f t="shared" si="24"/>
        <v/>
      </c>
      <c r="R313" s="27">
        <f>IF(COUNTBLANK(T312)=1,(R312*'Config.'!$D$12)+R312,(T312*'Config.'!$D$12)+T312)</f>
        <v>874.35110643499343</v>
      </c>
      <c r="S313" s="28" t="str">
        <f>IF(COUNTBLANK(T313)=1,IF(R313&lt;='Config.'!$D$10,"meta","nops"),"")</f>
        <v>meta</v>
      </c>
      <c r="T313" s="32"/>
    </row>
    <row r="314" spans="1:20" ht="20.100000000000001" customHeight="1" x14ac:dyDescent="0.25">
      <c r="A314" s="22" t="s">
        <v>25</v>
      </c>
      <c r="B314" s="20">
        <v>311</v>
      </c>
      <c r="C314" s="60">
        <f>IF(COUNTBLANK(H313)=1,(C313*'Config.'!$D$12)+C313,(H313*'Config.'!$D$12)+H313)</f>
        <v>883.09461749934337</v>
      </c>
      <c r="D314" s="60">
        <f t="shared" si="22"/>
        <v>8.7435110643499456</v>
      </c>
      <c r="E314" s="59">
        <v>0.8</v>
      </c>
      <c r="F314" s="61">
        <f t="shared" si="20"/>
        <v>2.1858777660874864</v>
      </c>
      <c r="G314" s="12" t="str">
        <f>IF(COUNTBLANK(H314)=1,IF(C314&lt;='Config.'!$D$10,"meta","nops"),"")</f>
        <v>meta</v>
      </c>
      <c r="H314" s="62"/>
      <c r="I314" s="63" t="str">
        <f t="shared" si="23"/>
        <v/>
      </c>
      <c r="J314" s="63" t="str">
        <f t="shared" si="21"/>
        <v/>
      </c>
      <c r="K314" s="54" t="str">
        <f t="shared" si="24"/>
        <v/>
      </c>
      <c r="R314" s="27">
        <f>IF(COUNTBLANK(T313)=1,(R313*'Config.'!$D$12)+R313,(T313*'Config.'!$D$12)+T313)</f>
        <v>883.09461749934337</v>
      </c>
      <c r="S314" s="28" t="str">
        <f>IF(COUNTBLANK(T314)=1,IF(R314&lt;='Config.'!$D$10,"meta","nops"),"")</f>
        <v>meta</v>
      </c>
      <c r="T314" s="32"/>
    </row>
    <row r="315" spans="1:20" ht="20.100000000000001" customHeight="1" x14ac:dyDescent="0.25">
      <c r="A315" s="22" t="s">
        <v>25</v>
      </c>
      <c r="B315" s="20">
        <v>312</v>
      </c>
      <c r="C315" s="60">
        <f>IF(COUNTBLANK(H314)=1,(C314*'Config.'!$D$12)+C314,(H314*'Config.'!$D$12)+H314)</f>
        <v>891.92556367433679</v>
      </c>
      <c r="D315" s="60">
        <f t="shared" si="22"/>
        <v>8.8309461749934144</v>
      </c>
      <c r="E315" s="59">
        <v>0.8</v>
      </c>
      <c r="F315" s="61">
        <f t="shared" si="20"/>
        <v>2.2077365437483536</v>
      </c>
      <c r="G315" s="12" t="str">
        <f>IF(COUNTBLANK(H315)=1,IF(C315&lt;='Config.'!$D$10,"meta","nops"),"")</f>
        <v>meta</v>
      </c>
      <c r="H315" s="62"/>
      <c r="I315" s="63" t="str">
        <f t="shared" si="23"/>
        <v/>
      </c>
      <c r="J315" s="63" t="str">
        <f t="shared" si="21"/>
        <v/>
      </c>
      <c r="K315" s="54" t="str">
        <f t="shared" si="24"/>
        <v/>
      </c>
      <c r="R315" s="27">
        <f>IF(COUNTBLANK(T314)=1,(R314*'Config.'!$D$12)+R314,(T314*'Config.'!$D$12)+T314)</f>
        <v>891.92556367433679</v>
      </c>
      <c r="S315" s="28" t="str">
        <f>IF(COUNTBLANK(T315)=1,IF(R315&lt;='Config.'!$D$10,"meta","nops"),"")</f>
        <v>meta</v>
      </c>
      <c r="T315" s="32"/>
    </row>
    <row r="316" spans="1:20" ht="20.100000000000001" customHeight="1" x14ac:dyDescent="0.25">
      <c r="A316" s="22" t="s">
        <v>25</v>
      </c>
      <c r="B316" s="20">
        <v>313</v>
      </c>
      <c r="C316" s="60">
        <f>IF(COUNTBLANK(H315)=1,(C315*'Config.'!$D$12)+C315,(H315*'Config.'!$D$12)+H315)</f>
        <v>900.84481931108019</v>
      </c>
      <c r="D316" s="60">
        <f t="shared" si="22"/>
        <v>8.9192556367434008</v>
      </c>
      <c r="E316" s="59">
        <v>0.8</v>
      </c>
      <c r="F316" s="61">
        <f t="shared" si="20"/>
        <v>2.2298139091858502</v>
      </c>
      <c r="G316" s="12" t="str">
        <f>IF(COUNTBLANK(H316)=1,IF(C316&lt;='Config.'!$D$10,"meta","nops"),"")</f>
        <v>meta</v>
      </c>
      <c r="H316" s="62"/>
      <c r="I316" s="63" t="str">
        <f t="shared" si="23"/>
        <v/>
      </c>
      <c r="J316" s="63" t="str">
        <f t="shared" si="21"/>
        <v/>
      </c>
      <c r="K316" s="54" t="str">
        <f t="shared" si="24"/>
        <v/>
      </c>
      <c r="R316" s="27">
        <f>IF(COUNTBLANK(T315)=1,(R315*'Config.'!$D$12)+R315,(T315*'Config.'!$D$12)+T315)</f>
        <v>900.84481931108019</v>
      </c>
      <c r="S316" s="28" t="str">
        <f>IF(COUNTBLANK(T316)=1,IF(R316&lt;='Config.'!$D$10,"meta","nops"),"")</f>
        <v>meta</v>
      </c>
      <c r="T316" s="32"/>
    </row>
    <row r="317" spans="1:20" ht="20.100000000000001" customHeight="1" x14ac:dyDescent="0.25">
      <c r="A317" s="22" t="s">
        <v>25</v>
      </c>
      <c r="B317" s="20">
        <v>314</v>
      </c>
      <c r="C317" s="60">
        <f>IF(COUNTBLANK(H316)=1,(C316*'Config.'!$D$12)+C316,(H316*'Config.'!$D$12)+H316)</f>
        <v>909.85326750419097</v>
      </c>
      <c r="D317" s="60">
        <f t="shared" si="22"/>
        <v>9.0084481931107803</v>
      </c>
      <c r="E317" s="59">
        <v>0.8</v>
      </c>
      <c r="F317" s="61">
        <f t="shared" si="20"/>
        <v>2.2521120482776951</v>
      </c>
      <c r="G317" s="12" t="str">
        <f>IF(COUNTBLANK(H317)=1,IF(C317&lt;='Config.'!$D$10,"meta","nops"),"")</f>
        <v>meta</v>
      </c>
      <c r="H317" s="62"/>
      <c r="I317" s="63" t="str">
        <f t="shared" si="23"/>
        <v/>
      </c>
      <c r="J317" s="63" t="str">
        <f t="shared" si="21"/>
        <v/>
      </c>
      <c r="K317" s="54" t="str">
        <f t="shared" si="24"/>
        <v/>
      </c>
      <c r="R317" s="27">
        <f>IF(COUNTBLANK(T316)=1,(R316*'Config.'!$D$12)+R316,(T316*'Config.'!$D$12)+T316)</f>
        <v>909.85326750419097</v>
      </c>
      <c r="S317" s="28" t="str">
        <f>IF(COUNTBLANK(T317)=1,IF(R317&lt;='Config.'!$D$10,"meta","nops"),"")</f>
        <v>meta</v>
      </c>
      <c r="T317" s="32"/>
    </row>
    <row r="318" spans="1:20" ht="20.100000000000001" customHeight="1" x14ac:dyDescent="0.25">
      <c r="A318" s="22" t="s">
        <v>25</v>
      </c>
      <c r="B318" s="20">
        <v>315</v>
      </c>
      <c r="C318" s="60">
        <f>IF(COUNTBLANK(H317)=1,(C317*'Config.'!$D$12)+C317,(H317*'Config.'!$D$12)+H317)</f>
        <v>918.95180017923292</v>
      </c>
      <c r="D318" s="60">
        <f t="shared" si="22"/>
        <v>9.0985326750419517</v>
      </c>
      <c r="E318" s="59">
        <v>0.8</v>
      </c>
      <c r="F318" s="61">
        <f t="shared" si="20"/>
        <v>2.2746331687604879</v>
      </c>
      <c r="G318" s="12" t="str">
        <f>IF(COUNTBLANK(H318)=1,IF(C318&lt;='Config.'!$D$10,"meta","nops"),"")</f>
        <v>meta</v>
      </c>
      <c r="H318" s="62"/>
      <c r="I318" s="63" t="str">
        <f t="shared" si="23"/>
        <v/>
      </c>
      <c r="J318" s="63" t="str">
        <f t="shared" si="21"/>
        <v/>
      </c>
      <c r="K318" s="54" t="str">
        <f t="shared" si="24"/>
        <v/>
      </c>
      <c r="R318" s="27">
        <f>IF(COUNTBLANK(T317)=1,(R317*'Config.'!$D$12)+R317,(T317*'Config.'!$D$12)+T317)</f>
        <v>918.95180017923292</v>
      </c>
      <c r="S318" s="28" t="str">
        <f>IF(COUNTBLANK(T318)=1,IF(R318&lt;='Config.'!$D$10,"meta","nops"),"")</f>
        <v>meta</v>
      </c>
      <c r="T318" s="32"/>
    </row>
    <row r="319" spans="1:20" ht="20.100000000000001" customHeight="1" x14ac:dyDescent="0.25">
      <c r="A319" s="22" t="s">
        <v>25</v>
      </c>
      <c r="B319" s="20">
        <v>316</v>
      </c>
      <c r="C319" s="60">
        <f>IF(COUNTBLANK(H318)=1,(C318*'Config.'!$D$12)+C318,(H318*'Config.'!$D$12)+H318)</f>
        <v>928.14131818102521</v>
      </c>
      <c r="D319" s="60">
        <f t="shared" si="22"/>
        <v>9.1895180017922939</v>
      </c>
      <c r="E319" s="59">
        <v>0.8</v>
      </c>
      <c r="F319" s="61">
        <f t="shared" si="20"/>
        <v>2.2973795004480735</v>
      </c>
      <c r="G319" s="12" t="str">
        <f>IF(COUNTBLANK(H319)=1,IF(C319&lt;='Config.'!$D$10,"meta","nops"),"")</f>
        <v>meta</v>
      </c>
      <c r="H319" s="62"/>
      <c r="I319" s="63" t="str">
        <f t="shared" si="23"/>
        <v/>
      </c>
      <c r="J319" s="63" t="str">
        <f t="shared" si="21"/>
        <v/>
      </c>
      <c r="K319" s="54" t="str">
        <f t="shared" si="24"/>
        <v/>
      </c>
      <c r="R319" s="27">
        <f>IF(COUNTBLANK(T318)=1,(R318*'Config.'!$D$12)+R318,(T318*'Config.'!$D$12)+T318)</f>
        <v>928.14131818102521</v>
      </c>
      <c r="S319" s="28" t="str">
        <f>IF(COUNTBLANK(T319)=1,IF(R319&lt;='Config.'!$D$10,"meta","nops"),"")</f>
        <v>meta</v>
      </c>
      <c r="T319" s="32"/>
    </row>
    <row r="320" spans="1:20" ht="20.100000000000001" customHeight="1" x14ac:dyDescent="0.25">
      <c r="A320" s="22" t="s">
        <v>25</v>
      </c>
      <c r="B320" s="20">
        <v>317</v>
      </c>
      <c r="C320" s="60">
        <f>IF(COUNTBLANK(H319)=1,(C319*'Config.'!$D$12)+C319,(H319*'Config.'!$D$12)+H319)</f>
        <v>937.42273136283552</v>
      </c>
      <c r="D320" s="60">
        <f t="shared" si="22"/>
        <v>9.2814131818103078</v>
      </c>
      <c r="E320" s="59">
        <v>0.8</v>
      </c>
      <c r="F320" s="61">
        <f t="shared" si="20"/>
        <v>2.320353295452577</v>
      </c>
      <c r="G320" s="12" t="str">
        <f>IF(COUNTBLANK(H320)=1,IF(C320&lt;='Config.'!$D$10,"meta","nops"),"")</f>
        <v>meta</v>
      </c>
      <c r="H320" s="62"/>
      <c r="I320" s="63" t="str">
        <f t="shared" si="23"/>
        <v/>
      </c>
      <c r="J320" s="63" t="str">
        <f t="shared" si="21"/>
        <v/>
      </c>
      <c r="K320" s="54" t="str">
        <f t="shared" si="24"/>
        <v/>
      </c>
      <c r="R320" s="27">
        <f>IF(COUNTBLANK(T319)=1,(R319*'Config.'!$D$12)+R319,(T319*'Config.'!$D$12)+T319)</f>
        <v>937.42273136283552</v>
      </c>
      <c r="S320" s="28" t="str">
        <f>IF(COUNTBLANK(T320)=1,IF(R320&lt;='Config.'!$D$10,"meta","nops"),"")</f>
        <v>meta</v>
      </c>
      <c r="T320" s="32"/>
    </row>
    <row r="321" spans="1:20" ht="20.100000000000001" customHeight="1" x14ac:dyDescent="0.25">
      <c r="A321" s="22" t="s">
        <v>25</v>
      </c>
      <c r="B321" s="20">
        <v>318</v>
      </c>
      <c r="C321" s="60">
        <f>IF(COUNTBLANK(H320)=1,(C320*'Config.'!$D$12)+C320,(H320*'Config.'!$D$12)+H320)</f>
        <v>946.79695867646387</v>
      </c>
      <c r="D321" s="60">
        <f t="shared" si="22"/>
        <v>9.3742273136283529</v>
      </c>
      <c r="E321" s="59">
        <v>0.8</v>
      </c>
      <c r="F321" s="61">
        <f t="shared" si="20"/>
        <v>2.3435568284070882</v>
      </c>
      <c r="G321" s="12" t="str">
        <f>IF(COUNTBLANK(H321)=1,IF(C321&lt;='Config.'!$D$10,"meta","nops"),"")</f>
        <v>meta</v>
      </c>
      <c r="H321" s="62"/>
      <c r="I321" s="63" t="str">
        <f t="shared" si="23"/>
        <v/>
      </c>
      <c r="J321" s="63" t="str">
        <f t="shared" si="21"/>
        <v/>
      </c>
      <c r="K321" s="54" t="str">
        <f t="shared" si="24"/>
        <v/>
      </c>
      <c r="R321" s="27">
        <f>IF(COUNTBLANK(T320)=1,(R320*'Config.'!$D$12)+R320,(T320*'Config.'!$D$12)+T320)</f>
        <v>946.79695867646387</v>
      </c>
      <c r="S321" s="28" t="str">
        <f>IF(COUNTBLANK(T321)=1,IF(R321&lt;='Config.'!$D$10,"meta","nops"),"")</f>
        <v>meta</v>
      </c>
      <c r="T321" s="32"/>
    </row>
    <row r="322" spans="1:20" ht="20.100000000000001" customHeight="1" x14ac:dyDescent="0.25">
      <c r="A322" s="22" t="s">
        <v>25</v>
      </c>
      <c r="B322" s="20">
        <v>319</v>
      </c>
      <c r="C322" s="60">
        <f>IF(COUNTBLANK(H321)=1,(C321*'Config.'!$D$12)+C321,(H321*'Config.'!$D$12)+H321)</f>
        <v>956.26492826322851</v>
      </c>
      <c r="D322" s="60">
        <f t="shared" si="22"/>
        <v>9.4679695867646387</v>
      </c>
      <c r="E322" s="59">
        <v>0.8</v>
      </c>
      <c r="F322" s="61">
        <f t="shared" si="20"/>
        <v>2.3669923966911597</v>
      </c>
      <c r="G322" s="12" t="str">
        <f>IF(COUNTBLANK(H322)=1,IF(C322&lt;='Config.'!$D$10,"meta","nops"),"")</f>
        <v>meta</v>
      </c>
      <c r="H322" s="62"/>
      <c r="I322" s="63" t="str">
        <f t="shared" si="23"/>
        <v/>
      </c>
      <c r="J322" s="63" t="str">
        <f t="shared" si="21"/>
        <v/>
      </c>
      <c r="K322" s="54" t="str">
        <f t="shared" si="24"/>
        <v/>
      </c>
      <c r="R322" s="27">
        <f>IF(COUNTBLANK(T321)=1,(R321*'Config.'!$D$12)+R321,(T321*'Config.'!$D$12)+T321)</f>
        <v>956.26492826322851</v>
      </c>
      <c r="S322" s="28" t="str">
        <f>IF(COUNTBLANK(T322)=1,IF(R322&lt;='Config.'!$D$10,"meta","nops"),"")</f>
        <v>meta</v>
      </c>
      <c r="T322" s="32"/>
    </row>
    <row r="323" spans="1:20" ht="20.100000000000001" customHeight="1" x14ac:dyDescent="0.25">
      <c r="A323" s="22" t="s">
        <v>25</v>
      </c>
      <c r="B323" s="20">
        <v>320</v>
      </c>
      <c r="C323" s="60">
        <f>IF(COUNTBLANK(H322)=1,(C322*'Config.'!$D$12)+C322,(H322*'Config.'!$D$12)+H322)</f>
        <v>965.82757754586078</v>
      </c>
      <c r="D323" s="60">
        <f t="shared" si="22"/>
        <v>9.5626492826322647</v>
      </c>
      <c r="E323" s="59">
        <v>0.8</v>
      </c>
      <c r="F323" s="61">
        <f t="shared" si="20"/>
        <v>2.3906623206580662</v>
      </c>
      <c r="G323" s="12" t="str">
        <f>IF(COUNTBLANK(H323)=1,IF(C323&lt;='Config.'!$D$10,"meta","nops"),"")</f>
        <v>meta</v>
      </c>
      <c r="H323" s="62"/>
      <c r="I323" s="63" t="str">
        <f t="shared" si="23"/>
        <v/>
      </c>
      <c r="J323" s="63" t="str">
        <f t="shared" si="21"/>
        <v/>
      </c>
      <c r="K323" s="54" t="str">
        <f t="shared" si="24"/>
        <v/>
      </c>
      <c r="R323" s="27">
        <f>IF(COUNTBLANK(T322)=1,(R322*'Config.'!$D$12)+R322,(T322*'Config.'!$D$12)+T322)</f>
        <v>965.82757754586078</v>
      </c>
      <c r="S323" s="28" t="str">
        <f>IF(COUNTBLANK(T323)=1,IF(R323&lt;='Config.'!$D$10,"meta","nops"),"")</f>
        <v>meta</v>
      </c>
      <c r="T323" s="32"/>
    </row>
    <row r="324" spans="1:20" ht="20.100000000000001" customHeight="1" x14ac:dyDescent="0.25">
      <c r="A324" s="22" t="s">
        <v>25</v>
      </c>
      <c r="B324" s="20">
        <v>321</v>
      </c>
      <c r="C324" s="60">
        <f>IF(COUNTBLANK(H323)=1,(C323*'Config.'!$D$12)+C323,(H323*'Config.'!$D$12)+H323)</f>
        <v>975.48585332131938</v>
      </c>
      <c r="D324" s="60">
        <f t="shared" si="22"/>
        <v>9.6582757754586055</v>
      </c>
      <c r="E324" s="59">
        <v>0.8</v>
      </c>
      <c r="F324" s="61">
        <f t="shared" ref="F324:F368" si="25">IF(COUNTBLANK(E324)=0,(D324/E324)/$E$3,"-")</f>
        <v>2.4145689438646514</v>
      </c>
      <c r="G324" s="12" t="str">
        <f>IF(COUNTBLANK(H324)=1,IF(C324&lt;='Config.'!$D$10,"meta","nops"),"")</f>
        <v>meta</v>
      </c>
      <c r="H324" s="62"/>
      <c r="I324" s="63" t="str">
        <f t="shared" si="23"/>
        <v/>
      </c>
      <c r="J324" s="63" t="str">
        <f t="shared" ref="J324:J368" si="26">IF(I324="","",I324-D324)</f>
        <v/>
      </c>
      <c r="K324" s="54" t="str">
        <f t="shared" si="24"/>
        <v/>
      </c>
      <c r="R324" s="27">
        <f>IF(COUNTBLANK(T323)=1,(R323*'Config.'!$D$12)+R323,(T323*'Config.'!$D$12)+T323)</f>
        <v>975.48585332131938</v>
      </c>
      <c r="S324" s="28" t="str">
        <f>IF(COUNTBLANK(T324)=1,IF(R324&lt;='Config.'!$D$10,"meta","nops"),"")</f>
        <v>meta</v>
      </c>
      <c r="T324" s="32"/>
    </row>
    <row r="325" spans="1:20" ht="20.100000000000001" customHeight="1" x14ac:dyDescent="0.25">
      <c r="A325" s="22" t="s">
        <v>25</v>
      </c>
      <c r="B325" s="20">
        <v>322</v>
      </c>
      <c r="C325" s="60">
        <f>IF(COUNTBLANK(H324)=1,(C324*'Config.'!$D$12)+C324,(H324*'Config.'!$D$12)+H324)</f>
        <v>985.24071185453261</v>
      </c>
      <c r="D325" s="60">
        <f t="shared" ref="D325:D368" si="27">IF(COUNTBLANK(H324)=1,C325-C324,C325-H324)</f>
        <v>9.7548585332132234</v>
      </c>
      <c r="E325" s="59">
        <v>0.8</v>
      </c>
      <c r="F325" s="61">
        <f t="shared" si="25"/>
        <v>2.4387146333033058</v>
      </c>
      <c r="G325" s="12" t="str">
        <f>IF(COUNTBLANK(H325)=1,IF(C325&lt;='Config.'!$D$10,"meta","nops"),"")</f>
        <v>meta</v>
      </c>
      <c r="H325" s="62"/>
      <c r="I325" s="63" t="str">
        <f t="shared" ref="I325:I368" si="28">IF(COUNTBLANK(H325)=1,"",H325-H324)</f>
        <v/>
      </c>
      <c r="J325" s="63" t="str">
        <f t="shared" si="26"/>
        <v/>
      </c>
      <c r="K325" s="54" t="str">
        <f t="shared" ref="K325:K368" si="29">IF(COUNTBLANK(H325)=1,"",(H325-H324)/H324)</f>
        <v/>
      </c>
      <c r="R325" s="27">
        <f>IF(COUNTBLANK(T324)=1,(R324*'Config.'!$D$12)+R324,(T324*'Config.'!$D$12)+T324)</f>
        <v>985.24071185453261</v>
      </c>
      <c r="S325" s="28" t="str">
        <f>IF(COUNTBLANK(T325)=1,IF(R325&lt;='Config.'!$D$10,"meta","nops"),"")</f>
        <v>meta</v>
      </c>
      <c r="T325" s="32"/>
    </row>
    <row r="326" spans="1:20" ht="20.100000000000001" customHeight="1" x14ac:dyDescent="0.25">
      <c r="A326" s="22" t="s">
        <v>25</v>
      </c>
      <c r="B326" s="20">
        <v>323</v>
      </c>
      <c r="C326" s="60">
        <f>IF(COUNTBLANK(H325)=1,(C325*'Config.'!$D$12)+C325,(H325*'Config.'!$D$12)+H325)</f>
        <v>995.09311897307794</v>
      </c>
      <c r="D326" s="60">
        <f t="shared" si="27"/>
        <v>9.8524071185453295</v>
      </c>
      <c r="E326" s="59">
        <v>0.8</v>
      </c>
      <c r="F326" s="61">
        <f t="shared" si="25"/>
        <v>2.4631017796363324</v>
      </c>
      <c r="G326" s="12" t="str">
        <f>IF(COUNTBLANK(H326)=1,IF(C326&lt;='Config.'!$D$10,"meta","nops"),"")</f>
        <v>meta</v>
      </c>
      <c r="H326" s="62"/>
      <c r="I326" s="63" t="str">
        <f t="shared" si="28"/>
        <v/>
      </c>
      <c r="J326" s="63" t="str">
        <f t="shared" si="26"/>
        <v/>
      </c>
      <c r="K326" s="54" t="str">
        <f t="shared" si="29"/>
        <v/>
      </c>
      <c r="R326" s="27">
        <f>IF(COUNTBLANK(T325)=1,(R325*'Config.'!$D$12)+R325,(T325*'Config.'!$D$12)+T325)</f>
        <v>995.09311897307794</v>
      </c>
      <c r="S326" s="28" t="str">
        <f>IF(COUNTBLANK(T326)=1,IF(R326&lt;='Config.'!$D$10,"meta","nops"),"")</f>
        <v>meta</v>
      </c>
      <c r="T326" s="32"/>
    </row>
    <row r="327" spans="1:20" ht="20.100000000000001" customHeight="1" x14ac:dyDescent="0.25">
      <c r="A327" s="22" t="s">
        <v>25</v>
      </c>
      <c r="B327" s="20">
        <v>324</v>
      </c>
      <c r="C327" s="60">
        <f>IF(COUNTBLANK(H326)=1,(C326*'Config.'!$D$12)+C326,(H326*'Config.'!$D$12)+H326)</f>
        <v>1005.0440501628087</v>
      </c>
      <c r="D327" s="60">
        <f t="shared" si="27"/>
        <v>9.9509311897307953</v>
      </c>
      <c r="E327" s="59">
        <v>0.8</v>
      </c>
      <c r="F327" s="61">
        <f t="shared" si="25"/>
        <v>2.4877327974326988</v>
      </c>
      <c r="G327" s="12" t="str">
        <f>IF(COUNTBLANK(H327)=1,IF(C327&lt;='Config.'!$D$10,"meta","nops"),"")</f>
        <v>nops</v>
      </c>
      <c r="H327" s="62"/>
      <c r="I327" s="63" t="str">
        <f t="shared" si="28"/>
        <v/>
      </c>
      <c r="J327" s="63" t="str">
        <f t="shared" si="26"/>
        <v/>
      </c>
      <c r="K327" s="54" t="str">
        <f t="shared" si="29"/>
        <v/>
      </c>
      <c r="R327" s="27">
        <f>IF(COUNTBLANK(T326)=1,(R326*'Config.'!$D$12)+R326,(T326*'Config.'!$D$12)+T326)</f>
        <v>1005.0440501628087</v>
      </c>
      <c r="S327" s="28" t="str">
        <f>IF(COUNTBLANK(T327)=1,IF(R327&lt;='Config.'!$D$10,"meta","nops"),"")</f>
        <v>nops</v>
      </c>
      <c r="T327" s="32"/>
    </row>
    <row r="328" spans="1:20" ht="20.100000000000001" customHeight="1" x14ac:dyDescent="0.25">
      <c r="A328" s="22" t="s">
        <v>25</v>
      </c>
      <c r="B328" s="20">
        <v>325</v>
      </c>
      <c r="C328" s="60">
        <f>IF(COUNTBLANK(H327)=1,(C327*'Config.'!$D$12)+C327,(H327*'Config.'!$D$12)+H327)</f>
        <v>1015.0944906644368</v>
      </c>
      <c r="D328" s="60">
        <f t="shared" si="27"/>
        <v>10.050440501628032</v>
      </c>
      <c r="E328" s="59">
        <v>0.8</v>
      </c>
      <c r="F328" s="61">
        <f t="shared" si="25"/>
        <v>2.5126101254070079</v>
      </c>
      <c r="G328" s="12" t="str">
        <f>IF(COUNTBLANK(H328)=1,IF(C328&lt;='Config.'!$D$10,"meta","nops"),"")</f>
        <v>nops</v>
      </c>
      <c r="H328" s="62"/>
      <c r="I328" s="63" t="str">
        <f t="shared" si="28"/>
        <v/>
      </c>
      <c r="J328" s="63" t="str">
        <f t="shared" si="26"/>
        <v/>
      </c>
      <c r="K328" s="54" t="str">
        <f t="shared" si="29"/>
        <v/>
      </c>
      <c r="R328" s="27">
        <f>IF(COUNTBLANK(T327)=1,(R327*'Config.'!$D$12)+R327,(T327*'Config.'!$D$12)+T327)</f>
        <v>1015.0944906644368</v>
      </c>
      <c r="S328" s="28" t="str">
        <f>IF(COUNTBLANK(T328)=1,IF(R328&lt;='Config.'!$D$10,"meta","nops"),"")</f>
        <v>nops</v>
      </c>
      <c r="T328" s="32"/>
    </row>
    <row r="329" spans="1:20" ht="20.100000000000001" customHeight="1" x14ac:dyDescent="0.25">
      <c r="A329" s="22" t="s">
        <v>25</v>
      </c>
      <c r="B329" s="20">
        <v>326</v>
      </c>
      <c r="C329" s="60">
        <f>IF(COUNTBLANK(H328)=1,(C328*'Config.'!$D$12)+C328,(H328*'Config.'!$D$12)+H328)</f>
        <v>1025.2454355710811</v>
      </c>
      <c r="D329" s="60">
        <f t="shared" si="27"/>
        <v>10.150944906644327</v>
      </c>
      <c r="E329" s="59">
        <v>0.8</v>
      </c>
      <c r="F329" s="61">
        <f t="shared" si="25"/>
        <v>2.5377362266610817</v>
      </c>
      <c r="G329" s="12" t="str">
        <f>IF(COUNTBLANK(H329)=1,IF(C329&lt;='Config.'!$D$10,"meta","nops"),"")</f>
        <v>nops</v>
      </c>
      <c r="H329" s="62"/>
      <c r="I329" s="63" t="str">
        <f t="shared" si="28"/>
        <v/>
      </c>
      <c r="J329" s="63" t="str">
        <f t="shared" si="26"/>
        <v/>
      </c>
      <c r="K329" s="54" t="str">
        <f t="shared" si="29"/>
        <v/>
      </c>
      <c r="R329" s="27">
        <f>IF(COUNTBLANK(T328)=1,(R328*'Config.'!$D$12)+R328,(T328*'Config.'!$D$12)+T328)</f>
        <v>1025.2454355710811</v>
      </c>
      <c r="S329" s="28" t="str">
        <f>IF(COUNTBLANK(T329)=1,IF(R329&lt;='Config.'!$D$10,"meta","nops"),"")</f>
        <v>nops</v>
      </c>
      <c r="T329" s="32"/>
    </row>
    <row r="330" spans="1:20" ht="20.100000000000001" customHeight="1" x14ac:dyDescent="0.25">
      <c r="A330" s="22" t="s">
        <v>25</v>
      </c>
      <c r="B330" s="20">
        <v>327</v>
      </c>
      <c r="C330" s="60">
        <f>IF(COUNTBLANK(H329)=1,(C329*'Config.'!$D$12)+C329,(H329*'Config.'!$D$12)+H329)</f>
        <v>1035.4978899267919</v>
      </c>
      <c r="D330" s="60">
        <f t="shared" si="27"/>
        <v>10.252454355710825</v>
      </c>
      <c r="E330" s="59">
        <v>0.8</v>
      </c>
      <c r="F330" s="61">
        <f t="shared" si="25"/>
        <v>2.5631135889277061</v>
      </c>
      <c r="G330" s="12" t="str">
        <f>IF(COUNTBLANK(H330)=1,IF(C330&lt;='Config.'!$D$10,"meta","nops"),"")</f>
        <v>nops</v>
      </c>
      <c r="H330" s="62"/>
      <c r="I330" s="63" t="str">
        <f t="shared" si="28"/>
        <v/>
      </c>
      <c r="J330" s="63" t="str">
        <f t="shared" si="26"/>
        <v/>
      </c>
      <c r="K330" s="54" t="str">
        <f t="shared" si="29"/>
        <v/>
      </c>
      <c r="R330" s="27">
        <f>IF(COUNTBLANK(T329)=1,(R329*'Config.'!$D$12)+R329,(T329*'Config.'!$D$12)+T329)</f>
        <v>1035.4978899267919</v>
      </c>
      <c r="S330" s="28" t="str">
        <f>IF(COUNTBLANK(T330)=1,IF(R330&lt;='Config.'!$D$10,"meta","nops"),"")</f>
        <v>nops</v>
      </c>
      <c r="T330" s="32"/>
    </row>
    <row r="331" spans="1:20" ht="20.100000000000001" customHeight="1" x14ac:dyDescent="0.25">
      <c r="A331" s="22" t="s">
        <v>25</v>
      </c>
      <c r="B331" s="20">
        <v>328</v>
      </c>
      <c r="C331" s="60">
        <f>IF(COUNTBLANK(H330)=1,(C330*'Config.'!$D$12)+C330,(H330*'Config.'!$D$12)+H330)</f>
        <v>1045.8528688260599</v>
      </c>
      <c r="D331" s="60">
        <f t="shared" si="27"/>
        <v>10.354978899267962</v>
      </c>
      <c r="E331" s="59">
        <v>0.8</v>
      </c>
      <c r="F331" s="61">
        <f t="shared" si="25"/>
        <v>2.5887447248169906</v>
      </c>
      <c r="G331" s="12" t="str">
        <f>IF(COUNTBLANK(H331)=1,IF(C331&lt;='Config.'!$D$10,"meta","nops"),"")</f>
        <v>nops</v>
      </c>
      <c r="H331" s="62"/>
      <c r="I331" s="63" t="str">
        <f t="shared" si="28"/>
        <v/>
      </c>
      <c r="J331" s="63" t="str">
        <f t="shared" si="26"/>
        <v/>
      </c>
      <c r="K331" s="54" t="str">
        <f t="shared" si="29"/>
        <v/>
      </c>
      <c r="R331" s="27">
        <f>IF(COUNTBLANK(T330)=1,(R330*'Config.'!$D$12)+R330,(T330*'Config.'!$D$12)+T330)</f>
        <v>1045.8528688260599</v>
      </c>
      <c r="S331" s="28" t="str">
        <f>IF(COUNTBLANK(T331)=1,IF(R331&lt;='Config.'!$D$10,"meta","nops"),"")</f>
        <v>nops</v>
      </c>
      <c r="T331" s="32"/>
    </row>
    <row r="332" spans="1:20" ht="20.100000000000001" customHeight="1" x14ac:dyDescent="0.25">
      <c r="A332" s="22" t="s">
        <v>25</v>
      </c>
      <c r="B332" s="20">
        <v>329</v>
      </c>
      <c r="C332" s="60">
        <f>IF(COUNTBLANK(H331)=1,(C331*'Config.'!$D$12)+C331,(H331*'Config.'!$D$12)+H331)</f>
        <v>1056.3113975143206</v>
      </c>
      <c r="D332" s="60">
        <f t="shared" si="27"/>
        <v>10.458528688260685</v>
      </c>
      <c r="E332" s="59">
        <v>0.8</v>
      </c>
      <c r="F332" s="61">
        <f t="shared" si="25"/>
        <v>2.6146321720651713</v>
      </c>
      <c r="G332" s="12" t="str">
        <f>IF(COUNTBLANK(H332)=1,IF(C332&lt;='Config.'!$D$10,"meta","nops"),"")</f>
        <v>nops</v>
      </c>
      <c r="H332" s="62"/>
      <c r="I332" s="63" t="str">
        <f t="shared" si="28"/>
        <v/>
      </c>
      <c r="J332" s="63" t="str">
        <f t="shared" si="26"/>
        <v/>
      </c>
      <c r="K332" s="54" t="str">
        <f t="shared" si="29"/>
        <v/>
      </c>
      <c r="R332" s="27">
        <f>IF(COUNTBLANK(T331)=1,(R331*'Config.'!$D$12)+R331,(T331*'Config.'!$D$12)+T331)</f>
        <v>1056.3113975143206</v>
      </c>
      <c r="S332" s="28" t="str">
        <f>IF(COUNTBLANK(T332)=1,IF(R332&lt;='Config.'!$D$10,"meta","nops"),"")</f>
        <v>nops</v>
      </c>
      <c r="T332" s="32"/>
    </row>
    <row r="333" spans="1:20" ht="20.100000000000001" customHeight="1" x14ac:dyDescent="0.25">
      <c r="A333" s="22" t="s">
        <v>25</v>
      </c>
      <c r="B333" s="20">
        <v>330</v>
      </c>
      <c r="C333" s="60">
        <f>IF(COUNTBLANK(H332)=1,(C332*'Config.'!$D$12)+C332,(H332*'Config.'!$D$12)+H332)</f>
        <v>1066.8745114894637</v>
      </c>
      <c r="D333" s="60">
        <f t="shared" si="27"/>
        <v>10.563113975143096</v>
      </c>
      <c r="E333" s="59">
        <v>0.8</v>
      </c>
      <c r="F333" s="61">
        <f t="shared" si="25"/>
        <v>2.6407784937857741</v>
      </c>
      <c r="G333" s="12" t="str">
        <f>IF(COUNTBLANK(H333)=1,IF(C333&lt;='Config.'!$D$10,"meta","nops"),"")</f>
        <v>nops</v>
      </c>
      <c r="H333" s="62"/>
      <c r="I333" s="63" t="str">
        <f t="shared" si="28"/>
        <v/>
      </c>
      <c r="J333" s="63" t="str">
        <f t="shared" si="26"/>
        <v/>
      </c>
      <c r="K333" s="54" t="str">
        <f t="shared" si="29"/>
        <v/>
      </c>
      <c r="R333" s="27">
        <f>IF(COUNTBLANK(T332)=1,(R332*'Config.'!$D$12)+R332,(T332*'Config.'!$D$12)+T332)</f>
        <v>1066.8745114894637</v>
      </c>
      <c r="S333" s="28" t="str">
        <f>IF(COUNTBLANK(T333)=1,IF(R333&lt;='Config.'!$D$10,"meta","nops"),"")</f>
        <v>nops</v>
      </c>
      <c r="T333" s="32"/>
    </row>
    <row r="334" spans="1:20" ht="20.100000000000001" customHeight="1" x14ac:dyDescent="0.25">
      <c r="A334" s="22" t="s">
        <v>25</v>
      </c>
      <c r="B334" s="20">
        <v>331</v>
      </c>
      <c r="C334" s="60">
        <f>IF(COUNTBLANK(H333)=1,(C333*'Config.'!$D$12)+C333,(H333*'Config.'!$D$12)+H333)</f>
        <v>1077.5432566043582</v>
      </c>
      <c r="D334" s="60">
        <f t="shared" si="27"/>
        <v>10.668745114894591</v>
      </c>
      <c r="E334" s="59">
        <v>0.8</v>
      </c>
      <c r="F334" s="61">
        <f t="shared" si="25"/>
        <v>2.6671862787236478</v>
      </c>
      <c r="G334" s="12" t="str">
        <f>IF(COUNTBLANK(H334)=1,IF(C334&lt;='Config.'!$D$10,"meta","nops"),"")</f>
        <v>nops</v>
      </c>
      <c r="H334" s="62"/>
      <c r="I334" s="63" t="str">
        <f t="shared" si="28"/>
        <v/>
      </c>
      <c r="J334" s="63" t="str">
        <f t="shared" si="26"/>
        <v/>
      </c>
      <c r="K334" s="54" t="str">
        <f t="shared" si="29"/>
        <v/>
      </c>
      <c r="R334" s="27">
        <f>IF(COUNTBLANK(T333)=1,(R333*'Config.'!$D$12)+R333,(T333*'Config.'!$D$12)+T333)</f>
        <v>1077.5432566043582</v>
      </c>
      <c r="S334" s="28" t="str">
        <f>IF(COUNTBLANK(T334)=1,IF(R334&lt;='Config.'!$D$10,"meta","nops"),"")</f>
        <v>nops</v>
      </c>
      <c r="T334" s="32"/>
    </row>
    <row r="335" spans="1:20" ht="20.100000000000001" customHeight="1" x14ac:dyDescent="0.25">
      <c r="A335" s="22" t="s">
        <v>25</v>
      </c>
      <c r="B335" s="20">
        <v>332</v>
      </c>
      <c r="C335" s="60">
        <f>IF(COUNTBLANK(H334)=1,(C334*'Config.'!$D$12)+C334,(H334*'Config.'!$D$12)+H334)</f>
        <v>1088.3186891704017</v>
      </c>
      <c r="D335" s="60">
        <f t="shared" si="27"/>
        <v>10.775432566043492</v>
      </c>
      <c r="E335" s="59">
        <v>0.8</v>
      </c>
      <c r="F335" s="61">
        <f t="shared" si="25"/>
        <v>2.6938581415108729</v>
      </c>
      <c r="G335" s="12" t="str">
        <f>IF(COUNTBLANK(H335)=1,IF(C335&lt;='Config.'!$D$10,"meta","nops"),"")</f>
        <v>nops</v>
      </c>
      <c r="H335" s="62"/>
      <c r="I335" s="63" t="str">
        <f t="shared" si="28"/>
        <v/>
      </c>
      <c r="J335" s="63" t="str">
        <f t="shared" si="26"/>
        <v/>
      </c>
      <c r="K335" s="54" t="str">
        <f t="shared" si="29"/>
        <v/>
      </c>
      <c r="R335" s="27">
        <f>IF(COUNTBLANK(T334)=1,(R334*'Config.'!$D$12)+R334,(T334*'Config.'!$D$12)+T334)</f>
        <v>1088.3186891704017</v>
      </c>
      <c r="S335" s="28" t="str">
        <f>IF(COUNTBLANK(T335)=1,IF(R335&lt;='Config.'!$D$10,"meta","nops"),"")</f>
        <v>nops</v>
      </c>
      <c r="T335" s="32"/>
    </row>
    <row r="336" spans="1:20" ht="20.100000000000001" customHeight="1" x14ac:dyDescent="0.25">
      <c r="A336" s="22" t="s">
        <v>25</v>
      </c>
      <c r="B336" s="20">
        <v>333</v>
      </c>
      <c r="C336" s="60">
        <f>IF(COUNTBLANK(H335)=1,(C335*'Config.'!$D$12)+C335,(H335*'Config.'!$D$12)+H335)</f>
        <v>1099.2018760621058</v>
      </c>
      <c r="D336" s="60">
        <f t="shared" si="27"/>
        <v>10.883186891704099</v>
      </c>
      <c r="E336" s="59">
        <v>0.8</v>
      </c>
      <c r="F336" s="61">
        <f t="shared" si="25"/>
        <v>2.7207967229260248</v>
      </c>
      <c r="G336" s="12" t="str">
        <f>IF(COUNTBLANK(H336)=1,IF(C336&lt;='Config.'!$D$10,"meta","nops"),"")</f>
        <v>nops</v>
      </c>
      <c r="H336" s="62"/>
      <c r="I336" s="63" t="str">
        <f t="shared" si="28"/>
        <v/>
      </c>
      <c r="J336" s="63" t="str">
        <f t="shared" si="26"/>
        <v/>
      </c>
      <c r="K336" s="54" t="str">
        <f t="shared" si="29"/>
        <v/>
      </c>
      <c r="R336" s="27">
        <f>IF(COUNTBLANK(T335)=1,(R335*'Config.'!$D$12)+R335,(T335*'Config.'!$D$12)+T335)</f>
        <v>1099.2018760621058</v>
      </c>
      <c r="S336" s="28" t="str">
        <f>IF(COUNTBLANK(T336)=1,IF(R336&lt;='Config.'!$D$10,"meta","nops"),"")</f>
        <v>nops</v>
      </c>
      <c r="T336" s="32"/>
    </row>
    <row r="337" spans="1:20" ht="20.100000000000001" customHeight="1" x14ac:dyDescent="0.25">
      <c r="A337" s="22" t="s">
        <v>25</v>
      </c>
      <c r="B337" s="20">
        <v>334</v>
      </c>
      <c r="C337" s="60">
        <f>IF(COUNTBLANK(H336)=1,(C336*'Config.'!$D$12)+C336,(H336*'Config.'!$D$12)+H336)</f>
        <v>1110.1938948227269</v>
      </c>
      <c r="D337" s="60">
        <f t="shared" si="27"/>
        <v>10.992018760621022</v>
      </c>
      <c r="E337" s="59">
        <v>0.8</v>
      </c>
      <c r="F337" s="61">
        <f t="shared" si="25"/>
        <v>2.7480046901552555</v>
      </c>
      <c r="G337" s="12" t="str">
        <f>IF(COUNTBLANK(H337)=1,IF(C337&lt;='Config.'!$D$10,"meta","nops"),"")</f>
        <v>nops</v>
      </c>
      <c r="H337" s="62"/>
      <c r="I337" s="63" t="str">
        <f t="shared" si="28"/>
        <v/>
      </c>
      <c r="J337" s="63" t="str">
        <f t="shared" si="26"/>
        <v/>
      </c>
      <c r="K337" s="54" t="str">
        <f t="shared" si="29"/>
        <v/>
      </c>
      <c r="R337" s="27">
        <f>IF(COUNTBLANK(T336)=1,(R336*'Config.'!$D$12)+R336,(T336*'Config.'!$D$12)+T336)</f>
        <v>1110.1938948227269</v>
      </c>
      <c r="S337" s="28" t="str">
        <f>IF(COUNTBLANK(T337)=1,IF(R337&lt;='Config.'!$D$10,"meta","nops"),"")</f>
        <v>nops</v>
      </c>
      <c r="T337" s="32"/>
    </row>
    <row r="338" spans="1:20" ht="20.100000000000001" customHeight="1" x14ac:dyDescent="0.25">
      <c r="A338" s="22" t="s">
        <v>25</v>
      </c>
      <c r="B338" s="20">
        <v>335</v>
      </c>
      <c r="C338" s="60">
        <f>IF(COUNTBLANK(H337)=1,(C337*'Config.'!$D$12)+C337,(H337*'Config.'!$D$12)+H337)</f>
        <v>1121.2958337709542</v>
      </c>
      <c r="D338" s="60">
        <f t="shared" si="27"/>
        <v>11.101938948227371</v>
      </c>
      <c r="E338" s="59">
        <v>0.8</v>
      </c>
      <c r="F338" s="61">
        <f t="shared" si="25"/>
        <v>2.7754847370568427</v>
      </c>
      <c r="G338" s="12" t="str">
        <f>IF(COUNTBLANK(H338)=1,IF(C338&lt;='Config.'!$D$10,"meta","nops"),"")</f>
        <v>nops</v>
      </c>
      <c r="H338" s="62"/>
      <c r="I338" s="63" t="str">
        <f t="shared" si="28"/>
        <v/>
      </c>
      <c r="J338" s="63" t="str">
        <f t="shared" si="26"/>
        <v/>
      </c>
      <c r="K338" s="54" t="str">
        <f t="shared" si="29"/>
        <v/>
      </c>
      <c r="R338" s="27">
        <f>IF(COUNTBLANK(T337)=1,(R337*'Config.'!$D$12)+R337,(T337*'Config.'!$D$12)+T337)</f>
        <v>1121.2958337709542</v>
      </c>
      <c r="S338" s="28" t="str">
        <f>IF(COUNTBLANK(T338)=1,IF(R338&lt;='Config.'!$D$10,"meta","nops"),"")</f>
        <v>nops</v>
      </c>
      <c r="T338" s="32"/>
    </row>
    <row r="339" spans="1:20" ht="20.100000000000001" customHeight="1" x14ac:dyDescent="0.25">
      <c r="A339" s="22" t="s">
        <v>25</v>
      </c>
      <c r="B339" s="20">
        <v>336</v>
      </c>
      <c r="C339" s="60">
        <f>IF(COUNTBLANK(H338)=1,(C338*'Config.'!$D$12)+C338,(H338*'Config.'!$D$12)+H338)</f>
        <v>1132.5087921086638</v>
      </c>
      <c r="D339" s="60">
        <f t="shared" si="27"/>
        <v>11.212958337709551</v>
      </c>
      <c r="E339" s="59">
        <v>0.8</v>
      </c>
      <c r="F339" s="61">
        <f t="shared" si="25"/>
        <v>2.8032395844273879</v>
      </c>
      <c r="G339" s="12" t="str">
        <f>IF(COUNTBLANK(H339)=1,IF(C339&lt;='Config.'!$D$10,"meta","nops"),"")</f>
        <v>nops</v>
      </c>
      <c r="H339" s="62"/>
      <c r="I339" s="63" t="str">
        <f t="shared" si="28"/>
        <v/>
      </c>
      <c r="J339" s="63" t="str">
        <f t="shared" si="26"/>
        <v/>
      </c>
      <c r="K339" s="54" t="str">
        <f t="shared" si="29"/>
        <v/>
      </c>
      <c r="R339" s="27">
        <f>IF(COUNTBLANK(T338)=1,(R338*'Config.'!$D$12)+R338,(T338*'Config.'!$D$12)+T338)</f>
        <v>1132.5087921086638</v>
      </c>
      <c r="S339" s="28" t="str">
        <f>IF(COUNTBLANK(T339)=1,IF(R339&lt;='Config.'!$D$10,"meta","nops"),"")</f>
        <v>nops</v>
      </c>
      <c r="T339" s="32"/>
    </row>
    <row r="340" spans="1:20" ht="20.100000000000001" customHeight="1" x14ac:dyDescent="0.25">
      <c r="A340" s="22" t="s">
        <v>25</v>
      </c>
      <c r="B340" s="20">
        <v>337</v>
      </c>
      <c r="C340" s="60">
        <f>IF(COUNTBLANK(H339)=1,(C339*'Config.'!$D$12)+C339,(H339*'Config.'!$D$12)+H339)</f>
        <v>1143.8338800297504</v>
      </c>
      <c r="D340" s="60">
        <f t="shared" si="27"/>
        <v>11.325087921086606</v>
      </c>
      <c r="E340" s="59">
        <v>0.8</v>
      </c>
      <c r="F340" s="61">
        <f t="shared" si="25"/>
        <v>2.8312719802716515</v>
      </c>
      <c r="G340" s="12" t="str">
        <f>IF(COUNTBLANK(H340)=1,IF(C340&lt;='Config.'!$D$10,"meta","nops"),"")</f>
        <v>nops</v>
      </c>
      <c r="H340" s="62"/>
      <c r="I340" s="63" t="str">
        <f t="shared" si="28"/>
        <v/>
      </c>
      <c r="J340" s="63" t="str">
        <f t="shared" si="26"/>
        <v/>
      </c>
      <c r="K340" s="54" t="str">
        <f t="shared" si="29"/>
        <v/>
      </c>
      <c r="R340" s="27">
        <f>IF(COUNTBLANK(T339)=1,(R339*'Config.'!$D$12)+R339,(T339*'Config.'!$D$12)+T339)</f>
        <v>1143.8338800297504</v>
      </c>
      <c r="S340" s="28" t="str">
        <f>IF(COUNTBLANK(T340)=1,IF(R340&lt;='Config.'!$D$10,"meta","nops"),"")</f>
        <v>nops</v>
      </c>
      <c r="T340" s="32"/>
    </row>
    <row r="341" spans="1:20" ht="20.100000000000001" customHeight="1" x14ac:dyDescent="0.25">
      <c r="A341" s="22" t="s">
        <v>25</v>
      </c>
      <c r="B341" s="20">
        <v>338</v>
      </c>
      <c r="C341" s="60">
        <f>IF(COUNTBLANK(H340)=1,(C340*'Config.'!$D$12)+C340,(H340*'Config.'!$D$12)+H340)</f>
        <v>1155.2722188300479</v>
      </c>
      <c r="D341" s="60">
        <f t="shared" si="27"/>
        <v>11.438338800297515</v>
      </c>
      <c r="E341" s="59">
        <v>0.8</v>
      </c>
      <c r="F341" s="61">
        <f t="shared" si="25"/>
        <v>2.8595847000743788</v>
      </c>
      <c r="G341" s="12" t="str">
        <f>IF(COUNTBLANK(H341)=1,IF(C341&lt;='Config.'!$D$10,"meta","nops"),"")</f>
        <v>nops</v>
      </c>
      <c r="H341" s="62"/>
      <c r="I341" s="63" t="str">
        <f t="shared" si="28"/>
        <v/>
      </c>
      <c r="J341" s="63" t="str">
        <f t="shared" si="26"/>
        <v/>
      </c>
      <c r="K341" s="54" t="str">
        <f t="shared" si="29"/>
        <v/>
      </c>
      <c r="R341" s="27">
        <f>IF(COUNTBLANK(T340)=1,(R340*'Config.'!$D$12)+R340,(T340*'Config.'!$D$12)+T340)</f>
        <v>1155.2722188300479</v>
      </c>
      <c r="S341" s="28" t="str">
        <f>IF(COUNTBLANK(T341)=1,IF(R341&lt;='Config.'!$D$10,"meta","nops"),"")</f>
        <v>nops</v>
      </c>
      <c r="T341" s="32"/>
    </row>
    <row r="342" spans="1:20" ht="20.100000000000001" customHeight="1" x14ac:dyDescent="0.25">
      <c r="A342" s="22" t="s">
        <v>25</v>
      </c>
      <c r="B342" s="20">
        <v>339</v>
      </c>
      <c r="C342" s="60">
        <f>IF(COUNTBLANK(H341)=1,(C341*'Config.'!$D$12)+C341,(H341*'Config.'!$D$12)+H341)</f>
        <v>1166.8249410183485</v>
      </c>
      <c r="D342" s="60">
        <f t="shared" si="27"/>
        <v>11.55272218830055</v>
      </c>
      <c r="E342" s="59">
        <v>0.8</v>
      </c>
      <c r="F342" s="61">
        <f t="shared" si="25"/>
        <v>2.8881805470751374</v>
      </c>
      <c r="G342" s="12" t="str">
        <f>IF(COUNTBLANK(H342)=1,IF(C342&lt;='Config.'!$D$10,"meta","nops"),"")</f>
        <v>nops</v>
      </c>
      <c r="H342" s="62"/>
      <c r="I342" s="63" t="str">
        <f t="shared" si="28"/>
        <v/>
      </c>
      <c r="J342" s="63" t="str">
        <f t="shared" si="26"/>
        <v/>
      </c>
      <c r="K342" s="54" t="str">
        <f t="shared" si="29"/>
        <v/>
      </c>
      <c r="R342" s="27">
        <f>IF(COUNTBLANK(T341)=1,(R341*'Config.'!$D$12)+R341,(T341*'Config.'!$D$12)+T341)</f>
        <v>1166.8249410183485</v>
      </c>
      <c r="S342" s="28" t="str">
        <f>IF(COUNTBLANK(T342)=1,IF(R342&lt;='Config.'!$D$10,"meta","nops"),"")</f>
        <v>nops</v>
      </c>
      <c r="T342" s="32"/>
    </row>
    <row r="343" spans="1:20" ht="20.100000000000001" customHeight="1" x14ac:dyDescent="0.25">
      <c r="A343" s="22" t="s">
        <v>25</v>
      </c>
      <c r="B343" s="20">
        <v>340</v>
      </c>
      <c r="C343" s="60">
        <f>IF(COUNTBLANK(H342)=1,(C342*'Config.'!$D$12)+C342,(H342*'Config.'!$D$12)+H342)</f>
        <v>1178.493190428532</v>
      </c>
      <c r="D343" s="60">
        <f t="shared" si="27"/>
        <v>11.668249410183535</v>
      </c>
      <c r="E343" s="59">
        <v>0.8</v>
      </c>
      <c r="F343" s="61">
        <f t="shared" si="25"/>
        <v>2.9170623525458836</v>
      </c>
      <c r="G343" s="12" t="str">
        <f>IF(COUNTBLANK(H343)=1,IF(C343&lt;='Config.'!$D$10,"meta","nops"),"")</f>
        <v>nops</v>
      </c>
      <c r="H343" s="62"/>
      <c r="I343" s="63" t="str">
        <f t="shared" si="28"/>
        <v/>
      </c>
      <c r="J343" s="63" t="str">
        <f t="shared" si="26"/>
        <v/>
      </c>
      <c r="K343" s="54" t="str">
        <f t="shared" si="29"/>
        <v/>
      </c>
      <c r="R343" s="27">
        <f>IF(COUNTBLANK(T342)=1,(R342*'Config.'!$D$12)+R342,(T342*'Config.'!$D$12)+T342)</f>
        <v>1178.493190428532</v>
      </c>
      <c r="S343" s="28" t="str">
        <f>IF(COUNTBLANK(T343)=1,IF(R343&lt;='Config.'!$D$10,"meta","nops"),"")</f>
        <v>nops</v>
      </c>
      <c r="T343" s="32"/>
    </row>
    <row r="344" spans="1:20" ht="20.100000000000001" customHeight="1" x14ac:dyDescent="0.25">
      <c r="A344" s="22" t="s">
        <v>25</v>
      </c>
      <c r="B344" s="20">
        <v>341</v>
      </c>
      <c r="C344" s="60">
        <f>IF(COUNTBLANK(H343)=1,(C343*'Config.'!$D$12)+C343,(H343*'Config.'!$D$12)+H343)</f>
        <v>1190.2781223328172</v>
      </c>
      <c r="D344" s="60">
        <f t="shared" si="27"/>
        <v>11.784931904285258</v>
      </c>
      <c r="E344" s="59">
        <v>0.8</v>
      </c>
      <c r="F344" s="61">
        <f t="shared" si="25"/>
        <v>2.9462329760713146</v>
      </c>
      <c r="G344" s="12" t="str">
        <f>IF(COUNTBLANK(H344)=1,IF(C344&lt;='Config.'!$D$10,"meta","nops"),"")</f>
        <v>nops</v>
      </c>
      <c r="H344" s="62"/>
      <c r="I344" s="63" t="str">
        <f t="shared" si="28"/>
        <v/>
      </c>
      <c r="J344" s="63" t="str">
        <f t="shared" si="26"/>
        <v/>
      </c>
      <c r="K344" s="54" t="str">
        <f t="shared" si="29"/>
        <v/>
      </c>
      <c r="R344" s="27">
        <f>IF(COUNTBLANK(T343)=1,(R343*'Config.'!$D$12)+R343,(T343*'Config.'!$D$12)+T343)</f>
        <v>1190.2781223328172</v>
      </c>
      <c r="S344" s="28" t="str">
        <f>IF(COUNTBLANK(T344)=1,IF(R344&lt;='Config.'!$D$10,"meta","nops"),"")</f>
        <v>nops</v>
      </c>
      <c r="T344" s="32"/>
    </row>
    <row r="345" spans="1:20" ht="20.100000000000001" customHeight="1" x14ac:dyDescent="0.25">
      <c r="A345" s="22" t="s">
        <v>25</v>
      </c>
      <c r="B345" s="20">
        <v>342</v>
      </c>
      <c r="C345" s="60">
        <f>IF(COUNTBLANK(H344)=1,(C344*'Config.'!$D$12)+C344,(H344*'Config.'!$D$12)+H344)</f>
        <v>1202.1809035561455</v>
      </c>
      <c r="D345" s="60">
        <f t="shared" si="27"/>
        <v>11.902781223328248</v>
      </c>
      <c r="E345" s="59">
        <v>0.8</v>
      </c>
      <c r="F345" s="61">
        <f t="shared" si="25"/>
        <v>2.9756953058320619</v>
      </c>
      <c r="G345" s="12" t="str">
        <f>IF(COUNTBLANK(H345)=1,IF(C345&lt;='Config.'!$D$10,"meta","nops"),"")</f>
        <v>nops</v>
      </c>
      <c r="H345" s="62"/>
      <c r="I345" s="63" t="str">
        <f t="shared" si="28"/>
        <v/>
      </c>
      <c r="J345" s="63" t="str">
        <f t="shared" si="26"/>
        <v/>
      </c>
      <c r="K345" s="54" t="str">
        <f t="shared" si="29"/>
        <v/>
      </c>
      <c r="R345" s="27">
        <f>IF(COUNTBLANK(T344)=1,(R344*'Config.'!$D$12)+R344,(T344*'Config.'!$D$12)+T344)</f>
        <v>1202.1809035561455</v>
      </c>
      <c r="S345" s="28" t="str">
        <f>IF(COUNTBLANK(T345)=1,IF(R345&lt;='Config.'!$D$10,"meta","nops"),"")</f>
        <v>nops</v>
      </c>
      <c r="T345" s="32"/>
    </row>
    <row r="346" spans="1:20" ht="20.100000000000001" customHeight="1" x14ac:dyDescent="0.25">
      <c r="A346" s="22" t="s">
        <v>25</v>
      </c>
      <c r="B346" s="20">
        <v>343</v>
      </c>
      <c r="C346" s="60">
        <f>IF(COUNTBLANK(H345)=1,(C345*'Config.'!$D$12)+C345,(H345*'Config.'!$D$12)+H345)</f>
        <v>1214.202712591707</v>
      </c>
      <c r="D346" s="60">
        <f t="shared" si="27"/>
        <v>12.021809035561546</v>
      </c>
      <c r="E346" s="59">
        <v>0.8</v>
      </c>
      <c r="F346" s="61">
        <f t="shared" si="25"/>
        <v>3.0054522588903865</v>
      </c>
      <c r="G346" s="12" t="str">
        <f>IF(COUNTBLANK(H346)=1,IF(C346&lt;='Config.'!$D$10,"meta","nops"),"")</f>
        <v>nops</v>
      </c>
      <c r="H346" s="62"/>
      <c r="I346" s="63" t="str">
        <f t="shared" si="28"/>
        <v/>
      </c>
      <c r="J346" s="63" t="str">
        <f t="shared" si="26"/>
        <v/>
      </c>
      <c r="K346" s="54" t="str">
        <f t="shared" si="29"/>
        <v/>
      </c>
      <c r="R346" s="27">
        <f>IF(COUNTBLANK(T345)=1,(R345*'Config.'!$D$12)+R345,(T345*'Config.'!$D$12)+T345)</f>
        <v>1214.202712591707</v>
      </c>
      <c r="S346" s="28" t="str">
        <f>IF(COUNTBLANK(T346)=1,IF(R346&lt;='Config.'!$D$10,"meta","nops"),"")</f>
        <v>nops</v>
      </c>
      <c r="T346" s="32"/>
    </row>
    <row r="347" spans="1:20" ht="20.100000000000001" customHeight="1" x14ac:dyDescent="0.25">
      <c r="A347" s="22" t="s">
        <v>25</v>
      </c>
      <c r="B347" s="20">
        <v>344</v>
      </c>
      <c r="C347" s="60">
        <f>IF(COUNTBLANK(H346)=1,(C346*'Config.'!$D$12)+C346,(H346*'Config.'!$D$12)+H346)</f>
        <v>1226.3447397176242</v>
      </c>
      <c r="D347" s="60">
        <f t="shared" si="27"/>
        <v>12.142027125917139</v>
      </c>
      <c r="E347" s="59">
        <v>0.8</v>
      </c>
      <c r="F347" s="61">
        <f t="shared" si="25"/>
        <v>3.0355067814792847</v>
      </c>
      <c r="G347" s="12" t="str">
        <f>IF(COUNTBLANK(H347)=1,IF(C347&lt;='Config.'!$D$10,"meta","nops"),"")</f>
        <v>nops</v>
      </c>
      <c r="H347" s="62"/>
      <c r="I347" s="63" t="str">
        <f t="shared" si="28"/>
        <v/>
      </c>
      <c r="J347" s="63" t="str">
        <f t="shared" si="26"/>
        <v/>
      </c>
      <c r="K347" s="54" t="str">
        <f t="shared" si="29"/>
        <v/>
      </c>
      <c r="R347" s="27">
        <f>IF(COUNTBLANK(T346)=1,(R346*'Config.'!$D$12)+R346,(T346*'Config.'!$D$12)+T346)</f>
        <v>1226.3447397176242</v>
      </c>
      <c r="S347" s="28" t="str">
        <f>IF(COUNTBLANK(T347)=1,IF(R347&lt;='Config.'!$D$10,"meta","nops"),"")</f>
        <v>nops</v>
      </c>
      <c r="T347" s="32"/>
    </row>
    <row r="348" spans="1:20" ht="20.100000000000001" customHeight="1" x14ac:dyDescent="0.25">
      <c r="A348" s="22" t="s">
        <v>25</v>
      </c>
      <c r="B348" s="20">
        <v>345</v>
      </c>
      <c r="C348" s="60">
        <f>IF(COUNTBLANK(H347)=1,(C347*'Config.'!$D$12)+C347,(H347*'Config.'!$D$12)+H347)</f>
        <v>1238.6081871148003</v>
      </c>
      <c r="D348" s="60">
        <f t="shared" si="27"/>
        <v>12.263447397176151</v>
      </c>
      <c r="E348" s="59">
        <v>0.8</v>
      </c>
      <c r="F348" s="61">
        <f t="shared" si="25"/>
        <v>3.0658618492940377</v>
      </c>
      <c r="G348" s="12" t="str">
        <f>IF(COUNTBLANK(H348)=1,IF(C348&lt;='Config.'!$D$10,"meta","nops"),"")</f>
        <v>nops</v>
      </c>
      <c r="H348" s="62"/>
      <c r="I348" s="63" t="str">
        <f t="shared" si="28"/>
        <v/>
      </c>
      <c r="J348" s="63" t="str">
        <f t="shared" si="26"/>
        <v/>
      </c>
      <c r="K348" s="54" t="str">
        <f t="shared" si="29"/>
        <v/>
      </c>
      <c r="R348" s="27">
        <f>IF(COUNTBLANK(T347)=1,(R347*'Config.'!$D$12)+R347,(T347*'Config.'!$D$12)+T347)</f>
        <v>1238.6081871148003</v>
      </c>
      <c r="S348" s="28" t="str">
        <f>IF(COUNTBLANK(T348)=1,IF(R348&lt;='Config.'!$D$10,"meta","nops"),"")</f>
        <v>nops</v>
      </c>
      <c r="T348" s="32"/>
    </row>
    <row r="349" spans="1:20" ht="20.100000000000001" customHeight="1" x14ac:dyDescent="0.25">
      <c r="A349" s="22" t="s">
        <v>25</v>
      </c>
      <c r="B349" s="20">
        <v>346</v>
      </c>
      <c r="C349" s="60">
        <f>IF(COUNTBLANK(H348)=1,(C348*'Config.'!$D$12)+C348,(H348*'Config.'!$D$12)+H348)</f>
        <v>1250.9942689859483</v>
      </c>
      <c r="D349" s="60">
        <f t="shared" si="27"/>
        <v>12.386081871148008</v>
      </c>
      <c r="E349" s="59">
        <v>0.8</v>
      </c>
      <c r="F349" s="61">
        <f t="shared" si="25"/>
        <v>3.096520467787002</v>
      </c>
      <c r="G349" s="12" t="str">
        <f>IF(COUNTBLANK(H349)=1,IF(C349&lt;='Config.'!$D$10,"meta","nops"),"")</f>
        <v>nops</v>
      </c>
      <c r="H349" s="62"/>
      <c r="I349" s="63" t="str">
        <f t="shared" si="28"/>
        <v/>
      </c>
      <c r="J349" s="63" t="str">
        <f t="shared" si="26"/>
        <v/>
      </c>
      <c r="K349" s="54" t="str">
        <f t="shared" si="29"/>
        <v/>
      </c>
      <c r="R349" s="27">
        <f>IF(COUNTBLANK(T348)=1,(R348*'Config.'!$D$12)+R348,(T348*'Config.'!$D$12)+T348)</f>
        <v>1250.9942689859483</v>
      </c>
      <c r="S349" s="28" t="str">
        <f>IF(COUNTBLANK(T349)=1,IF(R349&lt;='Config.'!$D$10,"meta","nops"),"")</f>
        <v>nops</v>
      </c>
      <c r="T349" s="32"/>
    </row>
    <row r="350" spans="1:20" ht="20.100000000000001" customHeight="1" x14ac:dyDescent="0.25">
      <c r="A350" s="22" t="s">
        <v>25</v>
      </c>
      <c r="B350" s="20">
        <v>347</v>
      </c>
      <c r="C350" s="60">
        <f>IF(COUNTBLANK(H349)=1,(C349*'Config.'!$D$12)+C349,(H349*'Config.'!$D$12)+H349)</f>
        <v>1263.5042116758077</v>
      </c>
      <c r="D350" s="60">
        <f t="shared" si="27"/>
        <v>12.509942689859372</v>
      </c>
      <c r="E350" s="59">
        <v>0.8</v>
      </c>
      <c r="F350" s="61">
        <f t="shared" si="25"/>
        <v>3.127485672464843</v>
      </c>
      <c r="G350" s="12" t="str">
        <f>IF(COUNTBLANK(H350)=1,IF(C350&lt;='Config.'!$D$10,"meta","nops"),"")</f>
        <v>nops</v>
      </c>
      <c r="H350" s="62"/>
      <c r="I350" s="63" t="str">
        <f t="shared" si="28"/>
        <v/>
      </c>
      <c r="J350" s="63" t="str">
        <f t="shared" si="26"/>
        <v/>
      </c>
      <c r="K350" s="54" t="str">
        <f t="shared" si="29"/>
        <v/>
      </c>
      <c r="R350" s="27">
        <f>IF(COUNTBLANK(T349)=1,(R349*'Config.'!$D$12)+R349,(T349*'Config.'!$D$12)+T349)</f>
        <v>1263.5042116758077</v>
      </c>
      <c r="S350" s="28" t="str">
        <f>IF(COUNTBLANK(T350)=1,IF(R350&lt;='Config.'!$D$10,"meta","nops"),"")</f>
        <v>nops</v>
      </c>
      <c r="T350" s="32"/>
    </row>
    <row r="351" spans="1:20" ht="20.100000000000001" customHeight="1" x14ac:dyDescent="0.25">
      <c r="A351" s="22" t="s">
        <v>25</v>
      </c>
      <c r="B351" s="20">
        <v>348</v>
      </c>
      <c r="C351" s="60">
        <f>IF(COUNTBLANK(H350)=1,(C350*'Config.'!$D$12)+C350,(H350*'Config.'!$D$12)+H350)</f>
        <v>1276.1392537925658</v>
      </c>
      <c r="D351" s="60">
        <f t="shared" si="27"/>
        <v>12.635042116758086</v>
      </c>
      <c r="E351" s="59">
        <v>0.8</v>
      </c>
      <c r="F351" s="61">
        <f t="shared" si="25"/>
        <v>3.1587605291895215</v>
      </c>
      <c r="G351" s="12" t="str">
        <f>IF(COUNTBLANK(H351)=1,IF(C351&lt;='Config.'!$D$10,"meta","nops"),"")</f>
        <v>nops</v>
      </c>
      <c r="H351" s="62"/>
      <c r="I351" s="63" t="str">
        <f t="shared" si="28"/>
        <v/>
      </c>
      <c r="J351" s="63" t="str">
        <f t="shared" si="26"/>
        <v/>
      </c>
      <c r="K351" s="54" t="str">
        <f t="shared" si="29"/>
        <v/>
      </c>
      <c r="R351" s="27">
        <f>IF(COUNTBLANK(T350)=1,(R350*'Config.'!$D$12)+R350,(T350*'Config.'!$D$12)+T350)</f>
        <v>1276.1392537925658</v>
      </c>
      <c r="S351" s="28" t="str">
        <f>IF(COUNTBLANK(T351)=1,IF(R351&lt;='Config.'!$D$10,"meta","nops"),"")</f>
        <v>nops</v>
      </c>
      <c r="T351" s="32"/>
    </row>
    <row r="352" spans="1:20" ht="20.100000000000001" customHeight="1" x14ac:dyDescent="0.25">
      <c r="A352" s="22" t="s">
        <v>25</v>
      </c>
      <c r="B352" s="20">
        <v>349</v>
      </c>
      <c r="C352" s="60">
        <f>IF(COUNTBLANK(H351)=1,(C351*'Config.'!$D$12)+C351,(H351*'Config.'!$D$12)+H351)</f>
        <v>1288.9006463304916</v>
      </c>
      <c r="D352" s="60">
        <f t="shared" si="27"/>
        <v>12.761392537925758</v>
      </c>
      <c r="E352" s="59">
        <v>0.8</v>
      </c>
      <c r="F352" s="61">
        <f t="shared" si="25"/>
        <v>3.1903481344814395</v>
      </c>
      <c r="G352" s="12" t="str">
        <f>IF(COUNTBLANK(H352)=1,IF(C352&lt;='Config.'!$D$10,"meta","nops"),"")</f>
        <v>nops</v>
      </c>
      <c r="H352" s="62"/>
      <c r="I352" s="63" t="str">
        <f t="shared" si="28"/>
        <v/>
      </c>
      <c r="J352" s="63" t="str">
        <f t="shared" si="26"/>
        <v/>
      </c>
      <c r="K352" s="54" t="str">
        <f t="shared" si="29"/>
        <v/>
      </c>
      <c r="R352" s="27">
        <f>IF(COUNTBLANK(T351)=1,(R351*'Config.'!$D$12)+R351,(T351*'Config.'!$D$12)+T351)</f>
        <v>1288.9006463304916</v>
      </c>
      <c r="S352" s="28" t="str">
        <f>IF(COUNTBLANK(T352)=1,IF(R352&lt;='Config.'!$D$10,"meta","nops"),"")</f>
        <v>nops</v>
      </c>
      <c r="T352" s="32"/>
    </row>
    <row r="353" spans="1:20" ht="20.100000000000001" customHeight="1" x14ac:dyDescent="0.25">
      <c r="A353" s="22" t="s">
        <v>25</v>
      </c>
      <c r="B353" s="20">
        <v>350</v>
      </c>
      <c r="C353" s="60">
        <f>IF(COUNTBLANK(H352)=1,(C352*'Config.'!$D$12)+C352,(H352*'Config.'!$D$12)+H352)</f>
        <v>1301.7896527937964</v>
      </c>
      <c r="D353" s="60">
        <f t="shared" si="27"/>
        <v>12.889006463304895</v>
      </c>
      <c r="E353" s="59">
        <v>0.8</v>
      </c>
      <c r="F353" s="61">
        <f t="shared" si="25"/>
        <v>3.2222516158262238</v>
      </c>
      <c r="G353" s="12" t="str">
        <f>IF(COUNTBLANK(H353)=1,IF(C353&lt;='Config.'!$D$10,"meta","nops"),"")</f>
        <v>nops</v>
      </c>
      <c r="H353" s="62"/>
      <c r="I353" s="63" t="str">
        <f t="shared" si="28"/>
        <v/>
      </c>
      <c r="J353" s="63" t="str">
        <f t="shared" si="26"/>
        <v/>
      </c>
      <c r="K353" s="54" t="str">
        <f t="shared" si="29"/>
        <v/>
      </c>
      <c r="R353" s="27">
        <f>IF(COUNTBLANK(T352)=1,(R352*'Config.'!$D$12)+R352,(T352*'Config.'!$D$12)+T352)</f>
        <v>1301.7896527937964</v>
      </c>
      <c r="S353" s="28" t="str">
        <f>IF(COUNTBLANK(T353)=1,IF(R353&lt;='Config.'!$D$10,"meta","nops"),"")</f>
        <v>nops</v>
      </c>
      <c r="T353" s="32"/>
    </row>
    <row r="354" spans="1:20" ht="20.100000000000001" customHeight="1" x14ac:dyDescent="0.25">
      <c r="A354" s="22" t="s">
        <v>25</v>
      </c>
      <c r="B354" s="20">
        <v>351</v>
      </c>
      <c r="C354" s="60">
        <f>IF(COUNTBLANK(H353)=1,(C353*'Config.'!$D$12)+C353,(H353*'Config.'!$D$12)+H353)</f>
        <v>1314.8075493217343</v>
      </c>
      <c r="D354" s="60">
        <f t="shared" si="27"/>
        <v>13.017896527937864</v>
      </c>
      <c r="E354" s="59">
        <v>0.8</v>
      </c>
      <c r="F354" s="61">
        <f t="shared" si="25"/>
        <v>3.2544741319844661</v>
      </c>
      <c r="G354" s="12" t="str">
        <f>IF(COUNTBLANK(H354)=1,IF(C354&lt;='Config.'!$D$10,"meta","nops"),"")</f>
        <v>nops</v>
      </c>
      <c r="H354" s="62"/>
      <c r="I354" s="63" t="str">
        <f t="shared" si="28"/>
        <v/>
      </c>
      <c r="J354" s="63" t="str">
        <f t="shared" si="26"/>
        <v/>
      </c>
      <c r="K354" s="54" t="str">
        <f t="shared" si="29"/>
        <v/>
      </c>
      <c r="R354" s="27">
        <f>IF(COUNTBLANK(T353)=1,(R353*'Config.'!$D$12)+R353,(T353*'Config.'!$D$12)+T353)</f>
        <v>1314.8075493217343</v>
      </c>
      <c r="S354" s="28" t="str">
        <f>IF(COUNTBLANK(T354)=1,IF(R354&lt;='Config.'!$D$10,"meta","nops"),"")</f>
        <v>nops</v>
      </c>
      <c r="T354" s="32"/>
    </row>
    <row r="355" spans="1:20" ht="20.100000000000001" customHeight="1" x14ac:dyDescent="0.25">
      <c r="A355" s="22" t="s">
        <v>25</v>
      </c>
      <c r="B355" s="20">
        <v>352</v>
      </c>
      <c r="C355" s="60">
        <f>IF(COUNTBLANK(H354)=1,(C354*'Config.'!$D$12)+C354,(H354*'Config.'!$D$12)+H354)</f>
        <v>1327.9556248149518</v>
      </c>
      <c r="D355" s="60">
        <f t="shared" si="27"/>
        <v>13.148075493217448</v>
      </c>
      <c r="E355" s="59">
        <v>0.8</v>
      </c>
      <c r="F355" s="61">
        <f t="shared" si="25"/>
        <v>3.2870188733043619</v>
      </c>
      <c r="G355" s="12" t="str">
        <f>IF(COUNTBLANK(H355)=1,IF(C355&lt;='Config.'!$D$10,"meta","nops"),"")</f>
        <v>nops</v>
      </c>
      <c r="H355" s="62"/>
      <c r="I355" s="63" t="str">
        <f t="shared" si="28"/>
        <v/>
      </c>
      <c r="J355" s="63" t="str">
        <f t="shared" si="26"/>
        <v/>
      </c>
      <c r="K355" s="54" t="str">
        <f t="shared" si="29"/>
        <v/>
      </c>
      <c r="R355" s="27">
        <f>IF(COUNTBLANK(T354)=1,(R354*'Config.'!$D$12)+R354,(T354*'Config.'!$D$12)+T354)</f>
        <v>1327.9556248149518</v>
      </c>
      <c r="S355" s="28" t="str">
        <f>IF(COUNTBLANK(T355)=1,IF(R355&lt;='Config.'!$D$10,"meta","nops"),"")</f>
        <v>nops</v>
      </c>
      <c r="T355" s="32"/>
    </row>
    <row r="356" spans="1:20" ht="20.100000000000001" customHeight="1" x14ac:dyDescent="0.25">
      <c r="A356" s="22" t="s">
        <v>25</v>
      </c>
      <c r="B356" s="20">
        <v>353</v>
      </c>
      <c r="C356" s="60">
        <f>IF(COUNTBLANK(H355)=1,(C355*'Config.'!$D$12)+C355,(H355*'Config.'!$D$12)+H355)</f>
        <v>1341.2351810631012</v>
      </c>
      <c r="D356" s="60">
        <f t="shared" si="27"/>
        <v>13.279556248149447</v>
      </c>
      <c r="E356" s="59">
        <v>0.8</v>
      </c>
      <c r="F356" s="61">
        <f t="shared" si="25"/>
        <v>3.3198890620373618</v>
      </c>
      <c r="G356" s="12" t="str">
        <f>IF(COUNTBLANK(H356)=1,IF(C356&lt;='Config.'!$D$10,"meta","nops"),"")</f>
        <v>nops</v>
      </c>
      <c r="H356" s="62"/>
      <c r="I356" s="63" t="str">
        <f t="shared" si="28"/>
        <v/>
      </c>
      <c r="J356" s="63" t="str">
        <f t="shared" si="26"/>
        <v/>
      </c>
      <c r="K356" s="54" t="str">
        <f t="shared" si="29"/>
        <v/>
      </c>
      <c r="R356" s="27">
        <f>IF(COUNTBLANK(T355)=1,(R355*'Config.'!$D$12)+R355,(T355*'Config.'!$D$12)+T355)</f>
        <v>1341.2351810631012</v>
      </c>
      <c r="S356" s="28" t="str">
        <f>IF(COUNTBLANK(T356)=1,IF(R356&lt;='Config.'!$D$10,"meta","nops"),"")</f>
        <v>nops</v>
      </c>
      <c r="T356" s="32"/>
    </row>
    <row r="357" spans="1:20" ht="20.100000000000001" customHeight="1" x14ac:dyDescent="0.25">
      <c r="A357" s="22" t="s">
        <v>25</v>
      </c>
      <c r="B357" s="20">
        <v>354</v>
      </c>
      <c r="C357" s="60">
        <f>IF(COUNTBLANK(H356)=1,(C356*'Config.'!$D$12)+C356,(H356*'Config.'!$D$12)+H356)</f>
        <v>1354.6475328737322</v>
      </c>
      <c r="D357" s="60">
        <f t="shared" si="27"/>
        <v>13.41235181063098</v>
      </c>
      <c r="E357" s="59">
        <v>0.8</v>
      </c>
      <c r="F357" s="61">
        <f t="shared" si="25"/>
        <v>3.3530879526577451</v>
      </c>
      <c r="G357" s="12" t="str">
        <f>IF(COUNTBLANK(H357)=1,IF(C357&lt;='Config.'!$D$10,"meta","nops"),"")</f>
        <v>nops</v>
      </c>
      <c r="H357" s="62"/>
      <c r="I357" s="63" t="str">
        <f t="shared" si="28"/>
        <v/>
      </c>
      <c r="J357" s="63" t="str">
        <f t="shared" si="26"/>
        <v/>
      </c>
      <c r="K357" s="54" t="str">
        <f t="shared" si="29"/>
        <v/>
      </c>
      <c r="R357" s="27">
        <f>IF(COUNTBLANK(T356)=1,(R356*'Config.'!$D$12)+R356,(T356*'Config.'!$D$12)+T356)</f>
        <v>1354.6475328737322</v>
      </c>
      <c r="S357" s="28" t="str">
        <f>IF(COUNTBLANK(T357)=1,IF(R357&lt;='Config.'!$D$10,"meta","nops"),"")</f>
        <v>nops</v>
      </c>
      <c r="T357" s="32"/>
    </row>
    <row r="358" spans="1:20" ht="20.100000000000001" customHeight="1" x14ac:dyDescent="0.25">
      <c r="A358" s="22" t="s">
        <v>25</v>
      </c>
      <c r="B358" s="20">
        <v>355</v>
      </c>
      <c r="C358" s="60">
        <f>IF(COUNTBLANK(H357)=1,(C357*'Config.'!$D$12)+C357,(H357*'Config.'!$D$12)+H357)</f>
        <v>1368.1940082024696</v>
      </c>
      <c r="D358" s="60">
        <f t="shared" si="27"/>
        <v>13.546475328737415</v>
      </c>
      <c r="E358" s="59">
        <v>0.8</v>
      </c>
      <c r="F358" s="61">
        <f t="shared" si="25"/>
        <v>3.3866188321843538</v>
      </c>
      <c r="G358" s="12" t="str">
        <f>IF(COUNTBLANK(H358)=1,IF(C358&lt;='Config.'!$D$10,"meta","nops"),"")</f>
        <v>nops</v>
      </c>
      <c r="H358" s="62"/>
      <c r="I358" s="63" t="str">
        <f t="shared" si="28"/>
        <v/>
      </c>
      <c r="J358" s="63" t="str">
        <f t="shared" si="26"/>
        <v/>
      </c>
      <c r="K358" s="54" t="str">
        <f t="shared" si="29"/>
        <v/>
      </c>
      <c r="R358" s="27">
        <f>IF(COUNTBLANK(T357)=1,(R357*'Config.'!$D$12)+R357,(T357*'Config.'!$D$12)+T357)</f>
        <v>1368.1940082024696</v>
      </c>
      <c r="S358" s="28" t="str">
        <f>IF(COUNTBLANK(T358)=1,IF(R358&lt;='Config.'!$D$10,"meta","nops"),"")</f>
        <v>nops</v>
      </c>
      <c r="T358" s="32"/>
    </row>
    <row r="359" spans="1:20" ht="20.100000000000001" customHeight="1" x14ac:dyDescent="0.25">
      <c r="A359" s="22" t="s">
        <v>25</v>
      </c>
      <c r="B359" s="20">
        <v>356</v>
      </c>
      <c r="C359" s="60">
        <f>IF(COUNTBLANK(H358)=1,(C358*'Config.'!$D$12)+C358,(H358*'Config.'!$D$12)+H358)</f>
        <v>1381.8759482844944</v>
      </c>
      <c r="D359" s="60">
        <f t="shared" si="27"/>
        <v>13.681940082024767</v>
      </c>
      <c r="E359" s="59">
        <v>0.8</v>
      </c>
      <c r="F359" s="61">
        <f t="shared" si="25"/>
        <v>3.4204850205061916</v>
      </c>
      <c r="G359" s="12" t="str">
        <f>IF(COUNTBLANK(H359)=1,IF(C359&lt;='Config.'!$D$10,"meta","nops"),"")</f>
        <v>nops</v>
      </c>
      <c r="H359" s="62"/>
      <c r="I359" s="63" t="str">
        <f t="shared" si="28"/>
        <v/>
      </c>
      <c r="J359" s="63" t="str">
        <f t="shared" si="26"/>
        <v/>
      </c>
      <c r="K359" s="54" t="str">
        <f t="shared" si="29"/>
        <v/>
      </c>
      <c r="R359" s="27">
        <f>IF(COUNTBLANK(T358)=1,(R358*'Config.'!$D$12)+R358,(T358*'Config.'!$D$12)+T358)</f>
        <v>1381.8759482844944</v>
      </c>
      <c r="S359" s="28" t="str">
        <f>IF(COUNTBLANK(T359)=1,IF(R359&lt;='Config.'!$D$10,"meta","nops"),"")</f>
        <v>nops</v>
      </c>
      <c r="T359" s="32"/>
    </row>
    <row r="360" spans="1:20" ht="20.100000000000001" customHeight="1" x14ac:dyDescent="0.25">
      <c r="A360" s="22" t="s">
        <v>25</v>
      </c>
      <c r="B360" s="20">
        <v>357</v>
      </c>
      <c r="C360" s="60">
        <f>IF(COUNTBLANK(H359)=1,(C359*'Config.'!$D$12)+C359,(H359*'Config.'!$D$12)+H359)</f>
        <v>1395.6947077673394</v>
      </c>
      <c r="D360" s="60">
        <f t="shared" si="27"/>
        <v>13.818759482845053</v>
      </c>
      <c r="E360" s="59">
        <v>0.8</v>
      </c>
      <c r="F360" s="61">
        <f t="shared" si="25"/>
        <v>3.4546898707112632</v>
      </c>
      <c r="G360" s="12" t="str">
        <f>IF(COUNTBLANK(H360)=1,IF(C360&lt;='Config.'!$D$10,"meta","nops"),"")</f>
        <v>nops</v>
      </c>
      <c r="H360" s="62"/>
      <c r="I360" s="63" t="str">
        <f t="shared" si="28"/>
        <v/>
      </c>
      <c r="J360" s="63" t="str">
        <f t="shared" si="26"/>
        <v/>
      </c>
      <c r="K360" s="54" t="str">
        <f t="shared" si="29"/>
        <v/>
      </c>
      <c r="R360" s="27">
        <f>IF(COUNTBLANK(T359)=1,(R359*'Config.'!$D$12)+R359,(T359*'Config.'!$D$12)+T359)</f>
        <v>1395.6947077673394</v>
      </c>
      <c r="S360" s="28" t="str">
        <f>IF(COUNTBLANK(T360)=1,IF(R360&lt;='Config.'!$D$10,"meta","nops"),"")</f>
        <v>nops</v>
      </c>
      <c r="T360" s="32"/>
    </row>
    <row r="361" spans="1:20" ht="20.100000000000001" customHeight="1" x14ac:dyDescent="0.25">
      <c r="A361" s="22" t="s">
        <v>25</v>
      </c>
      <c r="B361" s="20">
        <v>358</v>
      </c>
      <c r="C361" s="60">
        <f>IF(COUNTBLANK(H360)=1,(C360*'Config.'!$D$12)+C360,(H360*'Config.'!$D$12)+H360)</f>
        <v>1409.6516548450129</v>
      </c>
      <c r="D361" s="60">
        <f t="shared" si="27"/>
        <v>13.956947077673476</v>
      </c>
      <c r="E361" s="59">
        <v>0.8</v>
      </c>
      <c r="F361" s="61">
        <f t="shared" si="25"/>
        <v>3.489236769418369</v>
      </c>
      <c r="G361" s="12" t="str">
        <f>IF(COUNTBLANK(H361)=1,IF(C361&lt;='Config.'!$D$10,"meta","nops"),"")</f>
        <v>nops</v>
      </c>
      <c r="H361" s="62"/>
      <c r="I361" s="63" t="str">
        <f t="shared" si="28"/>
        <v/>
      </c>
      <c r="J361" s="63" t="str">
        <f t="shared" si="26"/>
        <v/>
      </c>
      <c r="K361" s="54" t="str">
        <f t="shared" si="29"/>
        <v/>
      </c>
      <c r="R361" s="27">
        <f>IF(COUNTBLANK(T360)=1,(R360*'Config.'!$D$12)+R360,(T360*'Config.'!$D$12)+T360)</f>
        <v>1409.6516548450129</v>
      </c>
      <c r="S361" s="28" t="str">
        <f>IF(COUNTBLANK(T361)=1,IF(R361&lt;='Config.'!$D$10,"meta","nops"),"")</f>
        <v>nops</v>
      </c>
      <c r="T361" s="32"/>
    </row>
    <row r="362" spans="1:20" ht="20.100000000000001" customHeight="1" x14ac:dyDescent="0.25">
      <c r="A362" s="22" t="s">
        <v>25</v>
      </c>
      <c r="B362" s="20">
        <v>359</v>
      </c>
      <c r="C362" s="60">
        <f>IF(COUNTBLANK(H361)=1,(C361*'Config.'!$D$12)+C361,(H361*'Config.'!$D$12)+H361)</f>
        <v>1423.7481713934631</v>
      </c>
      <c r="D362" s="60">
        <f t="shared" si="27"/>
        <v>14.096516548450154</v>
      </c>
      <c r="E362" s="59">
        <v>0.8</v>
      </c>
      <c r="F362" s="61">
        <f t="shared" si="25"/>
        <v>3.5241291371125385</v>
      </c>
      <c r="G362" s="12" t="str">
        <f>IF(COUNTBLANK(H362)=1,IF(C362&lt;='Config.'!$D$10,"meta","nops"),"")</f>
        <v>nops</v>
      </c>
      <c r="H362" s="62"/>
      <c r="I362" s="63" t="str">
        <f t="shared" si="28"/>
        <v/>
      </c>
      <c r="J362" s="63" t="str">
        <f t="shared" si="26"/>
        <v/>
      </c>
      <c r="K362" s="54" t="str">
        <f t="shared" si="29"/>
        <v/>
      </c>
      <c r="R362" s="27">
        <f>IF(COUNTBLANK(T361)=1,(R361*'Config.'!$D$12)+R361,(T361*'Config.'!$D$12)+T361)</f>
        <v>1423.7481713934631</v>
      </c>
      <c r="S362" s="28" t="str">
        <f>IF(COUNTBLANK(T362)=1,IF(R362&lt;='Config.'!$D$10,"meta","nops"),"")</f>
        <v>nops</v>
      </c>
      <c r="T362" s="32"/>
    </row>
    <row r="363" spans="1:20" ht="20.100000000000001" customHeight="1" x14ac:dyDescent="0.25">
      <c r="A363" s="22" t="s">
        <v>25</v>
      </c>
      <c r="B363" s="20">
        <v>360</v>
      </c>
      <c r="C363" s="60">
        <f>IF(COUNTBLANK(H362)=1,(C362*'Config.'!$D$12)+C362,(H362*'Config.'!$D$12)+H362)</f>
        <v>1437.9856531073976</v>
      </c>
      <c r="D363" s="60">
        <f t="shared" si="27"/>
        <v>14.237481713934585</v>
      </c>
      <c r="E363" s="59">
        <v>0.8</v>
      </c>
      <c r="F363" s="61">
        <f t="shared" si="25"/>
        <v>3.5593704284836463</v>
      </c>
      <c r="G363" s="12" t="str">
        <f>IF(COUNTBLANK(H363)=1,IF(C363&lt;='Config.'!$D$10,"meta","nops"),"")</f>
        <v>nops</v>
      </c>
      <c r="H363" s="62"/>
      <c r="I363" s="63" t="str">
        <f t="shared" si="28"/>
        <v/>
      </c>
      <c r="J363" s="63" t="str">
        <f t="shared" si="26"/>
        <v/>
      </c>
      <c r="K363" s="54" t="str">
        <f t="shared" si="29"/>
        <v/>
      </c>
      <c r="R363" s="27">
        <f>IF(COUNTBLANK(T362)=1,(R362*'Config.'!$D$12)+R362,(T362*'Config.'!$D$12)+T362)</f>
        <v>1437.9856531073976</v>
      </c>
      <c r="S363" s="28" t="str">
        <f>IF(COUNTBLANK(T363)=1,IF(R363&lt;='Config.'!$D$10,"meta","nops"),"")</f>
        <v>nops</v>
      </c>
      <c r="T363" s="32"/>
    </row>
    <row r="364" spans="1:20" ht="20.100000000000001" customHeight="1" x14ac:dyDescent="0.25">
      <c r="A364" s="22" t="s">
        <v>25</v>
      </c>
      <c r="B364" s="20">
        <v>361</v>
      </c>
      <c r="C364" s="60">
        <f>IF(COUNTBLANK(H363)=1,(C363*'Config.'!$D$12)+C363,(H363*'Config.'!$D$12)+H363)</f>
        <v>1452.3655096384716</v>
      </c>
      <c r="D364" s="60">
        <f t="shared" si="27"/>
        <v>14.379856531073983</v>
      </c>
      <c r="E364" s="59">
        <v>0.8</v>
      </c>
      <c r="F364" s="61">
        <f t="shared" si="25"/>
        <v>3.5949641327684958</v>
      </c>
      <c r="G364" s="12" t="str">
        <f>IF(COUNTBLANK(H364)=1,IF(C364&lt;='Config.'!$D$10,"meta","nops"),"")</f>
        <v>nops</v>
      </c>
      <c r="H364" s="62"/>
      <c r="I364" s="63" t="str">
        <f t="shared" si="28"/>
        <v/>
      </c>
      <c r="J364" s="63" t="str">
        <f t="shared" si="26"/>
        <v/>
      </c>
      <c r="K364" s="54" t="str">
        <f t="shared" si="29"/>
        <v/>
      </c>
      <c r="R364" s="27">
        <f>IF(COUNTBLANK(T363)=1,(R363*'Config.'!$D$12)+R363,(T363*'Config.'!$D$12)+T363)</f>
        <v>1452.3655096384716</v>
      </c>
      <c r="S364" s="28" t="str">
        <f>IF(COUNTBLANK(T364)=1,IF(R364&lt;='Config.'!$D$10,"meta","nops"),"")</f>
        <v>nops</v>
      </c>
      <c r="T364" s="32"/>
    </row>
    <row r="365" spans="1:20" ht="20.100000000000001" customHeight="1" x14ac:dyDescent="0.25">
      <c r="A365" s="22" t="s">
        <v>25</v>
      </c>
      <c r="B365" s="20">
        <v>362</v>
      </c>
      <c r="C365" s="60">
        <f>IF(COUNTBLANK(H364)=1,(C364*'Config.'!$D$12)+C364,(H364*'Config.'!$D$12)+H364)</f>
        <v>1466.8891647348564</v>
      </c>
      <c r="D365" s="60">
        <f t="shared" si="27"/>
        <v>14.5236550963848</v>
      </c>
      <c r="E365" s="59">
        <v>0.8</v>
      </c>
      <c r="F365" s="61">
        <f t="shared" si="25"/>
        <v>3.6309137740962001</v>
      </c>
      <c r="G365" s="12" t="str">
        <f>IF(COUNTBLANK(H365)=1,IF(C365&lt;='Config.'!$D$10,"meta","nops"),"")</f>
        <v>nops</v>
      </c>
      <c r="H365" s="62"/>
      <c r="I365" s="63" t="str">
        <f t="shared" si="28"/>
        <v/>
      </c>
      <c r="J365" s="63" t="str">
        <f t="shared" si="26"/>
        <v/>
      </c>
      <c r="K365" s="54" t="str">
        <f t="shared" si="29"/>
        <v/>
      </c>
      <c r="R365" s="27">
        <f>IF(COUNTBLANK(T364)=1,(R364*'Config.'!$D$12)+R364,(T364*'Config.'!$D$12)+T364)</f>
        <v>1466.8891647348564</v>
      </c>
      <c r="S365" s="28" t="str">
        <f>IF(COUNTBLANK(T365)=1,IF(R365&lt;='Config.'!$D$10,"meta","nops"),"")</f>
        <v>nops</v>
      </c>
      <c r="T365" s="32"/>
    </row>
    <row r="366" spans="1:20" ht="20.100000000000001" customHeight="1" x14ac:dyDescent="0.25">
      <c r="A366" s="22" t="s">
        <v>25</v>
      </c>
      <c r="B366" s="20">
        <v>363</v>
      </c>
      <c r="C366" s="60">
        <f>IF(COUNTBLANK(H365)=1,(C365*'Config.'!$D$12)+C365,(H365*'Config.'!$D$12)+H365)</f>
        <v>1481.558056382205</v>
      </c>
      <c r="D366" s="60">
        <f t="shared" si="27"/>
        <v>14.668891647348573</v>
      </c>
      <c r="E366" s="59">
        <v>0.8</v>
      </c>
      <c r="F366" s="61">
        <f t="shared" si="25"/>
        <v>3.6672229118371433</v>
      </c>
      <c r="G366" s="12" t="str">
        <f>IF(COUNTBLANK(H366)=1,IF(C366&lt;='Config.'!$D$10,"meta","nops"),"")</f>
        <v>nops</v>
      </c>
      <c r="H366" s="62"/>
      <c r="I366" s="63" t="str">
        <f t="shared" si="28"/>
        <v/>
      </c>
      <c r="J366" s="63" t="str">
        <f t="shared" si="26"/>
        <v/>
      </c>
      <c r="K366" s="54" t="str">
        <f t="shared" si="29"/>
        <v/>
      </c>
      <c r="R366" s="27">
        <f>IF(COUNTBLANK(T365)=1,(R365*'Config.'!$D$12)+R365,(T365*'Config.'!$D$12)+T365)</f>
        <v>1481.558056382205</v>
      </c>
      <c r="S366" s="28" t="str">
        <f>IF(COUNTBLANK(T366)=1,IF(R366&lt;='Config.'!$D$10,"meta","nops"),"")</f>
        <v>nops</v>
      </c>
      <c r="T366" s="32"/>
    </row>
    <row r="367" spans="1:20" ht="20.100000000000001" customHeight="1" x14ac:dyDescent="0.25">
      <c r="A367" s="22" t="s">
        <v>25</v>
      </c>
      <c r="B367" s="20">
        <v>364</v>
      </c>
      <c r="C367" s="60">
        <f>IF(COUNTBLANK(H366)=1,(C366*'Config.'!$D$12)+C366,(H366*'Config.'!$D$12)+H366)</f>
        <v>1496.3736369460271</v>
      </c>
      <c r="D367" s="60">
        <f t="shared" si="27"/>
        <v>14.815580563822095</v>
      </c>
      <c r="E367" s="59">
        <v>0.8</v>
      </c>
      <c r="F367" s="61">
        <f t="shared" si="25"/>
        <v>3.7038951409555239</v>
      </c>
      <c r="G367" s="12" t="str">
        <f>IF(COUNTBLANK(H367)=1,IF(C367&lt;='Config.'!$D$10,"meta","nops"),"")</f>
        <v>nops</v>
      </c>
      <c r="H367" s="62"/>
      <c r="I367" s="63" t="str">
        <f t="shared" si="28"/>
        <v/>
      </c>
      <c r="J367" s="63" t="str">
        <f t="shared" si="26"/>
        <v/>
      </c>
      <c r="K367" s="54" t="str">
        <f t="shared" si="29"/>
        <v/>
      </c>
      <c r="R367" s="27">
        <f>IF(COUNTBLANK(T366)=1,(R366*'Config.'!$D$12)+R366,(T366*'Config.'!$D$12)+T366)</f>
        <v>1496.3736369460271</v>
      </c>
      <c r="S367" s="28" t="str">
        <f>IF(COUNTBLANK(T367)=1,IF(R367&lt;='Config.'!$D$10,"meta","nops"),"")</f>
        <v>nops</v>
      </c>
      <c r="T367" s="32"/>
    </row>
    <row r="368" spans="1:20" ht="20.100000000000001" customHeight="1" x14ac:dyDescent="0.25">
      <c r="A368" s="22" t="s">
        <v>25</v>
      </c>
      <c r="B368" s="20">
        <v>365</v>
      </c>
      <c r="C368" s="60">
        <f>IF(COUNTBLANK(H367)=1,(C367*'Config.'!$D$12)+C367,(H367*'Config.'!$D$12)+H367)</f>
        <v>1511.3373733154874</v>
      </c>
      <c r="D368" s="60">
        <f t="shared" si="27"/>
        <v>14.963736369460321</v>
      </c>
      <c r="E368" s="59">
        <v>0.8</v>
      </c>
      <c r="F368" s="61">
        <f t="shared" si="25"/>
        <v>3.7409340923650802</v>
      </c>
      <c r="G368" s="12" t="str">
        <f>IF(COUNTBLANK(H368)=1,IF(C368&lt;='Config.'!$D$10,"meta","nops"),"")</f>
        <v>nops</v>
      </c>
      <c r="H368" s="62"/>
      <c r="I368" s="63" t="str">
        <f t="shared" si="28"/>
        <v/>
      </c>
      <c r="J368" s="63" t="str">
        <f t="shared" si="26"/>
        <v/>
      </c>
      <c r="K368" s="54" t="str">
        <f t="shared" si="29"/>
        <v/>
      </c>
      <c r="R368" s="27">
        <f>IF(COUNTBLANK(T367)=1,(R367*'Config.'!$D$12)+R367,(T367*'Config.'!$D$12)+T367)</f>
        <v>1511.3373733154874</v>
      </c>
      <c r="S368" s="28" t="str">
        <f>IF(COUNTBLANK(T368)=1,IF(R368&lt;='Config.'!$D$10,"meta","nops"),"")</f>
        <v>nops</v>
      </c>
      <c r="T368" s="32"/>
    </row>
  </sheetData>
  <sheetProtection algorithmName="SHA-512" hashValue="hs8SWMEK+DZznDIp+F0bKPjn0WQeqAkc3ril8tUZnPK5WsfnA/Kec8xLm8cpIiXXKxs4clegXU7L/qxfsu1x3Q==" saltValue="zy3yJ8mi1ynK6ZOwsiI0LQ==" spinCount="100000" sheet="1" objects="1" scenarios="1"/>
  <mergeCells count="9">
    <mergeCell ref="M9:O9"/>
    <mergeCell ref="N6:N7"/>
    <mergeCell ref="O6:O7"/>
    <mergeCell ref="B2:B3"/>
    <mergeCell ref="H2:K2"/>
    <mergeCell ref="M2:O2"/>
    <mergeCell ref="M5:O5"/>
    <mergeCell ref="C2:D2"/>
    <mergeCell ref="E2:F2"/>
  </mergeCells>
  <conditionalFormatting sqref="K1 K4:K1048576">
    <cfRule type="cellIs" dxfId="12" priority="15" operator="greaterThanOrEqual">
      <formula>0.01</formula>
    </cfRule>
  </conditionalFormatting>
  <conditionalFormatting sqref="I4:I368">
    <cfRule type="cellIs" dxfId="11" priority="14" operator="greaterThanOrEqual">
      <formula>0.01</formula>
    </cfRule>
  </conditionalFormatting>
  <conditionalFormatting sqref="J4:J368">
    <cfRule type="cellIs" dxfId="10" priority="13" operator="greaterThanOrEqual">
      <formula>0.01</formula>
    </cfRule>
  </conditionalFormatting>
  <conditionalFormatting sqref="C4">
    <cfRule type="expression" dxfId="9" priority="12">
      <formula>AND(COUNTBLANK(H4)=1,COUNTBLANK(H3)=0)</formula>
    </cfRule>
  </conditionalFormatting>
  <conditionalFormatting sqref="C5:C368">
    <cfRule type="expression" dxfId="8" priority="11">
      <formula>AND(COUNTBLANK(H5)=1,COUNTBLANK(H4)=0)</formula>
    </cfRule>
  </conditionalFormatting>
  <conditionalFormatting sqref="B4:B368">
    <cfRule type="expression" dxfId="7" priority="9">
      <formula>AND(COUNTBLANK(H4)=1,COUNTBLANK(H3)=0)</formula>
    </cfRule>
  </conditionalFormatting>
  <conditionalFormatting sqref="A4:A368">
    <cfRule type="expression" dxfId="6" priority="8">
      <formula>AND(COUNTBLANK(H4)=1,COUNTBLANK(H3)=0)</formula>
    </cfRule>
  </conditionalFormatting>
  <conditionalFormatting sqref="D4">
    <cfRule type="expression" dxfId="5" priority="7">
      <formula>AND(COUNTBLANK(H4)=1,COUNTBLANK(H3)=0)</formula>
    </cfRule>
  </conditionalFormatting>
  <conditionalFormatting sqref="D5:D368">
    <cfRule type="expression" dxfId="4" priority="6">
      <formula>AND(COUNTBLANK(H5)=1,COUNTBLANK(H4)=0)</formula>
    </cfRule>
  </conditionalFormatting>
  <conditionalFormatting sqref="M6:M7">
    <cfRule type="cellIs" dxfId="3" priority="5" operator="lessThan">
      <formula>0</formula>
    </cfRule>
  </conditionalFormatting>
  <conditionalFormatting sqref="R4">
    <cfRule type="expression" dxfId="2" priority="3">
      <formula>AND(COUNTBLANK(W4)=1,COUNTBLANK(W3)=0)</formula>
    </cfRule>
  </conditionalFormatting>
  <conditionalFormatting sqref="R5:R368">
    <cfRule type="expression" dxfId="1" priority="2">
      <formula>AND(COUNTBLANK(W5)=1,COUNTBLANK(W4)=0)</formula>
    </cfRule>
  </conditionalFormatting>
  <conditionalFormatting sqref="M10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Config.</vt:lpstr>
      <vt:lpstr>Gerenciamento</vt:lpstr>
      <vt:lpstr>Gráfico1</vt:lpstr>
    </vt:vector>
  </TitlesOfParts>
  <Company>AE-NEA-CM001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Thiberio Cezar Moraes Da Silva</dc:creator>
  <cp:lastModifiedBy>haras</cp:lastModifiedBy>
  <dcterms:created xsi:type="dcterms:W3CDTF">2019-01-23T21:03:15Z</dcterms:created>
  <dcterms:modified xsi:type="dcterms:W3CDTF">2022-02-02T14:20:21Z</dcterms:modified>
</cp:coreProperties>
</file>