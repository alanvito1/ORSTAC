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onic\Downloads\Telegram Desktop\"/>
    </mc:Choice>
  </mc:AlternateContent>
  <xr:revisionPtr revIDLastSave="0" documentId="13_ncr:1_{BF8D5A71-E3F3-4561-A5E3-597C67BD5DE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HOME" sheetId="8" r:id="rId1"/>
    <sheet name="JAN" sheetId="14" r:id="rId2"/>
    <sheet name="FEV" sheetId="26" r:id="rId3"/>
    <sheet name="MAR" sheetId="27" r:id="rId4"/>
    <sheet name="ABR" sheetId="28" r:id="rId5"/>
    <sheet name="MAI" sheetId="29" r:id="rId6"/>
    <sheet name="JUN" sheetId="30" r:id="rId7"/>
    <sheet name="JUL" sheetId="31" r:id="rId8"/>
    <sheet name="AGO" sheetId="32" r:id="rId9"/>
    <sheet name="SET" sheetId="33" r:id="rId10"/>
    <sheet name="OUT" sheetId="34" r:id="rId11"/>
    <sheet name="NOV" sheetId="35" r:id="rId12"/>
    <sheet name="DEZ" sheetId="36" r:id="rId13"/>
    <sheet name="ANO" sheetId="3" r:id="rId14"/>
    <sheet name="COTAÇÃO" sheetId="7" state="hidden" r:id="rId15"/>
  </sheets>
  <definedNames>
    <definedName name="_?from_USD_amount_1" localSheetId="14">COTAÇÃO!$A$1:$C$54</definedName>
    <definedName name="_xlnm._FilterDatabase" localSheetId="14" hidden="1">COTAÇÃO!$A$1:$C$54</definedName>
  </definedNames>
  <calcPr calcId="191029" fullPrecision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" i="14" l="1"/>
  <c r="H41" i="31"/>
  <c r="I41" i="31" s="1"/>
  <c r="G19" i="30"/>
  <c r="E19" i="30" s="1"/>
  <c r="H41" i="28"/>
  <c r="I41" i="28" s="1"/>
  <c r="H41" i="36"/>
  <c r="I41" i="36" s="1"/>
  <c r="G41" i="36"/>
  <c r="F41" i="36"/>
  <c r="E41" i="36"/>
  <c r="H40" i="36"/>
  <c r="I40" i="36" s="1"/>
  <c r="G40" i="36"/>
  <c r="F40" i="36"/>
  <c r="E40" i="36"/>
  <c r="H39" i="36"/>
  <c r="I39" i="36" s="1"/>
  <c r="G39" i="36"/>
  <c r="F39" i="36"/>
  <c r="E39" i="36"/>
  <c r="H38" i="36"/>
  <c r="I38" i="36" s="1"/>
  <c r="G38" i="36"/>
  <c r="F38" i="36"/>
  <c r="E38" i="36"/>
  <c r="H37" i="36"/>
  <c r="I37" i="36" s="1"/>
  <c r="G37" i="36"/>
  <c r="F37" i="36"/>
  <c r="E37" i="36"/>
  <c r="H36" i="36"/>
  <c r="I36" i="36" s="1"/>
  <c r="G36" i="36"/>
  <c r="F36" i="36"/>
  <c r="E36" i="36"/>
  <c r="H35" i="36"/>
  <c r="I35" i="36" s="1"/>
  <c r="G35" i="36"/>
  <c r="F35" i="36"/>
  <c r="E35" i="36"/>
  <c r="H34" i="36"/>
  <c r="I34" i="36" s="1"/>
  <c r="G34" i="36"/>
  <c r="F34" i="36"/>
  <c r="E34" i="36"/>
  <c r="H33" i="36"/>
  <c r="I33" i="36" s="1"/>
  <c r="G33" i="36"/>
  <c r="F33" i="36"/>
  <c r="E33" i="36"/>
  <c r="H32" i="36"/>
  <c r="I32" i="36" s="1"/>
  <c r="G32" i="36"/>
  <c r="F32" i="36"/>
  <c r="E32" i="36"/>
  <c r="H31" i="36"/>
  <c r="I31" i="36" s="1"/>
  <c r="G31" i="36"/>
  <c r="F31" i="36"/>
  <c r="E31" i="36"/>
  <c r="H30" i="36"/>
  <c r="I30" i="36" s="1"/>
  <c r="G30" i="36"/>
  <c r="F30" i="36"/>
  <c r="E30" i="36"/>
  <c r="H29" i="36"/>
  <c r="I29" i="36" s="1"/>
  <c r="G29" i="36"/>
  <c r="F29" i="36"/>
  <c r="E29" i="36"/>
  <c r="H28" i="36"/>
  <c r="I28" i="36" s="1"/>
  <c r="G28" i="36"/>
  <c r="F28" i="36"/>
  <c r="E28" i="36"/>
  <c r="H27" i="36"/>
  <c r="I27" i="36" s="1"/>
  <c r="G27" i="36"/>
  <c r="F27" i="36"/>
  <c r="E27" i="36"/>
  <c r="H26" i="36"/>
  <c r="I26" i="36" s="1"/>
  <c r="G26" i="36"/>
  <c r="F26" i="36"/>
  <c r="E26" i="36"/>
  <c r="H25" i="36"/>
  <c r="I25" i="36" s="1"/>
  <c r="G25" i="36"/>
  <c r="F25" i="36"/>
  <c r="E25" i="36"/>
  <c r="H24" i="36"/>
  <c r="I24" i="36" s="1"/>
  <c r="G24" i="36"/>
  <c r="F24" i="36"/>
  <c r="E24" i="36"/>
  <c r="H23" i="36"/>
  <c r="I23" i="36" s="1"/>
  <c r="G23" i="36"/>
  <c r="F23" i="36"/>
  <c r="E23" i="36"/>
  <c r="H22" i="36"/>
  <c r="I22" i="36" s="1"/>
  <c r="G22" i="36"/>
  <c r="F22" i="36"/>
  <c r="E22" i="36"/>
  <c r="H21" i="36"/>
  <c r="I21" i="36" s="1"/>
  <c r="G21" i="36"/>
  <c r="F21" i="36"/>
  <c r="E21" i="36"/>
  <c r="H20" i="36"/>
  <c r="I20" i="36" s="1"/>
  <c r="G20" i="36"/>
  <c r="F20" i="36"/>
  <c r="E20" i="36"/>
  <c r="H19" i="36"/>
  <c r="I19" i="36" s="1"/>
  <c r="G19" i="36"/>
  <c r="F19" i="36"/>
  <c r="E19" i="36"/>
  <c r="H18" i="36"/>
  <c r="I18" i="36" s="1"/>
  <c r="G18" i="36"/>
  <c r="F18" i="36"/>
  <c r="E18" i="36"/>
  <c r="H17" i="36"/>
  <c r="I17" i="36" s="1"/>
  <c r="G17" i="36"/>
  <c r="F17" i="36"/>
  <c r="E17" i="36"/>
  <c r="H16" i="36"/>
  <c r="I16" i="36" s="1"/>
  <c r="G16" i="36"/>
  <c r="F16" i="36"/>
  <c r="E16" i="36"/>
  <c r="H15" i="36"/>
  <c r="I15" i="36" s="1"/>
  <c r="G15" i="36"/>
  <c r="F15" i="36"/>
  <c r="E15" i="36"/>
  <c r="H14" i="36"/>
  <c r="I14" i="36" s="1"/>
  <c r="G14" i="36"/>
  <c r="F14" i="36"/>
  <c r="E14" i="36"/>
  <c r="H13" i="36"/>
  <c r="I13" i="36" s="1"/>
  <c r="G13" i="36"/>
  <c r="F13" i="36"/>
  <c r="E13" i="36"/>
  <c r="H12" i="36"/>
  <c r="I12" i="36" s="1"/>
  <c r="G12" i="36"/>
  <c r="F12" i="36"/>
  <c r="E12" i="36"/>
  <c r="Y11" i="36"/>
  <c r="R11" i="36"/>
  <c r="X11" i="36" s="1"/>
  <c r="H11" i="36"/>
  <c r="I11" i="36" s="1"/>
  <c r="G11" i="36"/>
  <c r="F11" i="36"/>
  <c r="E11" i="36"/>
  <c r="D11" i="36"/>
  <c r="D12" i="36" s="1"/>
  <c r="D13" i="36" s="1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2" i="36"/>
  <c r="H41" i="35"/>
  <c r="I41" i="35" s="1"/>
  <c r="G41" i="35"/>
  <c r="F41" i="35"/>
  <c r="E41" i="35"/>
  <c r="H40" i="35"/>
  <c r="I40" i="35" s="1"/>
  <c r="G40" i="35"/>
  <c r="F40" i="35"/>
  <c r="E40" i="35"/>
  <c r="H39" i="35"/>
  <c r="I39" i="35" s="1"/>
  <c r="G39" i="35"/>
  <c r="F39" i="35"/>
  <c r="E39" i="35"/>
  <c r="H38" i="35"/>
  <c r="I38" i="35" s="1"/>
  <c r="G38" i="35"/>
  <c r="F38" i="35"/>
  <c r="E38" i="35"/>
  <c r="H37" i="35"/>
  <c r="I37" i="35" s="1"/>
  <c r="G37" i="35"/>
  <c r="F37" i="35"/>
  <c r="E37" i="35"/>
  <c r="H36" i="35"/>
  <c r="I36" i="35" s="1"/>
  <c r="G36" i="35"/>
  <c r="F36" i="35"/>
  <c r="E36" i="35"/>
  <c r="H35" i="35"/>
  <c r="I35" i="35" s="1"/>
  <c r="G35" i="35"/>
  <c r="F35" i="35"/>
  <c r="E35" i="35"/>
  <c r="H34" i="35"/>
  <c r="I34" i="35" s="1"/>
  <c r="G34" i="35"/>
  <c r="F34" i="35"/>
  <c r="E34" i="35"/>
  <c r="H33" i="35"/>
  <c r="I33" i="35" s="1"/>
  <c r="G33" i="35"/>
  <c r="F33" i="35"/>
  <c r="E33" i="35"/>
  <c r="H32" i="35"/>
  <c r="I32" i="35" s="1"/>
  <c r="G32" i="35"/>
  <c r="F32" i="35"/>
  <c r="E32" i="35"/>
  <c r="H31" i="35"/>
  <c r="I31" i="35" s="1"/>
  <c r="G31" i="35"/>
  <c r="F31" i="35"/>
  <c r="E31" i="35"/>
  <c r="H30" i="35"/>
  <c r="I30" i="35" s="1"/>
  <c r="G30" i="35"/>
  <c r="F30" i="35"/>
  <c r="E30" i="35"/>
  <c r="H29" i="35"/>
  <c r="I29" i="35" s="1"/>
  <c r="G29" i="35"/>
  <c r="F29" i="35"/>
  <c r="E29" i="35"/>
  <c r="H28" i="35"/>
  <c r="I28" i="35" s="1"/>
  <c r="G28" i="35"/>
  <c r="F28" i="35"/>
  <c r="E28" i="35"/>
  <c r="H27" i="35"/>
  <c r="I27" i="35" s="1"/>
  <c r="G27" i="35"/>
  <c r="F27" i="35"/>
  <c r="E27" i="35"/>
  <c r="H26" i="35"/>
  <c r="I26" i="35" s="1"/>
  <c r="G26" i="35"/>
  <c r="F26" i="35"/>
  <c r="E26" i="35"/>
  <c r="I25" i="35"/>
  <c r="H25" i="35"/>
  <c r="G25" i="35"/>
  <c r="F25" i="35"/>
  <c r="E25" i="35"/>
  <c r="H24" i="35"/>
  <c r="I24" i="35" s="1"/>
  <c r="G24" i="35"/>
  <c r="F24" i="35"/>
  <c r="E24" i="35"/>
  <c r="I23" i="35"/>
  <c r="H23" i="35"/>
  <c r="G23" i="35"/>
  <c r="F23" i="35"/>
  <c r="E23" i="35"/>
  <c r="H22" i="35"/>
  <c r="I22" i="35" s="1"/>
  <c r="G22" i="35"/>
  <c r="F22" i="35"/>
  <c r="E22" i="35"/>
  <c r="H21" i="35"/>
  <c r="I21" i="35" s="1"/>
  <c r="G21" i="35"/>
  <c r="F21" i="35"/>
  <c r="E21" i="35"/>
  <c r="H20" i="35"/>
  <c r="I20" i="35" s="1"/>
  <c r="G20" i="35"/>
  <c r="F20" i="35"/>
  <c r="E20" i="35"/>
  <c r="H19" i="35"/>
  <c r="I19" i="35" s="1"/>
  <c r="G19" i="35"/>
  <c r="F19" i="35"/>
  <c r="E19" i="35"/>
  <c r="H18" i="35"/>
  <c r="I18" i="35" s="1"/>
  <c r="G18" i="35"/>
  <c r="F18" i="35"/>
  <c r="E18" i="35"/>
  <c r="H17" i="35"/>
  <c r="I17" i="35" s="1"/>
  <c r="G17" i="35"/>
  <c r="F17" i="35"/>
  <c r="E17" i="35"/>
  <c r="H16" i="35"/>
  <c r="I16" i="35" s="1"/>
  <c r="G16" i="35"/>
  <c r="F16" i="35"/>
  <c r="E16" i="35"/>
  <c r="H15" i="35"/>
  <c r="I15" i="35" s="1"/>
  <c r="G15" i="35"/>
  <c r="F15" i="35"/>
  <c r="E15" i="35"/>
  <c r="H14" i="35"/>
  <c r="I14" i="35" s="1"/>
  <c r="G14" i="35"/>
  <c r="F14" i="35"/>
  <c r="E14" i="35"/>
  <c r="H13" i="35"/>
  <c r="I13" i="35" s="1"/>
  <c r="G13" i="35"/>
  <c r="F13" i="35"/>
  <c r="E13" i="35"/>
  <c r="H12" i="35"/>
  <c r="I12" i="35" s="1"/>
  <c r="G12" i="35"/>
  <c r="F12" i="35"/>
  <c r="E12" i="35"/>
  <c r="Y11" i="35"/>
  <c r="R11" i="35"/>
  <c r="U11" i="35" s="1"/>
  <c r="H11" i="35"/>
  <c r="I11" i="35" s="1"/>
  <c r="G11" i="35"/>
  <c r="F11" i="35"/>
  <c r="E11" i="35"/>
  <c r="D11" i="35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2" i="35"/>
  <c r="H41" i="34"/>
  <c r="I41" i="34" s="1"/>
  <c r="G41" i="34"/>
  <c r="F41" i="34"/>
  <c r="E41" i="34"/>
  <c r="H40" i="34"/>
  <c r="I40" i="34" s="1"/>
  <c r="G40" i="34"/>
  <c r="F40" i="34"/>
  <c r="E40" i="34"/>
  <c r="H39" i="34"/>
  <c r="I39" i="34" s="1"/>
  <c r="G39" i="34"/>
  <c r="F39" i="34"/>
  <c r="E39" i="34"/>
  <c r="H38" i="34"/>
  <c r="I38" i="34" s="1"/>
  <c r="G38" i="34"/>
  <c r="F38" i="34"/>
  <c r="E38" i="34"/>
  <c r="H37" i="34"/>
  <c r="I37" i="34" s="1"/>
  <c r="G37" i="34"/>
  <c r="F37" i="34"/>
  <c r="E37" i="34"/>
  <c r="H36" i="34"/>
  <c r="I36" i="34" s="1"/>
  <c r="G36" i="34"/>
  <c r="F36" i="34"/>
  <c r="E36" i="34"/>
  <c r="H35" i="34"/>
  <c r="I35" i="34" s="1"/>
  <c r="G35" i="34"/>
  <c r="F35" i="34"/>
  <c r="E35" i="34"/>
  <c r="H34" i="34"/>
  <c r="I34" i="34" s="1"/>
  <c r="G34" i="34"/>
  <c r="F34" i="34"/>
  <c r="E34" i="34"/>
  <c r="H33" i="34"/>
  <c r="I33" i="34" s="1"/>
  <c r="G33" i="34"/>
  <c r="F33" i="34"/>
  <c r="E33" i="34"/>
  <c r="H32" i="34"/>
  <c r="I32" i="34" s="1"/>
  <c r="G32" i="34"/>
  <c r="F32" i="34"/>
  <c r="E32" i="34"/>
  <c r="H31" i="34"/>
  <c r="I31" i="34" s="1"/>
  <c r="G31" i="34"/>
  <c r="F31" i="34"/>
  <c r="E31" i="34"/>
  <c r="H30" i="34"/>
  <c r="I30" i="34" s="1"/>
  <c r="G30" i="34"/>
  <c r="F30" i="34"/>
  <c r="E30" i="34"/>
  <c r="H29" i="34"/>
  <c r="I29" i="34" s="1"/>
  <c r="G29" i="34"/>
  <c r="F29" i="34"/>
  <c r="E29" i="34"/>
  <c r="H28" i="34"/>
  <c r="I28" i="34" s="1"/>
  <c r="G28" i="34"/>
  <c r="F28" i="34"/>
  <c r="E28" i="34"/>
  <c r="H27" i="34"/>
  <c r="I27" i="34" s="1"/>
  <c r="G27" i="34"/>
  <c r="F27" i="34"/>
  <c r="E27" i="34"/>
  <c r="H26" i="34"/>
  <c r="I26" i="34" s="1"/>
  <c r="G26" i="34"/>
  <c r="F26" i="34"/>
  <c r="E26" i="34"/>
  <c r="H25" i="34"/>
  <c r="I25" i="34" s="1"/>
  <c r="G25" i="34"/>
  <c r="F25" i="34"/>
  <c r="E25" i="34"/>
  <c r="H24" i="34"/>
  <c r="I24" i="34" s="1"/>
  <c r="G24" i="34"/>
  <c r="F24" i="34"/>
  <c r="E24" i="34"/>
  <c r="I23" i="34"/>
  <c r="H23" i="34"/>
  <c r="G23" i="34"/>
  <c r="F23" i="34"/>
  <c r="E23" i="34"/>
  <c r="H22" i="34"/>
  <c r="I22" i="34" s="1"/>
  <c r="G22" i="34"/>
  <c r="F22" i="34"/>
  <c r="E22" i="34"/>
  <c r="I21" i="34"/>
  <c r="H21" i="34"/>
  <c r="G21" i="34"/>
  <c r="F21" i="34"/>
  <c r="E21" i="34"/>
  <c r="H20" i="34"/>
  <c r="I20" i="34" s="1"/>
  <c r="G20" i="34"/>
  <c r="F20" i="34"/>
  <c r="E20" i="34"/>
  <c r="H19" i="34"/>
  <c r="I19" i="34" s="1"/>
  <c r="G19" i="34"/>
  <c r="F19" i="34"/>
  <c r="E19" i="34"/>
  <c r="H18" i="34"/>
  <c r="I18" i="34" s="1"/>
  <c r="G18" i="34"/>
  <c r="F18" i="34"/>
  <c r="E18" i="34"/>
  <c r="H17" i="34"/>
  <c r="I17" i="34" s="1"/>
  <c r="G17" i="34"/>
  <c r="F17" i="34"/>
  <c r="E17" i="34"/>
  <c r="H16" i="34"/>
  <c r="I16" i="34" s="1"/>
  <c r="G16" i="34"/>
  <c r="F16" i="34"/>
  <c r="E16" i="34"/>
  <c r="H15" i="34"/>
  <c r="I15" i="34" s="1"/>
  <c r="G15" i="34"/>
  <c r="F15" i="34"/>
  <c r="E15" i="34"/>
  <c r="H14" i="34"/>
  <c r="I14" i="34" s="1"/>
  <c r="G14" i="34"/>
  <c r="F14" i="34"/>
  <c r="E14" i="34"/>
  <c r="H13" i="34"/>
  <c r="I13" i="34" s="1"/>
  <c r="G13" i="34"/>
  <c r="F13" i="34"/>
  <c r="E13" i="34"/>
  <c r="H12" i="34"/>
  <c r="I12" i="34" s="1"/>
  <c r="G12" i="34"/>
  <c r="F12" i="34"/>
  <c r="E12" i="34"/>
  <c r="Y11" i="34"/>
  <c r="R11" i="34"/>
  <c r="X11" i="34" s="1"/>
  <c r="H11" i="34"/>
  <c r="I11" i="34" s="1"/>
  <c r="G11" i="34"/>
  <c r="F11" i="34"/>
  <c r="E11" i="34"/>
  <c r="D11" i="34"/>
  <c r="D12" i="34" s="1"/>
  <c r="D13" i="34" s="1"/>
  <c r="D14" i="34" s="1"/>
  <c r="D15" i="34" s="1"/>
  <c r="D16" i="34" s="1"/>
  <c r="D17" i="34" s="1"/>
  <c r="D18" i="34" s="1"/>
  <c r="D19" i="34" s="1"/>
  <c r="D20" i="34" s="1"/>
  <c r="D21" i="34" s="1"/>
  <c r="D22" i="34" s="1"/>
  <c r="D23" i="34" s="1"/>
  <c r="D24" i="34" s="1"/>
  <c r="D25" i="34" s="1"/>
  <c r="D26" i="34" s="1"/>
  <c r="D27" i="34" s="1"/>
  <c r="D28" i="34" s="1"/>
  <c r="D29" i="34" s="1"/>
  <c r="D30" i="34" s="1"/>
  <c r="D31" i="34" s="1"/>
  <c r="D32" i="34" s="1"/>
  <c r="D33" i="34" s="1"/>
  <c r="D34" i="34" s="1"/>
  <c r="D35" i="34" s="1"/>
  <c r="D36" i="34" s="1"/>
  <c r="D37" i="34" s="1"/>
  <c r="D38" i="34" s="1"/>
  <c r="D39" i="34" s="1"/>
  <c r="D40" i="34" s="1"/>
  <c r="D41" i="34" s="1"/>
  <c r="D2" i="34"/>
  <c r="H41" i="33"/>
  <c r="I41" i="33" s="1"/>
  <c r="G41" i="33"/>
  <c r="F41" i="33"/>
  <c r="E41" i="33"/>
  <c r="H40" i="33"/>
  <c r="I40" i="33" s="1"/>
  <c r="G40" i="33"/>
  <c r="F40" i="33"/>
  <c r="E40" i="33"/>
  <c r="H39" i="33"/>
  <c r="I39" i="33" s="1"/>
  <c r="G39" i="33"/>
  <c r="F39" i="33"/>
  <c r="E39" i="33"/>
  <c r="H38" i="33"/>
  <c r="I38" i="33" s="1"/>
  <c r="G38" i="33"/>
  <c r="F38" i="33"/>
  <c r="E38" i="33"/>
  <c r="H37" i="33"/>
  <c r="I37" i="33" s="1"/>
  <c r="G37" i="33"/>
  <c r="F37" i="33"/>
  <c r="E37" i="33"/>
  <c r="H36" i="33"/>
  <c r="I36" i="33" s="1"/>
  <c r="G36" i="33"/>
  <c r="F36" i="33"/>
  <c r="E36" i="33"/>
  <c r="H35" i="33"/>
  <c r="I35" i="33" s="1"/>
  <c r="G35" i="33"/>
  <c r="F35" i="33"/>
  <c r="E35" i="33"/>
  <c r="H34" i="33"/>
  <c r="I34" i="33" s="1"/>
  <c r="G34" i="33"/>
  <c r="F34" i="33"/>
  <c r="E34" i="33"/>
  <c r="H33" i="33"/>
  <c r="I33" i="33" s="1"/>
  <c r="G33" i="33"/>
  <c r="F33" i="33"/>
  <c r="E33" i="33"/>
  <c r="H32" i="33"/>
  <c r="I32" i="33" s="1"/>
  <c r="G32" i="33"/>
  <c r="F32" i="33"/>
  <c r="E32" i="33"/>
  <c r="H31" i="33"/>
  <c r="I31" i="33" s="1"/>
  <c r="G31" i="33"/>
  <c r="F31" i="33"/>
  <c r="E31" i="33"/>
  <c r="H30" i="33"/>
  <c r="I30" i="33" s="1"/>
  <c r="G30" i="33"/>
  <c r="F30" i="33"/>
  <c r="E30" i="33"/>
  <c r="H29" i="33"/>
  <c r="I29" i="33" s="1"/>
  <c r="G29" i="33"/>
  <c r="F29" i="33"/>
  <c r="E29" i="33"/>
  <c r="H28" i="33"/>
  <c r="I28" i="33" s="1"/>
  <c r="G28" i="33"/>
  <c r="F28" i="33"/>
  <c r="E28" i="33"/>
  <c r="H27" i="33"/>
  <c r="I27" i="33" s="1"/>
  <c r="G27" i="33"/>
  <c r="F27" i="33"/>
  <c r="E27" i="33"/>
  <c r="H26" i="33"/>
  <c r="I26" i="33" s="1"/>
  <c r="G26" i="33"/>
  <c r="F26" i="33"/>
  <c r="E26" i="33"/>
  <c r="H25" i="33"/>
  <c r="I25" i="33" s="1"/>
  <c r="G25" i="33"/>
  <c r="F25" i="33"/>
  <c r="E25" i="33"/>
  <c r="H24" i="33"/>
  <c r="I24" i="33" s="1"/>
  <c r="G24" i="33"/>
  <c r="F24" i="33"/>
  <c r="E24" i="33"/>
  <c r="H23" i="33"/>
  <c r="I23" i="33" s="1"/>
  <c r="G23" i="33"/>
  <c r="F23" i="33"/>
  <c r="E23" i="33"/>
  <c r="H22" i="33"/>
  <c r="I22" i="33" s="1"/>
  <c r="G22" i="33"/>
  <c r="F22" i="33"/>
  <c r="E22" i="33"/>
  <c r="H21" i="33"/>
  <c r="I21" i="33" s="1"/>
  <c r="G21" i="33"/>
  <c r="F21" i="33"/>
  <c r="E21" i="33"/>
  <c r="H20" i="33"/>
  <c r="I20" i="33" s="1"/>
  <c r="G20" i="33"/>
  <c r="F20" i="33"/>
  <c r="E20" i="33"/>
  <c r="H19" i="33"/>
  <c r="I19" i="33" s="1"/>
  <c r="G19" i="33"/>
  <c r="F19" i="33"/>
  <c r="E19" i="33"/>
  <c r="H18" i="33"/>
  <c r="I18" i="33" s="1"/>
  <c r="G18" i="33"/>
  <c r="F18" i="33"/>
  <c r="E18" i="33"/>
  <c r="H17" i="33"/>
  <c r="I17" i="33" s="1"/>
  <c r="G17" i="33"/>
  <c r="F17" i="33"/>
  <c r="E17" i="33"/>
  <c r="H16" i="33"/>
  <c r="I16" i="33" s="1"/>
  <c r="G16" i="33"/>
  <c r="F16" i="33"/>
  <c r="E16" i="33"/>
  <c r="H15" i="33"/>
  <c r="I15" i="33" s="1"/>
  <c r="G15" i="33"/>
  <c r="F15" i="33"/>
  <c r="E15" i="33"/>
  <c r="H14" i="33"/>
  <c r="I14" i="33" s="1"/>
  <c r="G14" i="33"/>
  <c r="F14" i="33"/>
  <c r="E14" i="33"/>
  <c r="H13" i="33"/>
  <c r="I13" i="33" s="1"/>
  <c r="G13" i="33"/>
  <c r="F13" i="33"/>
  <c r="E13" i="33"/>
  <c r="H12" i="33"/>
  <c r="I12" i="33" s="1"/>
  <c r="G12" i="33"/>
  <c r="F12" i="33"/>
  <c r="E12" i="33"/>
  <c r="Y11" i="33"/>
  <c r="R11" i="33"/>
  <c r="U11" i="33" s="1"/>
  <c r="H11" i="33"/>
  <c r="I11" i="33" s="1"/>
  <c r="G11" i="33"/>
  <c r="F11" i="33"/>
  <c r="E11" i="33"/>
  <c r="D11" i="33"/>
  <c r="D12" i="33" s="1"/>
  <c r="D13" i="33" s="1"/>
  <c r="D14" i="33" s="1"/>
  <c r="D15" i="33" s="1"/>
  <c r="D16" i="33" s="1"/>
  <c r="D17" i="33" s="1"/>
  <c r="D18" i="33" s="1"/>
  <c r="D19" i="33" s="1"/>
  <c r="D20" i="33" s="1"/>
  <c r="D21" i="33" s="1"/>
  <c r="D22" i="33" s="1"/>
  <c r="D23" i="33" s="1"/>
  <c r="D24" i="33" s="1"/>
  <c r="D25" i="33" s="1"/>
  <c r="D26" i="33" s="1"/>
  <c r="D27" i="33" s="1"/>
  <c r="D28" i="33" s="1"/>
  <c r="D29" i="33" s="1"/>
  <c r="D30" i="33" s="1"/>
  <c r="D31" i="33" s="1"/>
  <c r="D32" i="33" s="1"/>
  <c r="D33" i="33" s="1"/>
  <c r="D34" i="33" s="1"/>
  <c r="D35" i="33" s="1"/>
  <c r="D36" i="33" s="1"/>
  <c r="D37" i="33" s="1"/>
  <c r="D38" i="33" s="1"/>
  <c r="D39" i="33" s="1"/>
  <c r="D40" i="33" s="1"/>
  <c r="D41" i="33" s="1"/>
  <c r="D2" i="33"/>
  <c r="H41" i="32"/>
  <c r="I41" i="32" s="1"/>
  <c r="G41" i="32"/>
  <c r="F41" i="32"/>
  <c r="E41" i="32"/>
  <c r="H40" i="32"/>
  <c r="I40" i="32" s="1"/>
  <c r="G40" i="32"/>
  <c r="F40" i="32"/>
  <c r="E40" i="32"/>
  <c r="H39" i="32"/>
  <c r="I39" i="32" s="1"/>
  <c r="G39" i="32"/>
  <c r="F39" i="32"/>
  <c r="E39" i="32"/>
  <c r="H38" i="32"/>
  <c r="I38" i="32" s="1"/>
  <c r="G38" i="32"/>
  <c r="F38" i="32"/>
  <c r="E38" i="32"/>
  <c r="H37" i="32"/>
  <c r="I37" i="32" s="1"/>
  <c r="G37" i="32"/>
  <c r="F37" i="32"/>
  <c r="E37" i="32"/>
  <c r="H36" i="32"/>
  <c r="I36" i="32" s="1"/>
  <c r="G36" i="32"/>
  <c r="F36" i="32"/>
  <c r="E36" i="32"/>
  <c r="H35" i="32"/>
  <c r="I35" i="32" s="1"/>
  <c r="G35" i="32"/>
  <c r="F35" i="32"/>
  <c r="E35" i="32"/>
  <c r="H34" i="32"/>
  <c r="I34" i="32" s="1"/>
  <c r="G34" i="32"/>
  <c r="F34" i="32"/>
  <c r="E34" i="32"/>
  <c r="H33" i="32"/>
  <c r="I33" i="32" s="1"/>
  <c r="G33" i="32"/>
  <c r="F33" i="32"/>
  <c r="E33" i="32"/>
  <c r="H32" i="32"/>
  <c r="I32" i="32" s="1"/>
  <c r="G32" i="32"/>
  <c r="F32" i="32"/>
  <c r="E32" i="32"/>
  <c r="H31" i="32"/>
  <c r="I31" i="32" s="1"/>
  <c r="G31" i="32"/>
  <c r="F31" i="32"/>
  <c r="E31" i="32"/>
  <c r="H30" i="32"/>
  <c r="I30" i="32" s="1"/>
  <c r="G30" i="32"/>
  <c r="F30" i="32"/>
  <c r="E30" i="32"/>
  <c r="H29" i="32"/>
  <c r="I29" i="32" s="1"/>
  <c r="G29" i="32"/>
  <c r="F29" i="32"/>
  <c r="E29" i="32"/>
  <c r="H28" i="32"/>
  <c r="I28" i="32" s="1"/>
  <c r="G28" i="32"/>
  <c r="F28" i="32"/>
  <c r="E28" i="32"/>
  <c r="H27" i="32"/>
  <c r="I27" i="32" s="1"/>
  <c r="G27" i="32"/>
  <c r="F27" i="32"/>
  <c r="E27" i="32"/>
  <c r="H26" i="32"/>
  <c r="I26" i="32" s="1"/>
  <c r="G26" i="32"/>
  <c r="F26" i="32"/>
  <c r="E26" i="32"/>
  <c r="H25" i="32"/>
  <c r="I25" i="32" s="1"/>
  <c r="G25" i="32"/>
  <c r="F25" i="32"/>
  <c r="E25" i="32"/>
  <c r="H24" i="32"/>
  <c r="I24" i="32" s="1"/>
  <c r="G24" i="32"/>
  <c r="F24" i="32"/>
  <c r="E24" i="32"/>
  <c r="H23" i="32"/>
  <c r="I23" i="32" s="1"/>
  <c r="G23" i="32"/>
  <c r="F23" i="32"/>
  <c r="E23" i="32"/>
  <c r="H22" i="32"/>
  <c r="I22" i="32" s="1"/>
  <c r="G22" i="32"/>
  <c r="F22" i="32"/>
  <c r="E22" i="32"/>
  <c r="H21" i="32"/>
  <c r="I21" i="32" s="1"/>
  <c r="G21" i="32"/>
  <c r="F21" i="32"/>
  <c r="E21" i="32"/>
  <c r="H20" i="32"/>
  <c r="I20" i="32" s="1"/>
  <c r="G20" i="32"/>
  <c r="F20" i="32"/>
  <c r="E20" i="32"/>
  <c r="H19" i="32"/>
  <c r="I19" i="32" s="1"/>
  <c r="G19" i="32"/>
  <c r="F19" i="32"/>
  <c r="E19" i="32"/>
  <c r="H18" i="32"/>
  <c r="I18" i="32" s="1"/>
  <c r="G18" i="32"/>
  <c r="F18" i="32"/>
  <c r="E18" i="32"/>
  <c r="H17" i="32"/>
  <c r="I17" i="32" s="1"/>
  <c r="G17" i="32"/>
  <c r="F17" i="32"/>
  <c r="E17" i="32"/>
  <c r="H16" i="32"/>
  <c r="I16" i="32" s="1"/>
  <c r="G16" i="32"/>
  <c r="F16" i="32"/>
  <c r="E16" i="32"/>
  <c r="H15" i="32"/>
  <c r="I15" i="32" s="1"/>
  <c r="G15" i="32"/>
  <c r="F15" i="32"/>
  <c r="E15" i="32"/>
  <c r="H14" i="32"/>
  <c r="I14" i="32" s="1"/>
  <c r="G14" i="32"/>
  <c r="F14" i="32"/>
  <c r="E14" i="32"/>
  <c r="H13" i="32"/>
  <c r="I13" i="32" s="1"/>
  <c r="G13" i="32"/>
  <c r="F13" i="32"/>
  <c r="E13" i="32"/>
  <c r="H12" i="32"/>
  <c r="I12" i="32" s="1"/>
  <c r="G12" i="32"/>
  <c r="F12" i="32"/>
  <c r="E12" i="32"/>
  <c r="Y11" i="32"/>
  <c r="R11" i="32"/>
  <c r="U11" i="32" s="1"/>
  <c r="H11" i="32"/>
  <c r="I11" i="32" s="1"/>
  <c r="G11" i="32"/>
  <c r="F11" i="32"/>
  <c r="E11" i="32"/>
  <c r="D11" i="32"/>
  <c r="D12" i="32" s="1"/>
  <c r="D13" i="32" s="1"/>
  <c r="D14" i="32" s="1"/>
  <c r="D15" i="32" s="1"/>
  <c r="D16" i="32" s="1"/>
  <c r="D17" i="32" s="1"/>
  <c r="D18" i="32" s="1"/>
  <c r="D19" i="32" s="1"/>
  <c r="D20" i="32" s="1"/>
  <c r="D21" i="32" s="1"/>
  <c r="D22" i="32" s="1"/>
  <c r="D23" i="32" s="1"/>
  <c r="D24" i="32" s="1"/>
  <c r="D25" i="32" s="1"/>
  <c r="D26" i="32" s="1"/>
  <c r="D27" i="32" s="1"/>
  <c r="D28" i="32" s="1"/>
  <c r="D29" i="32" s="1"/>
  <c r="D30" i="32" s="1"/>
  <c r="D31" i="32" s="1"/>
  <c r="D32" i="32" s="1"/>
  <c r="D33" i="32" s="1"/>
  <c r="D34" i="32" s="1"/>
  <c r="D35" i="32" s="1"/>
  <c r="D36" i="32" s="1"/>
  <c r="D37" i="32" s="1"/>
  <c r="D38" i="32" s="1"/>
  <c r="D39" i="32" s="1"/>
  <c r="D40" i="32" s="1"/>
  <c r="D41" i="32" s="1"/>
  <c r="D2" i="32"/>
  <c r="F41" i="31"/>
  <c r="E41" i="31"/>
  <c r="F40" i="31"/>
  <c r="E40" i="31"/>
  <c r="F39" i="31"/>
  <c r="E39" i="31"/>
  <c r="F38" i="31"/>
  <c r="E38" i="31"/>
  <c r="F37" i="31"/>
  <c r="E37" i="31"/>
  <c r="F36" i="31"/>
  <c r="E36" i="31"/>
  <c r="F35" i="31"/>
  <c r="E35" i="31"/>
  <c r="F34" i="31"/>
  <c r="E34" i="31"/>
  <c r="H14" i="31"/>
  <c r="I14" i="31" s="1"/>
  <c r="F14" i="31" s="1"/>
  <c r="G14" i="31"/>
  <c r="H13" i="31"/>
  <c r="I13" i="31" s="1"/>
  <c r="F13" i="31" s="1"/>
  <c r="G13" i="31"/>
  <c r="E13" i="31" s="1"/>
  <c r="H12" i="31"/>
  <c r="I12" i="31" s="1"/>
  <c r="F12" i="31" s="1"/>
  <c r="G12" i="31"/>
  <c r="E12" i="31" s="1"/>
  <c r="Y11" i="31"/>
  <c r="H11" i="31"/>
  <c r="I11" i="31" s="1"/>
  <c r="F11" i="31" s="1"/>
  <c r="G11" i="31"/>
  <c r="E11" i="31" s="1"/>
  <c r="D11" i="31"/>
  <c r="D12" i="31" s="1"/>
  <c r="D13" i="31" s="1"/>
  <c r="D14" i="31" s="1"/>
  <c r="D2" i="31"/>
  <c r="G41" i="30"/>
  <c r="F41" i="30"/>
  <c r="E41" i="30"/>
  <c r="G40" i="30"/>
  <c r="E40" i="30" s="1"/>
  <c r="G39" i="30"/>
  <c r="E39" i="30" s="1"/>
  <c r="G38" i="30"/>
  <c r="G37" i="30"/>
  <c r="G36" i="30"/>
  <c r="E36" i="30" s="1"/>
  <c r="G35" i="30"/>
  <c r="E35" i="30" s="1"/>
  <c r="G34" i="30"/>
  <c r="G33" i="30"/>
  <c r="G32" i="30"/>
  <c r="E32" i="30" s="1"/>
  <c r="G31" i="30"/>
  <c r="E31" i="30" s="1"/>
  <c r="G30" i="30"/>
  <c r="G29" i="30"/>
  <c r="G28" i="30"/>
  <c r="E28" i="30" s="1"/>
  <c r="G27" i="30"/>
  <c r="E27" i="30" s="1"/>
  <c r="G26" i="30"/>
  <c r="G25" i="30"/>
  <c r="G24" i="30"/>
  <c r="E24" i="30" s="1"/>
  <c r="G23" i="30"/>
  <c r="E23" i="30" s="1"/>
  <c r="G22" i="30"/>
  <c r="G21" i="30"/>
  <c r="G20" i="30"/>
  <c r="E20" i="30" s="1"/>
  <c r="H19" i="30"/>
  <c r="I19" i="30" s="1"/>
  <c r="F19" i="30" s="1"/>
  <c r="H18" i="30"/>
  <c r="I18" i="30" s="1"/>
  <c r="H17" i="30"/>
  <c r="I17" i="30" s="1"/>
  <c r="H16" i="30"/>
  <c r="I16" i="30" s="1"/>
  <c r="F16" i="30" s="1"/>
  <c r="H15" i="30"/>
  <c r="I15" i="30" s="1"/>
  <c r="F15" i="30" s="1"/>
  <c r="H14" i="30"/>
  <c r="I14" i="30" s="1"/>
  <c r="H13" i="30"/>
  <c r="I13" i="30" s="1"/>
  <c r="G13" i="30"/>
  <c r="H12" i="30"/>
  <c r="I12" i="30" s="1"/>
  <c r="F12" i="30" s="1"/>
  <c r="G12" i="30"/>
  <c r="E12" i="30" s="1"/>
  <c r="Y11" i="30"/>
  <c r="H11" i="30"/>
  <c r="I11" i="30" s="1"/>
  <c r="G11" i="30"/>
  <c r="F11" i="30"/>
  <c r="E11" i="30"/>
  <c r="D11" i="30"/>
  <c r="D12" i="30" s="1"/>
  <c r="D2" i="30"/>
  <c r="H14" i="29"/>
  <c r="I14" i="29" s="1"/>
  <c r="G14" i="29"/>
  <c r="E14" i="29" s="1"/>
  <c r="H13" i="29"/>
  <c r="I13" i="29" s="1"/>
  <c r="F13" i="29" s="1"/>
  <c r="G13" i="29"/>
  <c r="E13" i="29" s="1"/>
  <c r="H12" i="29"/>
  <c r="I12" i="29" s="1"/>
  <c r="F12" i="29" s="1"/>
  <c r="G12" i="29"/>
  <c r="E12" i="29" s="1"/>
  <c r="Y11" i="29"/>
  <c r="H11" i="29"/>
  <c r="I11" i="29" s="1"/>
  <c r="F11" i="29" s="1"/>
  <c r="G11" i="29"/>
  <c r="E11" i="29" s="1"/>
  <c r="D11" i="29"/>
  <c r="D12" i="29" s="1"/>
  <c r="D13" i="29" s="1"/>
  <c r="D2" i="29"/>
  <c r="F41" i="28"/>
  <c r="E41" i="28"/>
  <c r="H33" i="28"/>
  <c r="I33" i="28" s="1"/>
  <c r="G33" i="28"/>
  <c r="E33" i="28" s="1"/>
  <c r="H32" i="28"/>
  <c r="I32" i="28" s="1"/>
  <c r="G32" i="28"/>
  <c r="F32" i="28"/>
  <c r="E32" i="28"/>
  <c r="H31" i="28"/>
  <c r="I31" i="28" s="1"/>
  <c r="G31" i="28"/>
  <c r="F31" i="28"/>
  <c r="E31" i="28"/>
  <c r="H30" i="28"/>
  <c r="I30" i="28" s="1"/>
  <c r="G30" i="28"/>
  <c r="F30" i="28"/>
  <c r="E30" i="28"/>
  <c r="H29" i="28"/>
  <c r="I29" i="28" s="1"/>
  <c r="G29" i="28"/>
  <c r="F29" i="28"/>
  <c r="E29" i="28"/>
  <c r="H28" i="28"/>
  <c r="I28" i="28" s="1"/>
  <c r="G28" i="28"/>
  <c r="F28" i="28"/>
  <c r="E28" i="28"/>
  <c r="H27" i="28"/>
  <c r="I27" i="28" s="1"/>
  <c r="G27" i="28"/>
  <c r="F27" i="28"/>
  <c r="E27" i="28"/>
  <c r="H26" i="28"/>
  <c r="I26" i="28" s="1"/>
  <c r="G26" i="28"/>
  <c r="F26" i="28"/>
  <c r="E26" i="28"/>
  <c r="H25" i="28"/>
  <c r="I25" i="28" s="1"/>
  <c r="G25" i="28"/>
  <c r="F25" i="28"/>
  <c r="E25" i="28"/>
  <c r="H24" i="28"/>
  <c r="I24" i="28" s="1"/>
  <c r="G24" i="28"/>
  <c r="F24" i="28"/>
  <c r="E24" i="28"/>
  <c r="H23" i="28"/>
  <c r="I23" i="28" s="1"/>
  <c r="G23" i="28"/>
  <c r="F23" i="28"/>
  <c r="E23" i="28"/>
  <c r="H22" i="28"/>
  <c r="I22" i="28" s="1"/>
  <c r="G22" i="28"/>
  <c r="F22" i="28"/>
  <c r="E22" i="28"/>
  <c r="H21" i="28"/>
  <c r="I21" i="28" s="1"/>
  <c r="G21" i="28"/>
  <c r="F21" i="28"/>
  <c r="E21" i="28"/>
  <c r="H20" i="28"/>
  <c r="I20" i="28" s="1"/>
  <c r="G20" i="28"/>
  <c r="F20" i="28"/>
  <c r="E20" i="28"/>
  <c r="H19" i="28"/>
  <c r="I19" i="28" s="1"/>
  <c r="G19" i="28"/>
  <c r="F19" i="28"/>
  <c r="E19" i="28"/>
  <c r="H18" i="28"/>
  <c r="I18" i="28" s="1"/>
  <c r="G18" i="28"/>
  <c r="F18" i="28"/>
  <c r="E18" i="28"/>
  <c r="H17" i="28"/>
  <c r="I17" i="28" s="1"/>
  <c r="G17" i="28"/>
  <c r="F17" i="28"/>
  <c r="E17" i="28"/>
  <c r="H16" i="28"/>
  <c r="I16" i="28" s="1"/>
  <c r="G16" i="28"/>
  <c r="F16" i="28"/>
  <c r="E16" i="28"/>
  <c r="H15" i="28"/>
  <c r="I15" i="28" s="1"/>
  <c r="G15" i="28"/>
  <c r="F15" i="28"/>
  <c r="E15" i="28"/>
  <c r="H14" i="28"/>
  <c r="I14" i="28" s="1"/>
  <c r="G14" i="28"/>
  <c r="F14" i="28"/>
  <c r="E14" i="28"/>
  <c r="H13" i="28"/>
  <c r="I13" i="28" s="1"/>
  <c r="G13" i="28"/>
  <c r="F13" i="28"/>
  <c r="E13" i="28"/>
  <c r="H12" i="28"/>
  <c r="I12" i="28" s="1"/>
  <c r="G12" i="28"/>
  <c r="F12" i="28"/>
  <c r="E12" i="28"/>
  <c r="Y11" i="28"/>
  <c r="I11" i="28"/>
  <c r="H11" i="28"/>
  <c r="G11" i="28"/>
  <c r="F11" i="28"/>
  <c r="E11" i="28"/>
  <c r="D11" i="28"/>
  <c r="D12" i="28" s="1"/>
  <c r="D13" i="28" s="1"/>
  <c r="D14" i="28" s="1"/>
  <c r="D15" i="28" s="1"/>
  <c r="D16" i="28" s="1"/>
  <c r="D17" i="28" s="1"/>
  <c r="D18" i="28" s="1"/>
  <c r="D19" i="28" s="1"/>
  <c r="D20" i="28" s="1"/>
  <c r="D21" i="28" s="1"/>
  <c r="D22" i="28" s="1"/>
  <c r="D23" i="28" s="1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36" i="28" s="1"/>
  <c r="D37" i="28" s="1"/>
  <c r="D38" i="28" s="1"/>
  <c r="D39" i="28" s="1"/>
  <c r="D40" i="28" s="1"/>
  <c r="D41" i="28" s="1"/>
  <c r="D2" i="28"/>
  <c r="H41" i="27"/>
  <c r="I41" i="27" s="1"/>
  <c r="G41" i="27"/>
  <c r="F41" i="27"/>
  <c r="E41" i="27"/>
  <c r="H40" i="27"/>
  <c r="I40" i="27" s="1"/>
  <c r="G40" i="27"/>
  <c r="F40" i="27"/>
  <c r="E40" i="27"/>
  <c r="H39" i="27"/>
  <c r="I39" i="27" s="1"/>
  <c r="G39" i="27"/>
  <c r="F39" i="27"/>
  <c r="E39" i="27"/>
  <c r="H38" i="27"/>
  <c r="I38" i="27" s="1"/>
  <c r="G38" i="27"/>
  <c r="F38" i="27"/>
  <c r="E38" i="27"/>
  <c r="H37" i="27"/>
  <c r="I37" i="27" s="1"/>
  <c r="G37" i="27"/>
  <c r="F37" i="27"/>
  <c r="E37" i="27"/>
  <c r="H36" i="27"/>
  <c r="I36" i="27" s="1"/>
  <c r="G36" i="27"/>
  <c r="F36" i="27"/>
  <c r="E36" i="27"/>
  <c r="H35" i="27"/>
  <c r="I35" i="27" s="1"/>
  <c r="G35" i="27"/>
  <c r="F35" i="27"/>
  <c r="E35" i="27"/>
  <c r="H34" i="27"/>
  <c r="I34" i="27" s="1"/>
  <c r="G34" i="27"/>
  <c r="F34" i="27"/>
  <c r="E34" i="27"/>
  <c r="H33" i="27"/>
  <c r="I33" i="27" s="1"/>
  <c r="G33" i="27"/>
  <c r="F33" i="27"/>
  <c r="E33" i="27"/>
  <c r="H32" i="27"/>
  <c r="I32" i="27" s="1"/>
  <c r="G32" i="27"/>
  <c r="F32" i="27"/>
  <c r="E32" i="27"/>
  <c r="H31" i="27"/>
  <c r="I31" i="27" s="1"/>
  <c r="G31" i="27"/>
  <c r="F31" i="27"/>
  <c r="E31" i="27"/>
  <c r="H30" i="27"/>
  <c r="I30" i="27" s="1"/>
  <c r="G30" i="27"/>
  <c r="F30" i="27"/>
  <c r="E30" i="27"/>
  <c r="H29" i="27"/>
  <c r="I29" i="27" s="1"/>
  <c r="G29" i="27"/>
  <c r="F29" i="27"/>
  <c r="E29" i="27"/>
  <c r="H28" i="27"/>
  <c r="I28" i="27" s="1"/>
  <c r="G28" i="27"/>
  <c r="F28" i="27"/>
  <c r="E28" i="27"/>
  <c r="H27" i="27"/>
  <c r="I27" i="27" s="1"/>
  <c r="G27" i="27"/>
  <c r="F27" i="27"/>
  <c r="E27" i="27"/>
  <c r="H26" i="27"/>
  <c r="I26" i="27" s="1"/>
  <c r="G26" i="27"/>
  <c r="F26" i="27"/>
  <c r="E26" i="27"/>
  <c r="H25" i="27"/>
  <c r="I25" i="27" s="1"/>
  <c r="G25" i="27"/>
  <c r="F25" i="27"/>
  <c r="E25" i="27"/>
  <c r="H24" i="27"/>
  <c r="I24" i="27" s="1"/>
  <c r="G24" i="27"/>
  <c r="F24" i="27"/>
  <c r="E24" i="27"/>
  <c r="H23" i="27"/>
  <c r="I23" i="27" s="1"/>
  <c r="G23" i="27"/>
  <c r="F23" i="27"/>
  <c r="E23" i="27"/>
  <c r="H22" i="27"/>
  <c r="I22" i="27" s="1"/>
  <c r="G22" i="27"/>
  <c r="F22" i="27"/>
  <c r="E22" i="27"/>
  <c r="H21" i="27"/>
  <c r="I21" i="27" s="1"/>
  <c r="G21" i="27"/>
  <c r="F21" i="27"/>
  <c r="E21" i="27"/>
  <c r="H20" i="27"/>
  <c r="I20" i="27" s="1"/>
  <c r="G20" i="27"/>
  <c r="F20" i="27"/>
  <c r="E20" i="27"/>
  <c r="H19" i="27"/>
  <c r="I19" i="27" s="1"/>
  <c r="G19" i="27"/>
  <c r="F19" i="27"/>
  <c r="E19" i="27"/>
  <c r="H18" i="27"/>
  <c r="I18" i="27" s="1"/>
  <c r="G18" i="27"/>
  <c r="F18" i="27"/>
  <c r="E18" i="27"/>
  <c r="H17" i="27"/>
  <c r="I17" i="27" s="1"/>
  <c r="G17" i="27"/>
  <c r="F17" i="27"/>
  <c r="E17" i="27"/>
  <c r="H16" i="27"/>
  <c r="I16" i="27" s="1"/>
  <c r="G16" i="27"/>
  <c r="F16" i="27"/>
  <c r="E16" i="27"/>
  <c r="H15" i="27"/>
  <c r="I15" i="27" s="1"/>
  <c r="G15" i="27"/>
  <c r="F15" i="27"/>
  <c r="E15" i="27"/>
  <c r="H14" i="27"/>
  <c r="I14" i="27" s="1"/>
  <c r="G14" i="27"/>
  <c r="F14" i="27"/>
  <c r="E14" i="27"/>
  <c r="H13" i="27"/>
  <c r="I13" i="27" s="1"/>
  <c r="G13" i="27"/>
  <c r="F13" i="27"/>
  <c r="E13" i="27"/>
  <c r="H12" i="27"/>
  <c r="I12" i="27" s="1"/>
  <c r="G12" i="27"/>
  <c r="F12" i="27"/>
  <c r="E12" i="27"/>
  <c r="Y11" i="27"/>
  <c r="R11" i="27"/>
  <c r="U11" i="27" s="1"/>
  <c r="H11" i="27"/>
  <c r="I11" i="27" s="1"/>
  <c r="G11" i="27"/>
  <c r="F11" i="27"/>
  <c r="E11" i="27"/>
  <c r="D11" i="27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2" i="27"/>
  <c r="H41" i="26"/>
  <c r="I41" i="26" s="1"/>
  <c r="G41" i="26"/>
  <c r="F41" i="26"/>
  <c r="E41" i="26"/>
  <c r="H40" i="26"/>
  <c r="I40" i="26" s="1"/>
  <c r="G40" i="26"/>
  <c r="F40" i="26"/>
  <c r="E40" i="26"/>
  <c r="H39" i="26"/>
  <c r="I39" i="26" s="1"/>
  <c r="G39" i="26"/>
  <c r="F39" i="26"/>
  <c r="E39" i="26"/>
  <c r="H38" i="26"/>
  <c r="I38" i="26" s="1"/>
  <c r="G38" i="26"/>
  <c r="F38" i="26"/>
  <c r="E38" i="26"/>
  <c r="H37" i="26"/>
  <c r="I37" i="26" s="1"/>
  <c r="G37" i="26"/>
  <c r="F37" i="26"/>
  <c r="E37" i="26"/>
  <c r="H36" i="26"/>
  <c r="I36" i="26" s="1"/>
  <c r="G36" i="26"/>
  <c r="F36" i="26"/>
  <c r="E36" i="26"/>
  <c r="H35" i="26"/>
  <c r="I35" i="26" s="1"/>
  <c r="G35" i="26"/>
  <c r="F35" i="26"/>
  <c r="E35" i="26"/>
  <c r="H34" i="26"/>
  <c r="I34" i="26" s="1"/>
  <c r="G34" i="26"/>
  <c r="F34" i="26"/>
  <c r="E34" i="26"/>
  <c r="H33" i="26"/>
  <c r="I33" i="26" s="1"/>
  <c r="G33" i="26"/>
  <c r="F33" i="26"/>
  <c r="E33" i="26"/>
  <c r="H32" i="26"/>
  <c r="I32" i="26" s="1"/>
  <c r="G32" i="26"/>
  <c r="F32" i="26"/>
  <c r="E32" i="26"/>
  <c r="H31" i="26"/>
  <c r="I31" i="26" s="1"/>
  <c r="G31" i="26"/>
  <c r="F31" i="26"/>
  <c r="E31" i="26"/>
  <c r="H30" i="26"/>
  <c r="I30" i="26" s="1"/>
  <c r="G30" i="26"/>
  <c r="F30" i="26"/>
  <c r="E30" i="26"/>
  <c r="H29" i="26"/>
  <c r="I29" i="26" s="1"/>
  <c r="G29" i="26"/>
  <c r="F29" i="26"/>
  <c r="E29" i="26"/>
  <c r="H28" i="26"/>
  <c r="I28" i="26" s="1"/>
  <c r="G28" i="26"/>
  <c r="F28" i="26"/>
  <c r="E28" i="26"/>
  <c r="H27" i="26"/>
  <c r="I27" i="26" s="1"/>
  <c r="G27" i="26"/>
  <c r="F27" i="26"/>
  <c r="E27" i="26"/>
  <c r="H26" i="26"/>
  <c r="I26" i="26" s="1"/>
  <c r="G26" i="26"/>
  <c r="F26" i="26"/>
  <c r="E26" i="26"/>
  <c r="H25" i="26"/>
  <c r="I25" i="26" s="1"/>
  <c r="G25" i="26"/>
  <c r="F25" i="26"/>
  <c r="E25" i="26"/>
  <c r="H24" i="26"/>
  <c r="I24" i="26" s="1"/>
  <c r="G24" i="26"/>
  <c r="F24" i="26"/>
  <c r="E24" i="26"/>
  <c r="I23" i="26"/>
  <c r="H23" i="26"/>
  <c r="G23" i="26"/>
  <c r="F23" i="26"/>
  <c r="E23" i="26"/>
  <c r="H22" i="26"/>
  <c r="I22" i="26" s="1"/>
  <c r="G22" i="26"/>
  <c r="F22" i="26"/>
  <c r="E22" i="26"/>
  <c r="H21" i="26"/>
  <c r="I21" i="26" s="1"/>
  <c r="G21" i="26"/>
  <c r="F21" i="26"/>
  <c r="E21" i="26"/>
  <c r="H20" i="26"/>
  <c r="I20" i="26" s="1"/>
  <c r="G20" i="26"/>
  <c r="F20" i="26"/>
  <c r="E20" i="26"/>
  <c r="H19" i="26"/>
  <c r="I19" i="26" s="1"/>
  <c r="G19" i="26"/>
  <c r="F19" i="26"/>
  <c r="E19" i="26"/>
  <c r="H18" i="26"/>
  <c r="I18" i="26" s="1"/>
  <c r="G18" i="26"/>
  <c r="F18" i="26"/>
  <c r="E18" i="26"/>
  <c r="H17" i="26"/>
  <c r="I17" i="26" s="1"/>
  <c r="G17" i="26"/>
  <c r="F17" i="26"/>
  <c r="E17" i="26"/>
  <c r="H16" i="26"/>
  <c r="I16" i="26" s="1"/>
  <c r="G16" i="26"/>
  <c r="F16" i="26"/>
  <c r="E16" i="26"/>
  <c r="H15" i="26"/>
  <c r="I15" i="26" s="1"/>
  <c r="G15" i="26"/>
  <c r="F15" i="26"/>
  <c r="E15" i="26"/>
  <c r="H14" i="26"/>
  <c r="I14" i="26" s="1"/>
  <c r="G14" i="26"/>
  <c r="F14" i="26"/>
  <c r="E14" i="26"/>
  <c r="H13" i="26"/>
  <c r="I13" i="26" s="1"/>
  <c r="G13" i="26"/>
  <c r="F13" i="26"/>
  <c r="E13" i="26"/>
  <c r="H12" i="26"/>
  <c r="I12" i="26" s="1"/>
  <c r="G12" i="26"/>
  <c r="F12" i="26"/>
  <c r="E12" i="26"/>
  <c r="Y11" i="26"/>
  <c r="R11" i="26"/>
  <c r="U11" i="26" s="1"/>
  <c r="I11" i="26"/>
  <c r="H11" i="26"/>
  <c r="G11" i="26"/>
  <c r="F11" i="26"/>
  <c r="E11" i="26"/>
  <c r="D11" i="26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D36" i="26" s="1"/>
  <c r="D37" i="26" s="1"/>
  <c r="D38" i="26" s="1"/>
  <c r="D39" i="26" s="1"/>
  <c r="D40" i="26" s="1"/>
  <c r="D41" i="26" s="1"/>
  <c r="D2" i="26"/>
  <c r="G41" i="14"/>
  <c r="G14" i="14"/>
  <c r="G13" i="14"/>
  <c r="G12" i="14"/>
  <c r="H11" i="14"/>
  <c r="I11" i="14" s="1"/>
  <c r="F11" i="14" s="1"/>
  <c r="G11" i="14"/>
  <c r="E11" i="14" s="1"/>
  <c r="G17" i="14"/>
  <c r="G16" i="14"/>
  <c r="G15" i="14"/>
  <c r="H14" i="14"/>
  <c r="I14" i="14" s="1"/>
  <c r="H13" i="14"/>
  <c r="I13" i="14" s="1"/>
  <c r="H12" i="14"/>
  <c r="I12" i="14" s="1"/>
  <c r="F14" i="14"/>
  <c r="E14" i="14"/>
  <c r="F13" i="14"/>
  <c r="F12" i="14"/>
  <c r="H41" i="14"/>
  <c r="I41" i="14" s="1"/>
  <c r="H40" i="14"/>
  <c r="I40" i="14" s="1"/>
  <c r="G40" i="14"/>
  <c r="H39" i="14"/>
  <c r="I39" i="14" s="1"/>
  <c r="G39" i="14"/>
  <c r="H38" i="14"/>
  <c r="I38" i="14" s="1"/>
  <c r="G38" i="14"/>
  <c r="H37" i="14"/>
  <c r="I37" i="14" s="1"/>
  <c r="G37" i="14"/>
  <c r="H36" i="14"/>
  <c r="I36" i="14" s="1"/>
  <c r="G36" i="14"/>
  <c r="H35" i="14"/>
  <c r="I35" i="14" s="1"/>
  <c r="G35" i="14"/>
  <c r="H34" i="14"/>
  <c r="I34" i="14" s="1"/>
  <c r="G34" i="14"/>
  <c r="H33" i="14"/>
  <c r="I33" i="14" s="1"/>
  <c r="G33" i="14"/>
  <c r="H32" i="14"/>
  <c r="I32" i="14" s="1"/>
  <c r="G32" i="14"/>
  <c r="H31" i="14"/>
  <c r="I31" i="14" s="1"/>
  <c r="G31" i="14"/>
  <c r="H30" i="14"/>
  <c r="I30" i="14" s="1"/>
  <c r="G30" i="14"/>
  <c r="H29" i="14"/>
  <c r="I29" i="14" s="1"/>
  <c r="G29" i="14"/>
  <c r="H28" i="14"/>
  <c r="I28" i="14" s="1"/>
  <c r="G28" i="14"/>
  <c r="H27" i="14"/>
  <c r="I27" i="14" s="1"/>
  <c r="G27" i="14"/>
  <c r="H26" i="14"/>
  <c r="I26" i="14" s="1"/>
  <c r="G26" i="14"/>
  <c r="H25" i="14"/>
  <c r="I25" i="14" s="1"/>
  <c r="G25" i="14"/>
  <c r="H24" i="14"/>
  <c r="I24" i="14" s="1"/>
  <c r="G24" i="14"/>
  <c r="H23" i="14"/>
  <c r="I23" i="14" s="1"/>
  <c r="G23" i="14"/>
  <c r="H22" i="14"/>
  <c r="I22" i="14" s="1"/>
  <c r="G22" i="14"/>
  <c r="H21" i="14"/>
  <c r="I21" i="14" s="1"/>
  <c r="G21" i="14"/>
  <c r="H20" i="14"/>
  <c r="I20" i="14" s="1"/>
  <c r="G20" i="14"/>
  <c r="H19" i="14"/>
  <c r="I19" i="14" s="1"/>
  <c r="F19" i="14" s="1"/>
  <c r="G19" i="14"/>
  <c r="H18" i="14"/>
  <c r="I18" i="14" s="1"/>
  <c r="F18" i="14" s="1"/>
  <c r="G18" i="14"/>
  <c r="E18" i="14" s="1"/>
  <c r="H17" i="14"/>
  <c r="I17" i="14" s="1"/>
  <c r="H16" i="14"/>
  <c r="I16" i="14" s="1"/>
  <c r="F16" i="14" s="1"/>
  <c r="H15" i="14"/>
  <c r="I15" i="14" s="1"/>
  <c r="F15" i="14" s="1"/>
  <c r="E15" i="14"/>
  <c r="E12" i="14"/>
  <c r="E13" i="14"/>
  <c r="F38" i="14"/>
  <c r="R11" i="14"/>
  <c r="V11" i="14" s="1"/>
  <c r="F41" i="14"/>
  <c r="E41" i="14"/>
  <c r="E32" i="14"/>
  <c r="F32" i="14"/>
  <c r="F31" i="14"/>
  <c r="E31" i="14"/>
  <c r="F30" i="14"/>
  <c r="E30" i="14"/>
  <c r="F29" i="14"/>
  <c r="E29" i="14"/>
  <c r="F28" i="14"/>
  <c r="E28" i="14"/>
  <c r="F27" i="14"/>
  <c r="E27" i="14"/>
  <c r="F26" i="14"/>
  <c r="E26" i="14"/>
  <c r="F25" i="14"/>
  <c r="E25" i="14"/>
  <c r="F24" i="14"/>
  <c r="E24" i="14"/>
  <c r="F23" i="14"/>
  <c r="E23" i="14"/>
  <c r="F22" i="14"/>
  <c r="E22" i="14"/>
  <c r="F21" i="14"/>
  <c r="E21" i="14"/>
  <c r="F20" i="14"/>
  <c r="E20" i="14"/>
  <c r="E19" i="14"/>
  <c r="F17" i="14"/>
  <c r="E17" i="14"/>
  <c r="E16" i="14"/>
  <c r="Y11" i="14"/>
  <c r="D11" i="14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2" i="14"/>
  <c r="V11" i="27" l="1"/>
  <c r="V11" i="35"/>
  <c r="C19" i="3" s="1"/>
  <c r="V11" i="32"/>
  <c r="V11" i="36"/>
  <c r="C20" i="3" s="1"/>
  <c r="V11" i="33"/>
  <c r="V11" i="26"/>
  <c r="V11" i="34"/>
  <c r="D15" i="3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F14" i="30"/>
  <c r="F18" i="30"/>
  <c r="E22" i="30"/>
  <c r="E26" i="30"/>
  <c r="F17" i="30"/>
  <c r="H41" i="29"/>
  <c r="I41" i="29" s="1"/>
  <c r="F41" i="29" s="1"/>
  <c r="R11" i="31"/>
  <c r="G15" i="31"/>
  <c r="E15" i="31" s="1"/>
  <c r="G16" i="31"/>
  <c r="E16" i="31" s="1"/>
  <c r="G17" i="31"/>
  <c r="E17" i="31" s="1"/>
  <c r="G18" i="31"/>
  <c r="E18" i="31" s="1"/>
  <c r="G19" i="31"/>
  <c r="E19" i="31" s="1"/>
  <c r="G20" i="31"/>
  <c r="E20" i="31" s="1"/>
  <c r="G21" i="31"/>
  <c r="E21" i="31" s="1"/>
  <c r="G22" i="31"/>
  <c r="E22" i="31" s="1"/>
  <c r="G23" i="31"/>
  <c r="E23" i="31" s="1"/>
  <c r="G24" i="31"/>
  <c r="E24" i="31" s="1"/>
  <c r="G25" i="31"/>
  <c r="E25" i="31" s="1"/>
  <c r="H15" i="31"/>
  <c r="I15" i="31" s="1"/>
  <c r="F15" i="31" s="1"/>
  <c r="H16" i="31"/>
  <c r="I16" i="31" s="1"/>
  <c r="F16" i="31" s="1"/>
  <c r="H17" i="31"/>
  <c r="I17" i="31" s="1"/>
  <c r="F17" i="31" s="1"/>
  <c r="H18" i="31"/>
  <c r="I18" i="31" s="1"/>
  <c r="F18" i="31" s="1"/>
  <c r="H19" i="31"/>
  <c r="I19" i="31" s="1"/>
  <c r="F19" i="31" s="1"/>
  <c r="H20" i="31"/>
  <c r="I20" i="31" s="1"/>
  <c r="F20" i="31" s="1"/>
  <c r="H21" i="31"/>
  <c r="I21" i="31" s="1"/>
  <c r="F21" i="31" s="1"/>
  <c r="H22" i="31"/>
  <c r="I22" i="31" s="1"/>
  <c r="F22" i="31" s="1"/>
  <c r="H23" i="31"/>
  <c r="I23" i="31" s="1"/>
  <c r="F23" i="31" s="1"/>
  <c r="H24" i="31"/>
  <c r="I24" i="31" s="1"/>
  <c r="F24" i="31" s="1"/>
  <c r="H25" i="31"/>
  <c r="I25" i="31" s="1"/>
  <c r="F25" i="31" s="1"/>
  <c r="G26" i="31"/>
  <c r="E26" i="31" s="1"/>
  <c r="G27" i="31"/>
  <c r="E27" i="31" s="1"/>
  <c r="G28" i="31"/>
  <c r="E28" i="31" s="1"/>
  <c r="G29" i="31"/>
  <c r="E29" i="31" s="1"/>
  <c r="G30" i="31"/>
  <c r="E30" i="31" s="1"/>
  <c r="G31" i="31"/>
  <c r="E31" i="31" s="1"/>
  <c r="G32" i="31"/>
  <c r="E32" i="31" s="1"/>
  <c r="G33" i="31"/>
  <c r="E33" i="31" s="1"/>
  <c r="G34" i="31"/>
  <c r="G35" i="31"/>
  <c r="G36" i="31"/>
  <c r="G37" i="31"/>
  <c r="G38" i="31"/>
  <c r="G39" i="31"/>
  <c r="G40" i="31"/>
  <c r="G41" i="31"/>
  <c r="E14" i="31"/>
  <c r="H26" i="31"/>
  <c r="I26" i="31" s="1"/>
  <c r="F26" i="31" s="1"/>
  <c r="H27" i="31"/>
  <c r="I27" i="31" s="1"/>
  <c r="F27" i="31" s="1"/>
  <c r="H28" i="31"/>
  <c r="I28" i="31" s="1"/>
  <c r="F28" i="31" s="1"/>
  <c r="H29" i="31"/>
  <c r="I29" i="31" s="1"/>
  <c r="F29" i="31" s="1"/>
  <c r="H30" i="31"/>
  <c r="I30" i="31" s="1"/>
  <c r="F30" i="31" s="1"/>
  <c r="H31" i="31"/>
  <c r="I31" i="31" s="1"/>
  <c r="F31" i="31" s="1"/>
  <c r="H32" i="31"/>
  <c r="I32" i="31" s="1"/>
  <c r="F32" i="31" s="1"/>
  <c r="H33" i="31"/>
  <c r="I33" i="31" s="1"/>
  <c r="F33" i="31" s="1"/>
  <c r="H34" i="31"/>
  <c r="I34" i="31" s="1"/>
  <c r="H35" i="31"/>
  <c r="I35" i="31" s="1"/>
  <c r="H36" i="31"/>
  <c r="I36" i="31" s="1"/>
  <c r="H37" i="31"/>
  <c r="I37" i="31" s="1"/>
  <c r="H38" i="31"/>
  <c r="I38" i="31" s="1"/>
  <c r="H39" i="31"/>
  <c r="I39" i="31" s="1"/>
  <c r="H40" i="31"/>
  <c r="I40" i="31" s="1"/>
  <c r="E13" i="30"/>
  <c r="H20" i="30"/>
  <c r="I20" i="30" s="1"/>
  <c r="F20" i="30" s="1"/>
  <c r="H21" i="30"/>
  <c r="I21" i="30" s="1"/>
  <c r="F21" i="30" s="1"/>
  <c r="H22" i="30"/>
  <c r="I22" i="30" s="1"/>
  <c r="F22" i="30" s="1"/>
  <c r="H23" i="30"/>
  <c r="I23" i="30" s="1"/>
  <c r="F23" i="30" s="1"/>
  <c r="H24" i="30"/>
  <c r="I24" i="30" s="1"/>
  <c r="F24" i="30" s="1"/>
  <c r="H25" i="30"/>
  <c r="I25" i="30" s="1"/>
  <c r="F25" i="30" s="1"/>
  <c r="H26" i="30"/>
  <c r="I26" i="30" s="1"/>
  <c r="F26" i="30" s="1"/>
  <c r="H27" i="30"/>
  <c r="I27" i="30" s="1"/>
  <c r="F27" i="30" s="1"/>
  <c r="H28" i="30"/>
  <c r="I28" i="30" s="1"/>
  <c r="F28" i="30" s="1"/>
  <c r="H29" i="30"/>
  <c r="I29" i="30" s="1"/>
  <c r="F29" i="30" s="1"/>
  <c r="H30" i="30"/>
  <c r="I30" i="30" s="1"/>
  <c r="F30" i="30" s="1"/>
  <c r="H31" i="30"/>
  <c r="I31" i="30" s="1"/>
  <c r="F31" i="30" s="1"/>
  <c r="H32" i="30"/>
  <c r="I32" i="30" s="1"/>
  <c r="F32" i="30" s="1"/>
  <c r="H33" i="30"/>
  <c r="I33" i="30" s="1"/>
  <c r="F33" i="30" s="1"/>
  <c r="H34" i="30"/>
  <c r="I34" i="30" s="1"/>
  <c r="F34" i="30" s="1"/>
  <c r="H35" i="30"/>
  <c r="I35" i="30" s="1"/>
  <c r="F35" i="30" s="1"/>
  <c r="H36" i="30"/>
  <c r="I36" i="30" s="1"/>
  <c r="F36" i="30" s="1"/>
  <c r="H37" i="30"/>
  <c r="I37" i="30" s="1"/>
  <c r="F37" i="30" s="1"/>
  <c r="H38" i="30"/>
  <c r="I38" i="30" s="1"/>
  <c r="F38" i="30" s="1"/>
  <c r="H39" i="30"/>
  <c r="I39" i="30" s="1"/>
  <c r="F39" i="30" s="1"/>
  <c r="H40" i="30"/>
  <c r="I40" i="30" s="1"/>
  <c r="F40" i="30" s="1"/>
  <c r="H41" i="30"/>
  <c r="I41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F13" i="30"/>
  <c r="E21" i="30"/>
  <c r="E25" i="30"/>
  <c r="E29" i="30"/>
  <c r="E30" i="30"/>
  <c r="E33" i="30"/>
  <c r="E34" i="30"/>
  <c r="E37" i="30"/>
  <c r="E38" i="30"/>
  <c r="R11" i="30"/>
  <c r="G14" i="30"/>
  <c r="E14" i="30" s="1"/>
  <c r="G15" i="30"/>
  <c r="E15" i="30" s="1"/>
  <c r="G16" i="30"/>
  <c r="E16" i="30" s="1"/>
  <c r="G17" i="30"/>
  <c r="E17" i="30" s="1"/>
  <c r="G18" i="30"/>
  <c r="E18" i="30" s="1"/>
  <c r="D14" i="29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F14" i="29"/>
  <c r="R11" i="29"/>
  <c r="G15" i="29"/>
  <c r="E15" i="29" s="1"/>
  <c r="G16" i="29"/>
  <c r="E16" i="29" s="1"/>
  <c r="G17" i="29"/>
  <c r="E17" i="29" s="1"/>
  <c r="G18" i="29"/>
  <c r="E18" i="29" s="1"/>
  <c r="G19" i="29"/>
  <c r="E19" i="29" s="1"/>
  <c r="G20" i="29"/>
  <c r="E20" i="29" s="1"/>
  <c r="G21" i="29"/>
  <c r="E21" i="29" s="1"/>
  <c r="G22" i="29"/>
  <c r="E22" i="29" s="1"/>
  <c r="G23" i="29"/>
  <c r="E23" i="29" s="1"/>
  <c r="G24" i="29"/>
  <c r="E24" i="29" s="1"/>
  <c r="G25" i="29"/>
  <c r="E25" i="29" s="1"/>
  <c r="G26" i="29"/>
  <c r="E26" i="29" s="1"/>
  <c r="G27" i="29"/>
  <c r="E27" i="29" s="1"/>
  <c r="G28" i="29"/>
  <c r="E28" i="29" s="1"/>
  <c r="G29" i="29"/>
  <c r="E29" i="29" s="1"/>
  <c r="G30" i="29"/>
  <c r="E30" i="29" s="1"/>
  <c r="G31" i="29"/>
  <c r="E31" i="29" s="1"/>
  <c r="G32" i="29"/>
  <c r="E32" i="29" s="1"/>
  <c r="G33" i="29"/>
  <c r="E33" i="29" s="1"/>
  <c r="G34" i="29"/>
  <c r="E34" i="29" s="1"/>
  <c r="G35" i="29"/>
  <c r="E35" i="29" s="1"/>
  <c r="G36" i="29"/>
  <c r="E36" i="29" s="1"/>
  <c r="G37" i="29"/>
  <c r="E37" i="29" s="1"/>
  <c r="G38" i="29"/>
  <c r="E38" i="29" s="1"/>
  <c r="G39" i="29"/>
  <c r="E39" i="29" s="1"/>
  <c r="G40" i="29"/>
  <c r="E40" i="29" s="1"/>
  <c r="G41" i="29"/>
  <c r="E41" i="29" s="1"/>
  <c r="H15" i="29"/>
  <c r="I15" i="29" s="1"/>
  <c r="F15" i="29" s="1"/>
  <c r="H16" i="29"/>
  <c r="I16" i="29" s="1"/>
  <c r="F16" i="29" s="1"/>
  <c r="H17" i="29"/>
  <c r="I17" i="29" s="1"/>
  <c r="F17" i="29" s="1"/>
  <c r="H18" i="29"/>
  <c r="I18" i="29" s="1"/>
  <c r="F18" i="29" s="1"/>
  <c r="H19" i="29"/>
  <c r="I19" i="29" s="1"/>
  <c r="F19" i="29" s="1"/>
  <c r="H20" i="29"/>
  <c r="I20" i="29" s="1"/>
  <c r="F20" i="29" s="1"/>
  <c r="H21" i="29"/>
  <c r="I21" i="29" s="1"/>
  <c r="F21" i="29" s="1"/>
  <c r="H22" i="29"/>
  <c r="I22" i="29" s="1"/>
  <c r="F22" i="29" s="1"/>
  <c r="H23" i="29"/>
  <c r="I23" i="29" s="1"/>
  <c r="F23" i="29" s="1"/>
  <c r="H24" i="29"/>
  <c r="I24" i="29" s="1"/>
  <c r="F24" i="29" s="1"/>
  <c r="H25" i="29"/>
  <c r="I25" i="29" s="1"/>
  <c r="F25" i="29" s="1"/>
  <c r="H26" i="29"/>
  <c r="I26" i="29" s="1"/>
  <c r="F26" i="29" s="1"/>
  <c r="H27" i="29"/>
  <c r="I27" i="29" s="1"/>
  <c r="F27" i="29" s="1"/>
  <c r="H28" i="29"/>
  <c r="I28" i="29" s="1"/>
  <c r="F28" i="29" s="1"/>
  <c r="H29" i="29"/>
  <c r="I29" i="29" s="1"/>
  <c r="F29" i="29" s="1"/>
  <c r="H30" i="29"/>
  <c r="I30" i="29" s="1"/>
  <c r="F30" i="29" s="1"/>
  <c r="H31" i="29"/>
  <c r="I31" i="29" s="1"/>
  <c r="F31" i="29" s="1"/>
  <c r="H32" i="29"/>
  <c r="I32" i="29" s="1"/>
  <c r="F32" i="29" s="1"/>
  <c r="H33" i="29"/>
  <c r="I33" i="29" s="1"/>
  <c r="F33" i="29" s="1"/>
  <c r="H34" i="29"/>
  <c r="I34" i="29" s="1"/>
  <c r="F34" i="29" s="1"/>
  <c r="H35" i="29"/>
  <c r="I35" i="29" s="1"/>
  <c r="F35" i="29" s="1"/>
  <c r="H36" i="29"/>
  <c r="I36" i="29" s="1"/>
  <c r="F36" i="29" s="1"/>
  <c r="H37" i="29"/>
  <c r="I37" i="29" s="1"/>
  <c r="F37" i="29" s="1"/>
  <c r="H38" i="29"/>
  <c r="I38" i="29" s="1"/>
  <c r="F38" i="29" s="1"/>
  <c r="H39" i="29"/>
  <c r="I39" i="29" s="1"/>
  <c r="F39" i="29" s="1"/>
  <c r="H40" i="29"/>
  <c r="I40" i="29" s="1"/>
  <c r="F40" i="29" s="1"/>
  <c r="F33" i="28"/>
  <c r="R11" i="28"/>
  <c r="G34" i="28"/>
  <c r="E34" i="28" s="1"/>
  <c r="G35" i="28"/>
  <c r="E35" i="28" s="1"/>
  <c r="G36" i="28"/>
  <c r="E36" i="28" s="1"/>
  <c r="G37" i="28"/>
  <c r="E37" i="28" s="1"/>
  <c r="G38" i="28"/>
  <c r="E38" i="28" s="1"/>
  <c r="G39" i="28"/>
  <c r="E39" i="28" s="1"/>
  <c r="G40" i="28"/>
  <c r="E40" i="28" s="1"/>
  <c r="G41" i="28"/>
  <c r="H34" i="28"/>
  <c r="I34" i="28" s="1"/>
  <c r="F34" i="28" s="1"/>
  <c r="H35" i="28"/>
  <c r="I35" i="28" s="1"/>
  <c r="F35" i="28" s="1"/>
  <c r="H36" i="28"/>
  <c r="I36" i="28" s="1"/>
  <c r="F36" i="28" s="1"/>
  <c r="H37" i="28"/>
  <c r="I37" i="28" s="1"/>
  <c r="F37" i="28" s="1"/>
  <c r="H38" i="28"/>
  <c r="I38" i="28" s="1"/>
  <c r="F38" i="28" s="1"/>
  <c r="H39" i="28"/>
  <c r="I39" i="28" s="1"/>
  <c r="F39" i="28" s="1"/>
  <c r="H40" i="28"/>
  <c r="I40" i="28" s="1"/>
  <c r="F40" i="28" s="1"/>
  <c r="P11" i="28"/>
  <c r="T11" i="28" s="1"/>
  <c r="P11" i="31"/>
  <c r="T11" i="31" s="1"/>
  <c r="P11" i="33"/>
  <c r="T11" i="33" s="1"/>
  <c r="U11" i="36"/>
  <c r="P11" i="36"/>
  <c r="T11" i="36" s="1"/>
  <c r="P11" i="35"/>
  <c r="T11" i="35" s="1"/>
  <c r="U11" i="34"/>
  <c r="P11" i="34"/>
  <c r="T11" i="34" s="1"/>
  <c r="P11" i="32"/>
  <c r="T11" i="32" s="1"/>
  <c r="P11" i="27"/>
  <c r="T11" i="27" s="1"/>
  <c r="C11" i="3"/>
  <c r="X11" i="27"/>
  <c r="C10" i="3"/>
  <c r="P11" i="26"/>
  <c r="T11" i="26" s="1"/>
  <c r="X11" i="26"/>
  <c r="W11" i="27"/>
  <c r="W11" i="35"/>
  <c r="X11" i="35"/>
  <c r="X11" i="33"/>
  <c r="X11" i="32"/>
  <c r="X11" i="31"/>
  <c r="D33" i="14"/>
  <c r="D34" i="14" s="1"/>
  <c r="D35" i="14" s="1"/>
  <c r="D36" i="14" s="1"/>
  <c r="D37" i="14" s="1"/>
  <c r="D38" i="14" s="1"/>
  <c r="D39" i="14" s="1"/>
  <c r="D40" i="14" s="1"/>
  <c r="D41" i="14" s="1"/>
  <c r="E34" i="14"/>
  <c r="E35" i="14"/>
  <c r="E36" i="14"/>
  <c r="E37" i="14"/>
  <c r="E40" i="14"/>
  <c r="E33" i="14"/>
  <c r="F34" i="14"/>
  <c r="F35" i="14"/>
  <c r="F36" i="14"/>
  <c r="F37" i="14"/>
  <c r="E38" i="14"/>
  <c r="F39" i="14"/>
  <c r="U11" i="14"/>
  <c r="F33" i="14"/>
  <c r="E39" i="14"/>
  <c r="F40" i="14"/>
  <c r="W11" i="36" l="1"/>
  <c r="U11" i="31"/>
  <c r="V11" i="31"/>
  <c r="C15" i="3" s="1"/>
  <c r="X11" i="30"/>
  <c r="V11" i="30"/>
  <c r="U11" i="29"/>
  <c r="V11" i="29"/>
  <c r="W11" i="29" s="1"/>
  <c r="X11" i="28"/>
  <c r="V11" i="28"/>
  <c r="W11" i="28" s="1"/>
  <c r="U11" i="28"/>
  <c r="U11" i="30"/>
  <c r="P11" i="30"/>
  <c r="T11" i="30" s="1"/>
  <c r="P11" i="29"/>
  <c r="T11" i="29" s="1"/>
  <c r="X11" i="29"/>
  <c r="W11" i="26"/>
  <c r="W11" i="32"/>
  <c r="C16" i="3"/>
  <c r="W11" i="33"/>
  <c r="C17" i="3"/>
  <c r="W11" i="34"/>
  <c r="C18" i="3"/>
  <c r="X11" i="14"/>
  <c r="C9" i="3"/>
  <c r="P11" i="14"/>
  <c r="T11" i="14" s="1"/>
  <c r="W11" i="31" l="1"/>
  <c r="C13" i="3"/>
  <c r="C12" i="3"/>
  <c r="C14" i="3"/>
  <c r="W11" i="30"/>
  <c r="W11" i="14"/>
  <c r="C2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DDA274-A9ED-4F20-B8B4-673042D5369A}" interval="1" name="Conexão" type="4" refreshedVersion="7" background="1" refreshOnLoad="1" saveData="1">
    <webPr sourceData="1" parsePre="1" consecutive="1" xl2000="1" url="https://www.x-rates.com/table/?from=USD&amp;amount=1" htmlTables="1" htmlFormat="all">
      <tables count="1">
        <x v="2"/>
      </tables>
    </webPr>
  </connection>
</connections>
</file>

<file path=xl/sharedStrings.xml><?xml version="1.0" encoding="utf-8"?>
<sst xmlns="http://schemas.openxmlformats.org/spreadsheetml/2006/main" count="533" uniqueCount="155">
  <si>
    <t>Dia</t>
  </si>
  <si>
    <t>Profit/Loss</t>
  </si>
  <si>
    <t>Observação</t>
  </si>
  <si>
    <t>Banca</t>
  </si>
  <si>
    <t>Meta Diária</t>
  </si>
  <si>
    <t>Banca Inicial</t>
  </si>
  <si>
    <t>Banca Atual</t>
  </si>
  <si>
    <t>Valorização</t>
  </si>
  <si>
    <t>Mês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</si>
  <si>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</si>
  <si>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</si>
  <si>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</si>
  <si>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</si>
  <si>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</si>
  <si>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</si>
  <si>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</si>
  <si>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</si>
  <si>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</si>
  <si>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</si>
  <si>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</si>
  <si>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</si>
  <si>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Lucro</t>
  </si>
  <si>
    <t>Total</t>
  </si>
  <si>
    <t>StopLoss</t>
  </si>
  <si>
    <t>Stake</t>
  </si>
  <si>
    <t>Objetivo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</si>
  <si>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</si>
  <si>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</si>
  <si>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</si>
  <si>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</si>
  <si>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</si>
  <si>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</si>
  <si>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</si>
  <si>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</si>
  <si>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</si>
  <si>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</si>
  <si>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</si>
  <si>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</si>
  <si>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MÊS REFERÊNCIA</t>
  </si>
  <si>
    <t>US Dollar</t>
  </si>
  <si>
    <t>1.00 USD</t>
  </si>
  <si>
    <t>inv. 1.00 USD</t>
  </si>
  <si>
    <t>Argentine Peso</t>
  </si>
  <si>
    <t>Australian Dollar</t>
  </si>
  <si>
    <t>Bahraini Dinar</t>
  </si>
  <si>
    <t>0.376000</t>
  </si>
  <si>
    <t>Botswana Pula</t>
  </si>
  <si>
    <t>Brazilian Real</t>
  </si>
  <si>
    <t>Bruneian Dollar</t>
  </si>
  <si>
    <t>Bulgarian Lev</t>
  </si>
  <si>
    <t>Canadian Dollar</t>
  </si>
  <si>
    <t>Chilean Peso</t>
  </si>
  <si>
    <t>Chinese Yuan Renminbi</t>
  </si>
  <si>
    <t>Colombian Peso</t>
  </si>
  <si>
    <t>Croatian Kuna</t>
  </si>
  <si>
    <t>Czech Koruna</t>
  </si>
  <si>
    <t>Danish Krone</t>
  </si>
  <si>
    <t>Euro</t>
  </si>
  <si>
    <t>Hong Kong Dollar</t>
  </si>
  <si>
    <t>Hungarian Forint</t>
  </si>
  <si>
    <t>Icelandic Krona</t>
  </si>
  <si>
    <t>Indian Rupee</t>
  </si>
  <si>
    <t>Indonesian Rupiah</t>
  </si>
  <si>
    <t>Iranian Rial</t>
  </si>
  <si>
    <t>0.000024</t>
  </si>
  <si>
    <t>Israeli Shekel</t>
  </si>
  <si>
    <t>Japanese Yen</t>
  </si>
  <si>
    <t>Kazakhstani Tenge</t>
  </si>
  <si>
    <t>South Korean Won</t>
  </si>
  <si>
    <t>Kuwaiti Dinar</t>
  </si>
  <si>
    <t>Libyan Dinar</t>
  </si>
  <si>
    <t>Malaysian Ringgit</t>
  </si>
  <si>
    <t>Mauritian Rupee</t>
  </si>
  <si>
    <t>Mexican Peso</t>
  </si>
  <si>
    <t>Nepalese Rupee</t>
  </si>
  <si>
    <t>New Zealand Dollar</t>
  </si>
  <si>
    <t>Norwegian Krone</t>
  </si>
  <si>
    <t>Omani Rial</t>
  </si>
  <si>
    <t>0.384500</t>
  </si>
  <si>
    <t>Pakistani Rupee</t>
  </si>
  <si>
    <t>Philippine Peso</t>
  </si>
  <si>
    <t>Polish Zloty</t>
  </si>
  <si>
    <t>Qatari Riyal</t>
  </si>
  <si>
    <t>0.274725</t>
  </si>
  <si>
    <t>Romanian New Leu</t>
  </si>
  <si>
    <t>Russian Ruble</t>
  </si>
  <si>
    <t>Saudi Arabian Riyal</t>
  </si>
  <si>
    <t>0.266667</t>
  </si>
  <si>
    <t>Singapore Dollar</t>
  </si>
  <si>
    <t>South African Rand</t>
  </si>
  <si>
    <t>Sri Lankan Rupee</t>
  </si>
  <si>
    <t>Swedish Krona</t>
  </si>
  <si>
    <t>Swiss Franc</t>
  </si>
  <si>
    <t>Taiwan New Dollar</t>
  </si>
  <si>
    <t>Thai Baht</t>
  </si>
  <si>
    <t>Trinidadian Dollar</t>
  </si>
  <si>
    <t>Turkish Lira</t>
  </si>
  <si>
    <t>Emirati Dirham</t>
  </si>
  <si>
    <t>0.272294</t>
  </si>
  <si>
    <t>British Pound</t>
  </si>
  <si>
    <t>Venezuelan Bolivar</t>
  </si>
  <si>
    <t>0.000000</t>
  </si>
  <si>
    <r>
      <t>USD (</t>
    </r>
    <r>
      <rPr>
        <b/>
        <sz val="12"/>
        <color rgb="FFFF0000"/>
        <rFont val="Calibri"/>
        <family val="2"/>
        <scheme val="minor"/>
      </rPr>
      <t>HOJE</t>
    </r>
    <r>
      <rPr>
        <b/>
        <sz val="12"/>
        <color theme="1"/>
        <rFont val="Calibri"/>
        <family val="2"/>
        <scheme val="minor"/>
      </rPr>
      <t>)</t>
    </r>
  </si>
  <si>
    <t>BEM VINDO</t>
  </si>
  <si>
    <t>DESENVOLVIDO POR: CASSIANO ROBERTO FERREIRA</t>
  </si>
  <si>
    <t>Alerta</t>
  </si>
  <si>
    <t>0.000069</t>
  </si>
  <si>
    <t>APORTES/SAQUES</t>
  </si>
  <si>
    <t>APORTE (+)</t>
  </si>
  <si>
    <t>SAQUE (-)</t>
  </si>
  <si>
    <t>VERSÃO 4.0</t>
  </si>
  <si>
    <t>0.001312</t>
  </si>
  <si>
    <t>0.010380</t>
  </si>
  <si>
    <t>0.045892</t>
  </si>
  <si>
    <t>0.003268</t>
  </si>
  <si>
    <t>0.007922</t>
  </si>
  <si>
    <t>0.013436</t>
  </si>
  <si>
    <t>0.009045</t>
  </si>
  <si>
    <t>0.002346</t>
  </si>
  <si>
    <t>0.000868</t>
  </si>
  <si>
    <t>0.008358</t>
  </si>
  <si>
    <t>0.006221</t>
  </si>
  <si>
    <t>0.005016</t>
  </si>
  <si>
    <t>0.115068</t>
  </si>
  <si>
    <t>0.736314</t>
  </si>
  <si>
    <t>0.090121</t>
  </si>
  <si>
    <t>0.192234</t>
  </si>
  <si>
    <t>0.734554</t>
  </si>
  <si>
    <t>0.601896</t>
  </si>
  <si>
    <t>0.795906</t>
  </si>
  <si>
    <t>0.154286</t>
  </si>
  <si>
    <t>0.000259</t>
  </si>
  <si>
    <t>0.156179</t>
  </si>
  <si>
    <t>0.158300</t>
  </si>
  <si>
    <t>0.849469</t>
  </si>
  <si>
    <t>0.128710</t>
  </si>
  <si>
    <t>0.305474</t>
  </si>
  <si>
    <t>0.300957</t>
  </si>
  <si>
    <t>0.221788</t>
  </si>
  <si>
    <t>0.236520</t>
  </si>
  <si>
    <t>0.023276</t>
  </si>
  <si>
    <t>0.049857</t>
  </si>
  <si>
    <t>0.697403</t>
  </si>
  <si>
    <t>0.112831</t>
  </si>
  <si>
    <t>0.019911</t>
  </si>
  <si>
    <t>0.257337</t>
  </si>
  <si>
    <t>0.239126</t>
  </si>
  <si>
    <t>0.013545</t>
  </si>
  <si>
    <t>0.067360</t>
  </si>
  <si>
    <t>0.919641</t>
  </si>
  <si>
    <t>0.035652</t>
  </si>
  <si>
    <t>0.030382</t>
  </si>
  <si>
    <t>0.147387</t>
  </si>
  <si>
    <t>0.116903</t>
  </si>
  <si>
    <t>0.727710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</si>
</sst>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R$&quot;* #,##0.00_-;\-&quot;R$&quot;* #,##0.00_-;_-&quot;R$&quot;* &quot;-&quot;??_-;_-@_-"/>
    <numFmt numFmtId="165" formatCode="_-[$$-409]* #,##0.00_ ;_-[$$-409]* \-#,##0.00\ ;_-[$$-409]* &quot;-&quot;??_ ;_-@_ "/>
    <numFmt numFmtId="166" formatCode="_-[$R$-416]\ * #,##0.00_-;\-[$R$-416]\ * #,##0.00_-;_-[$R$-416]\ * &quot;-&quot;??_-;_-@_-"/>
    <numFmt numFmtId="167" formatCode="0.0%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dashDot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ashDot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medium">
        <color indexed="64"/>
      </bottom>
      <diagonal/>
    </border>
    <border>
      <left style="slantDashDot">
        <color theme="0"/>
      </left>
      <right/>
      <top style="medium">
        <color indexed="64"/>
      </top>
      <bottom/>
      <diagonal/>
    </border>
    <border>
      <left/>
      <right style="slantDashDot">
        <color theme="0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uble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medium">
        <color indexed="64"/>
      </right>
      <top style="dashDot">
        <color indexed="64"/>
      </top>
      <bottom style="dotted">
        <color indexed="64"/>
      </bottom>
      <diagonal/>
    </border>
    <border>
      <left style="double">
        <color indexed="64"/>
      </left>
      <right style="medium">
        <color indexed="64"/>
      </right>
      <top style="dashDot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 style="double">
        <color indexed="64"/>
      </right>
      <top style="dashDot">
        <color indexed="64"/>
      </top>
      <bottom style="dotted">
        <color indexed="64"/>
      </bottom>
      <diagonal/>
    </border>
    <border>
      <left/>
      <right style="double">
        <color indexed="64"/>
      </right>
      <top style="dashDot">
        <color indexed="64"/>
      </top>
      <bottom style="medium">
        <color indexed="64"/>
      </bottom>
      <diagonal/>
    </border>
  </borders>
  <cellStyleXfs count="7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7" borderId="12" applyNumberFormat="0" applyAlignment="0" applyProtection="0"/>
    <xf numFmtId="0" fontId="7" fillId="8" borderId="13" applyNumberFormat="0" applyAlignment="0" applyProtection="0"/>
    <xf numFmtId="0" fontId="8" fillId="9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91">
    <xf numFmtId="0" fontId="0" fillId="0" borderId="0" xfId="0"/>
    <xf numFmtId="165" fontId="0" fillId="0" borderId="8" xfId="0" applyNumberFormat="1" applyBorder="1" applyAlignment="1" applyProtection="1">
      <alignment vertical="center"/>
      <protection locked="0"/>
    </xf>
    <xf numFmtId="165" fontId="0" fillId="0" borderId="15" xfId="0" applyNumberFormat="1" applyBorder="1" applyAlignment="1" applyProtection="1">
      <alignment vertical="center"/>
      <protection locked="0"/>
    </xf>
    <xf numFmtId="165" fontId="0" fillId="0" borderId="14" xfId="0" applyNumberFormat="1" applyBorder="1" applyAlignment="1" applyProtection="1">
      <alignment vertical="center"/>
      <protection locked="0"/>
    </xf>
    <xf numFmtId="0" fontId="0" fillId="0" borderId="0" xfId="0" applyProtection="1"/>
    <xf numFmtId="0" fontId="3" fillId="2" borderId="3" xfId="0" applyFont="1" applyFill="1" applyBorder="1" applyAlignment="1" applyProtection="1">
      <alignment horizontal="right" vertical="center"/>
    </xf>
    <xf numFmtId="165" fontId="1" fillId="2" borderId="8" xfId="1" applyNumberFormat="1" applyFont="1" applyFill="1" applyBorder="1" applyAlignment="1" applyProtection="1">
      <alignment vertical="center"/>
    </xf>
    <xf numFmtId="0" fontId="2" fillId="5" borderId="9" xfId="0" applyFont="1" applyFill="1" applyBorder="1" applyAlignment="1" applyProtection="1">
      <alignment vertical="center"/>
    </xf>
    <xf numFmtId="0" fontId="2" fillId="5" borderId="10" xfId="0" applyFont="1" applyFill="1" applyBorder="1" applyAlignment="1" applyProtection="1">
      <alignment vertical="center"/>
    </xf>
    <xf numFmtId="165" fontId="1" fillId="2" borderId="14" xfId="1" applyNumberFormat="1" applyFont="1" applyFill="1" applyBorder="1" applyAlignment="1" applyProtection="1">
      <alignment vertical="center"/>
    </xf>
    <xf numFmtId="9" fontId="8" fillId="0" borderId="0" xfId="0" applyNumberFormat="1" applyFont="1" applyProtection="1"/>
    <xf numFmtId="0" fontId="8" fillId="0" borderId="0" xfId="0" applyFont="1" applyAlignment="1" applyProtection="1">
      <alignment horizontal="right"/>
    </xf>
    <xf numFmtId="0" fontId="10" fillId="0" borderId="0" xfId="0" applyFont="1" applyProtection="1"/>
    <xf numFmtId="0" fontId="11" fillId="11" borderId="16" xfId="0" applyFont="1" applyFill="1" applyBorder="1" applyAlignment="1">
      <alignment horizontal="left" vertical="top" wrapText="1"/>
    </xf>
    <xf numFmtId="0" fontId="11" fillId="11" borderId="0" xfId="0" applyFont="1" applyFill="1" applyAlignment="1">
      <alignment horizontal="left" vertical="center" wrapText="1"/>
    </xf>
    <xf numFmtId="3" fontId="12" fillId="11" borderId="16" xfId="6" applyNumberFormat="1" applyFill="1" applyBorder="1" applyAlignment="1">
      <alignment horizontal="left" vertical="top" wrapText="1"/>
    </xf>
    <xf numFmtId="0" fontId="12" fillId="11" borderId="16" xfId="6" applyFill="1" applyBorder="1" applyAlignment="1">
      <alignment horizontal="left" vertical="top" wrapText="1"/>
    </xf>
    <xf numFmtId="0" fontId="11" fillId="11" borderId="17" xfId="0" applyFont="1" applyFill="1" applyBorder="1" applyAlignment="1">
      <alignment horizontal="left" vertical="center" wrapText="1"/>
    </xf>
    <xf numFmtId="165" fontId="3" fillId="3" borderId="5" xfId="1" applyNumberFormat="1" applyFont="1" applyFill="1" applyBorder="1" applyAlignment="1" applyProtection="1">
      <alignment horizontal="center" vertical="center"/>
    </xf>
    <xf numFmtId="0" fontId="6" fillId="7" borderId="19" xfId="3" applyBorder="1" applyAlignment="1" applyProtection="1">
      <alignment vertical="center"/>
    </xf>
    <xf numFmtId="0" fontId="6" fillId="7" borderId="20" xfId="3" applyBorder="1" applyAlignment="1" applyProtection="1">
      <alignment vertical="center"/>
    </xf>
    <xf numFmtId="0" fontId="2" fillId="5" borderId="23" xfId="0" applyFont="1" applyFill="1" applyBorder="1" applyAlignment="1" applyProtection="1">
      <alignment vertical="center"/>
    </xf>
    <xf numFmtId="165" fontId="0" fillId="0" borderId="24" xfId="0" applyNumberFormat="1" applyBorder="1" applyAlignment="1" applyProtection="1">
      <alignment vertical="center"/>
      <protection locked="0"/>
    </xf>
    <xf numFmtId="165" fontId="1" fillId="2" borderId="24" xfId="1" applyNumberFormat="1" applyFont="1" applyFill="1" applyBorder="1" applyAlignment="1" applyProtection="1">
      <alignment vertical="center"/>
    </xf>
    <xf numFmtId="0" fontId="6" fillId="7" borderId="25" xfId="3" applyBorder="1" applyAlignment="1" applyProtection="1">
      <alignment vertical="center"/>
    </xf>
    <xf numFmtId="0" fontId="0" fillId="0" borderId="0" xfId="0" applyAlignment="1" applyProtection="1">
      <alignment horizontal="center"/>
    </xf>
    <xf numFmtId="0" fontId="6" fillId="7" borderId="26" xfId="3" applyBorder="1" applyAlignment="1" applyProtection="1">
      <alignment horizontal="center" vertical="center"/>
    </xf>
    <xf numFmtId="0" fontId="6" fillId="7" borderId="30" xfId="3" applyBorder="1" applyAlignment="1" applyProtection="1">
      <alignment horizontal="center" vertical="center"/>
    </xf>
    <xf numFmtId="0" fontId="2" fillId="6" borderId="7" xfId="0" applyFont="1" applyFill="1" applyBorder="1" applyProtection="1"/>
    <xf numFmtId="165" fontId="7" fillId="8" borderId="18" xfId="4" applyNumberFormat="1" applyBorder="1" applyProtection="1"/>
    <xf numFmtId="165" fontId="7" fillId="8" borderId="18" xfId="4" quotePrefix="1" applyNumberFormat="1" applyBorder="1" applyProtection="1"/>
    <xf numFmtId="0" fontId="2" fillId="6" borderId="11" xfId="0" applyFont="1" applyFill="1" applyBorder="1" applyProtection="1"/>
    <xf numFmtId="0" fontId="3" fillId="6" borderId="4" xfId="0" applyFont="1" applyFill="1" applyBorder="1" applyAlignment="1" applyProtection="1">
      <alignment horizontal="center"/>
    </xf>
    <xf numFmtId="0" fontId="1" fillId="4" borderId="1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165" fontId="6" fillId="9" borderId="6" xfId="5" applyNumberFormat="1" applyFont="1" applyBorder="1" applyProtection="1"/>
    <xf numFmtId="165" fontId="0" fillId="0" borderId="31" xfId="0" applyNumberFormat="1" applyBorder="1" applyAlignment="1" applyProtection="1">
      <alignment vertical="center"/>
      <protection locked="0"/>
    </xf>
    <xf numFmtId="165" fontId="0" fillId="0" borderId="32" xfId="0" applyNumberFormat="1" applyBorder="1" applyAlignment="1" applyProtection="1">
      <alignment vertical="center"/>
      <protection locked="0"/>
    </xf>
    <xf numFmtId="165" fontId="0" fillId="0" borderId="33" xfId="0" applyNumberFormat="1" applyBorder="1" applyAlignment="1" applyProtection="1">
      <alignment vertical="center"/>
      <protection locked="0"/>
    </xf>
    <xf numFmtId="165" fontId="0" fillId="0" borderId="34" xfId="0" applyNumberFormat="1" applyBorder="1" applyAlignment="1" applyProtection="1">
      <alignment vertical="center"/>
      <protection locked="0"/>
    </xf>
    <xf numFmtId="0" fontId="3" fillId="12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10" fillId="0" borderId="0" xfId="0" applyFont="1" applyAlignment="1" applyProtection="1">
      <alignment vertical="center"/>
    </xf>
    <xf numFmtId="0" fontId="2" fillId="0" borderId="0" xfId="0" applyFont="1" applyAlignment="1" applyProtection="1">
      <alignment vertical="center"/>
    </xf>
    <xf numFmtId="14" fontId="0" fillId="0" borderId="5" xfId="0" applyNumberFormat="1" applyBorder="1" applyAlignment="1" applyProtection="1">
      <alignment vertical="center"/>
    </xf>
    <xf numFmtId="165" fontId="3" fillId="3" borderId="5" xfId="0" applyNumberFormat="1" applyFont="1" applyFill="1" applyBorder="1" applyAlignment="1" applyProtection="1">
      <alignment vertical="center"/>
    </xf>
    <xf numFmtId="165" fontId="3" fillId="3" borderId="5" xfId="2" applyNumberFormat="1" applyFont="1" applyFill="1" applyBorder="1" applyAlignment="1" applyProtection="1">
      <alignment vertical="center"/>
    </xf>
    <xf numFmtId="166" fontId="3" fillId="3" borderId="5" xfId="2" applyNumberFormat="1" applyFont="1" applyFill="1" applyBorder="1" applyAlignment="1" applyProtection="1">
      <alignment vertical="center"/>
    </xf>
    <xf numFmtId="10" fontId="3" fillId="3" borderId="5" xfId="2" applyNumberFormat="1" applyFont="1" applyFill="1" applyBorder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0" fillId="0" borderId="0" xfId="0" applyBorder="1" applyAlignment="1" applyProtection="1">
      <alignment vertical="center"/>
    </xf>
    <xf numFmtId="165" fontId="3" fillId="3" borderId="5" xfId="0" applyNumberFormat="1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right" vertical="center"/>
    </xf>
    <xf numFmtId="165" fontId="0" fillId="0" borderId="5" xfId="0" applyNumberFormat="1" applyBorder="1" applyAlignment="1" applyProtection="1">
      <alignment vertical="center"/>
    </xf>
    <xf numFmtId="0" fontId="9" fillId="12" borderId="7" xfId="0" applyFont="1" applyFill="1" applyBorder="1" applyAlignment="1" applyProtection="1">
      <alignment horizontal="center" vertical="center"/>
    </xf>
    <xf numFmtId="165" fontId="0" fillId="12" borderId="0" xfId="0" applyNumberFormat="1" applyFill="1" applyBorder="1" applyAlignment="1" applyProtection="1">
      <alignment vertical="center"/>
    </xf>
    <xf numFmtId="0" fontId="15" fillId="12" borderId="0" xfId="0" applyFont="1" applyFill="1" applyAlignment="1" applyProtection="1">
      <alignment vertical="center"/>
    </xf>
    <xf numFmtId="165" fontId="8" fillId="12" borderId="0" xfId="0" applyNumberFormat="1" applyFont="1" applyFill="1" applyAlignment="1" applyProtection="1">
      <alignment vertical="center"/>
    </xf>
    <xf numFmtId="0" fontId="16" fillId="13" borderId="0" xfId="0" applyFont="1" applyFill="1" applyAlignment="1" applyProtection="1">
      <alignment horizontal="center" vertical="center"/>
    </xf>
    <xf numFmtId="0" fontId="3" fillId="14" borderId="28" xfId="0" applyFont="1" applyFill="1" applyBorder="1" applyAlignment="1" applyProtection="1">
      <alignment horizontal="center" vertical="center"/>
    </xf>
    <xf numFmtId="0" fontId="3" fillId="14" borderId="27" xfId="0" applyFont="1" applyFill="1" applyBorder="1" applyAlignment="1" applyProtection="1">
      <alignment horizontal="center" vertical="center"/>
    </xf>
    <xf numFmtId="0" fontId="3" fillId="14" borderId="29" xfId="0" applyFont="1" applyFill="1" applyBorder="1" applyAlignment="1" applyProtection="1">
      <alignment horizontal="center" vertical="center"/>
    </xf>
    <xf numFmtId="0" fontId="3" fillId="14" borderId="4" xfId="0" applyFont="1" applyFill="1" applyBorder="1" applyAlignment="1" applyProtection="1">
      <alignment horizontal="center" vertical="center"/>
    </xf>
    <xf numFmtId="0" fontId="3" fillId="14" borderId="5" xfId="0" applyFont="1" applyFill="1" applyBorder="1" applyAlignment="1" applyProtection="1">
      <alignment horizontal="center" vertical="center"/>
    </xf>
    <xf numFmtId="0" fontId="3" fillId="14" borderId="6" xfId="0" applyFont="1" applyFill="1" applyBorder="1" applyAlignment="1" applyProtection="1">
      <alignment horizontal="center" vertical="center"/>
    </xf>
    <xf numFmtId="165" fontId="0" fillId="0" borderId="35" xfId="0" applyNumberFormat="1" applyBorder="1" applyAlignment="1" applyProtection="1">
      <alignment vertical="center"/>
      <protection locked="0"/>
    </xf>
    <xf numFmtId="165" fontId="0" fillId="0" borderId="36" xfId="0" applyNumberFormat="1" applyBorder="1" applyAlignment="1" applyProtection="1">
      <alignment vertical="center"/>
      <protection locked="0"/>
    </xf>
    <xf numFmtId="165" fontId="0" fillId="0" borderId="37" xfId="0" applyNumberFormat="1" applyBorder="1" applyAlignment="1" applyProtection="1">
      <alignment vertical="center"/>
      <protection locked="0"/>
    </xf>
    <xf numFmtId="165" fontId="0" fillId="0" borderId="38" xfId="0" applyNumberFormat="1" applyBorder="1" applyAlignment="1" applyProtection="1">
      <alignment vertical="center"/>
      <protection locked="0"/>
    </xf>
    <xf numFmtId="165" fontId="0" fillId="0" borderId="8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167" fontId="3" fillId="3" borderId="6" xfId="2" applyNumberFormat="1" applyFont="1" applyFill="1" applyBorder="1" applyAlignment="1" applyProtection="1">
      <alignment horizontal="center" vertical="center"/>
      <protection locked="0"/>
    </xf>
    <xf numFmtId="0" fontId="2" fillId="12" borderId="0" xfId="0" applyFont="1" applyFill="1" applyAlignment="1">
      <alignment horizontal="left"/>
    </xf>
    <xf numFmtId="0" fontId="3" fillId="2" borderId="2" xfId="0" applyFont="1" applyFill="1" applyBorder="1" applyAlignment="1" applyProtection="1">
      <alignment horizontal="center" vertical="center"/>
    </xf>
    <xf numFmtId="165" fontId="3" fillId="3" borderId="4" xfId="1" applyNumberFormat="1" applyFont="1" applyFill="1" applyBorder="1" applyAlignment="1" applyProtection="1">
      <alignment horizontal="center" vertical="center"/>
      <protection locked="0"/>
    </xf>
    <xf numFmtId="165" fontId="3" fillId="3" borderId="5" xfId="1" applyNumberFormat="1" applyFont="1" applyFill="1" applyBorder="1" applyAlignment="1" applyProtection="1">
      <alignment horizontal="center" vertical="center"/>
      <protection locked="0"/>
    </xf>
    <xf numFmtId="165" fontId="3" fillId="3" borderId="5" xfId="0" applyNumberFormat="1" applyFont="1" applyFill="1" applyBorder="1" applyAlignment="1" applyProtection="1">
      <alignment horizontal="center" vertical="center"/>
    </xf>
    <xf numFmtId="14" fontId="14" fillId="0" borderId="0" xfId="0" applyNumberFormat="1" applyFont="1" applyAlignment="1" applyProtection="1">
      <alignment horizontal="center" vertical="center"/>
    </xf>
    <xf numFmtId="0" fontId="14" fillId="0" borderId="0" xfId="0" applyFont="1" applyAlignment="1" applyProtection="1">
      <alignment horizontal="center" vertical="center"/>
    </xf>
    <xf numFmtId="0" fontId="9" fillId="10" borderId="1" xfId="0" applyFont="1" applyFill="1" applyBorder="1" applyAlignment="1" applyProtection="1">
      <alignment horizontal="center" vertical="center"/>
    </xf>
    <xf numFmtId="0" fontId="9" fillId="10" borderId="2" xfId="0" applyFont="1" applyFill="1" applyBorder="1" applyAlignment="1" applyProtection="1">
      <alignment horizontal="center" vertical="center"/>
    </xf>
    <xf numFmtId="0" fontId="9" fillId="10" borderId="22" xfId="0" applyFont="1" applyFill="1" applyBorder="1" applyAlignment="1" applyProtection="1">
      <alignment horizontal="center" vertical="center"/>
    </xf>
    <xf numFmtId="0" fontId="9" fillId="10" borderId="21" xfId="0" applyFont="1" applyFill="1" applyBorder="1" applyAlignment="1" applyProtection="1">
      <alignment horizontal="center" vertical="center"/>
      <protection locked="0"/>
    </xf>
    <xf numFmtId="0" fontId="9" fillId="10" borderId="3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right" vertical="center"/>
    </xf>
    <xf numFmtId="0" fontId="3" fillId="2" borderId="2" xfId="0" applyFont="1" applyFill="1" applyBorder="1" applyAlignment="1" applyProtection="1">
      <alignment horizontal="right" vertical="center"/>
    </xf>
    <xf numFmtId="0" fontId="9" fillId="10" borderId="3" xfId="0" applyFont="1" applyFill="1" applyBorder="1" applyAlignment="1" applyProtection="1">
      <alignment horizontal="center" vertical="center"/>
    </xf>
    <xf numFmtId="165" fontId="3" fillId="3" borderId="4" xfId="1" applyNumberFormat="1" applyFont="1" applyFill="1" applyBorder="1" applyAlignment="1" applyProtection="1">
      <alignment horizontal="center"/>
      <protection locked="0"/>
    </xf>
    <xf numFmtId="165" fontId="3" fillId="3" borderId="5" xfId="1" applyNumberFormat="1" applyFont="1" applyFill="1" applyBorder="1" applyAlignment="1" applyProtection="1">
      <alignment horizontal="center"/>
      <protection locked="0"/>
    </xf>
  </cellXfs>
  <cellStyles count="7">
    <cellStyle name="Célula de Verificação" xfId="3" builtinId="23"/>
    <cellStyle name="Ênfase1" xfId="5" builtinId="29"/>
    <cellStyle name="Hiperlink" xfId="6" builtinId="8"/>
    <cellStyle name="Moeda" xfId="1" builtinId="4"/>
    <cellStyle name="Normal" xfId="0" builtinId="0"/>
    <cellStyle name="Porcentagem" xfId="2" builtinId="5"/>
    <cellStyle name="Saída" xfId="4" builtinId="21"/>
  </cellStyles>
  <dxfs count="520"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b/>
        <i/>
      </font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3" tint="-0.499984740745262"/>
      </font>
      <fill>
        <patternFill>
          <bgColor theme="0" tint="-4.9989318521683403E-2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b/>
        <i/>
      </font>
      <fill>
        <patternFill patternType="solid">
          <fgColor auto="1"/>
          <bgColor theme="5" tint="0.59996337778862885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0"/>
          <c:order val="2"/>
          <c:tx>
            <c:strRef>
              <c:f>JAN!$R$10:$S$10</c:f>
              <c:strCache>
                <c:ptCount val="1"/>
                <c:pt idx="0">
                  <c:v>Banca Atual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JAN!$D$11:$D$41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F6-430F-B6D3-F61CDE06A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JAN!$P$10:$Q$10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JAN!$G$11:$G$41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F6-430F-B6D3-F61CDE06AA3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JAN!$C$10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JAN!$C$11:$C$41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5F6-430F-B6D3-F61CDE06AA38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/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1"/>
          <c:order val="1"/>
          <c:tx>
            <c:strRef>
              <c:f>JAN!$C$10</c:f>
              <c:strCache>
                <c:ptCount val="1"/>
                <c:pt idx="0">
                  <c:v>Profit/Loss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JAN!$C$11:$C$41</c:f>
              <c:numCache>
                <c:formatCode>_-[$$-409]* #,##0.00_ ;_-[$$-409]* \-#,##0.00\ ;_-[$$-409]* "-"??_ ;_-@_ </c:formatCode>
                <c:ptCount val="31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0AF-419B-9238-CC2FC8FBC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JAN!$P$10:$Q$10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JAN!$G$11:$G$41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0AF-419B-9238-CC2FC8FBCAEB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JAN!$R$10:$S$10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JAN!$D$11:$D$41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0AF-419B-9238-CC2FC8FBCAEB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2"/>
          <c:order val="0"/>
          <c:tx>
            <c:strRef>
              <c:f>JAN!$P$10:$Q$10</c:f>
              <c:strCache>
                <c:ptCount val="1"/>
                <c:pt idx="0">
                  <c:v>Meta Diária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JAN!$G$11:$G$41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704-463D-9CDE-4C4F97414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JAN!$C$10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JAN!$C$11:$C$41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9704-463D-9CDE-4C4F97414046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JAN!$R$10:$S$10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JAN!$D$11:$D$41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704-463D-9CDE-4C4F97414046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0"/>
          <c:order val="2"/>
          <c:tx>
            <c:strRef>
              <c:f>FEV!$R$10:$S$10</c:f>
              <c:strCache>
                <c:ptCount val="1"/>
                <c:pt idx="0">
                  <c:v>Banca Atual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FEV!$D$11:$D$41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FF-4112-AD23-D71EB22A9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FEV!$P$10:$Q$10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FEV!$G$11:$G$41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3FF-4112-AD23-D71EB22A954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FEV!$C$10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FEV!$C$11:$C$41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FF-4112-AD23-D71EB22A954B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/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1"/>
          <c:order val="1"/>
          <c:tx>
            <c:strRef>
              <c:f>FEV!$C$10</c:f>
              <c:strCache>
                <c:ptCount val="1"/>
                <c:pt idx="0">
                  <c:v>Profit/Loss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FEV!$C$11:$C$41</c:f>
              <c:numCache>
                <c:formatCode>_-[$$-409]* #,##0.00_ ;_-[$$-409]* \-#,##0.00\ ;_-[$$-409]* "-"??_ ;_-@_ </c:formatCode>
                <c:ptCount val="31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AA-49B1-9F3D-74DCE8121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FEV!$P$10:$Q$10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FEV!$G$11:$G$41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13AA-49B1-9F3D-74DCE81216D7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FEV!$R$10:$S$10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FEV!$D$11:$D$41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AA-49B1-9F3D-74DCE81216D7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2"/>
          <c:order val="0"/>
          <c:tx>
            <c:strRef>
              <c:f>FEV!$P$10:$Q$10</c:f>
              <c:strCache>
                <c:ptCount val="1"/>
                <c:pt idx="0">
                  <c:v>Meta Diária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FEV!$G$11:$G$41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2B7-42B9-848C-F610AFE44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FEV!$C$10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FEV!$C$11:$C$41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2B7-42B9-848C-F610AFE4470E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FEV!$R$10:$S$10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FEV!$D$11:$D$41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2B7-42B9-848C-F610AFE4470E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0"/>
          <c:order val="2"/>
          <c:tx>
            <c:strRef>
              <c:f>MAR!$R$10:$S$10</c:f>
              <c:strCache>
                <c:ptCount val="1"/>
                <c:pt idx="0">
                  <c:v>Banca Atual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MAR!$D$11:$D$41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72-4F1D-B0F0-F24543603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MAR!$P$10:$Q$10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MAR!$G$11:$G$41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572-4F1D-B0F0-F24543603D5A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MAR!$C$10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MAR!$C$11:$C$41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572-4F1D-B0F0-F24543603D5A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/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1"/>
          <c:order val="1"/>
          <c:tx>
            <c:strRef>
              <c:f>MAR!$C$10</c:f>
              <c:strCache>
                <c:ptCount val="1"/>
                <c:pt idx="0">
                  <c:v>Profit/Loss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MAR!$C$11:$C$41</c:f>
              <c:numCache>
                <c:formatCode>_-[$$-409]* #,##0.00_ ;_-[$$-409]* \-#,##0.00\ ;_-[$$-409]* "-"??_ ;_-@_ </c:formatCode>
                <c:ptCount val="31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E8A-4083-8474-AB36FA8B0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MAR!$P$10:$Q$10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MAR!$G$11:$G$41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E8A-4083-8474-AB36FA8B0A77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MAR!$R$10:$S$10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MAR!$D$11:$D$41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E8A-4083-8474-AB36FA8B0A77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2"/>
          <c:order val="0"/>
          <c:tx>
            <c:strRef>
              <c:f>MAR!$P$10:$Q$10</c:f>
              <c:strCache>
                <c:ptCount val="1"/>
                <c:pt idx="0">
                  <c:v>Meta Diária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MAR!$G$11:$G$41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05A-406F-AB54-85896BCC6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MAR!$C$10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MAR!$C$11:$C$41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05A-406F-AB54-85896BCC671A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MAR!$R$10:$S$10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MAR!$D$11:$D$41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05A-406F-AB54-85896BCC671A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0"/>
          <c:order val="2"/>
          <c:tx>
            <c:strRef>
              <c:f>ABR!$R$10:$S$10</c:f>
              <c:strCache>
                <c:ptCount val="1"/>
                <c:pt idx="0">
                  <c:v>Banca Atual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ABR!$D$11:$D$41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37-4F5E-9F08-B9B369C57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ABR!$P$10:$Q$10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ABR!$G$11:$G$41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B37-4F5E-9F08-B9B369C57CC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ABR!$C$10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ABR!$C$11:$C$41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B37-4F5E-9F08-B9B369C57CCC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/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1"/>
          <c:order val="1"/>
          <c:tx>
            <c:strRef>
              <c:f>ABR!$C$10</c:f>
              <c:strCache>
                <c:ptCount val="1"/>
                <c:pt idx="0">
                  <c:v>Profit/Loss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ABR!$C$11:$C$41</c:f>
              <c:numCache>
                <c:formatCode>_-[$$-409]* #,##0.00_ ;_-[$$-409]* \-#,##0.00\ ;_-[$$-409]* "-"??_ ;_-@_ </c:formatCode>
                <c:ptCount val="31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55F-4D79-B6FD-E087AF7F8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ABR!$P$10:$Q$10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ABR!$G$11:$G$41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155F-4D79-B6FD-E087AF7F855A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ABR!$R$10:$S$10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ABR!$D$11:$D$41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55F-4D79-B6FD-E087AF7F855A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2"/>
          <c:order val="0"/>
          <c:tx>
            <c:strRef>
              <c:f>ABR!$P$10:$Q$10</c:f>
              <c:strCache>
                <c:ptCount val="1"/>
                <c:pt idx="0">
                  <c:v>Meta Diária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ABR!$G$11:$G$41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0FC-454D-B392-13A6DE3D9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ABR!$C$10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ABR!$C$11:$C$41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0FC-454D-B392-13A6DE3D9E43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ABR!$R$10:$S$10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ABR!$D$11:$D$41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0FC-454D-B392-13A6DE3D9E43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0"/>
          <c:order val="2"/>
          <c:tx>
            <c:strRef>
              <c:f>MAI!$R$10:$S$10</c:f>
              <c:strCache>
                <c:ptCount val="1"/>
                <c:pt idx="0">
                  <c:v>Banca Atual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MAI!$D$11:$D$41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85-4B7C-AD23-9FF94C3B2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MAI!$P$10:$Q$10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MAI!$G$11:$G$41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D85-4B7C-AD23-9FF94C3B2A0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D85-4B7C-AD23-9FF94C3B2A0D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/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1"/>
          <c:order val="1"/>
          <c:tx>
            <c:strRef>
              <c:f>MAI!$C$10</c:f>
              <c:strCache>
                <c:ptCount val="1"/>
                <c:pt idx="0">
                  <c:v>Profit/Loss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MAI!$C$11:$C$41</c:f>
              <c:numCache>
                <c:formatCode>_-[$$-409]* #,##0.00_ ;_-[$$-409]* \-#,##0.00\ ;_-[$$-409]* "-"??_ ;_-@_ </c:formatCode>
                <c:ptCount val="31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911-4FDF-9F2D-FBEDBF6CA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MAI!$P$10:$Q$10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MAI!$G$11:$G$41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1911-4FDF-9F2D-FBEDBF6CA2EE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911-4FDF-9F2D-FBEDBF6CA2EE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2"/>
          <c:order val="0"/>
          <c:tx>
            <c:strRef>
              <c:f>MAI!$P$10:$Q$10</c:f>
              <c:strCache>
                <c:ptCount val="1"/>
                <c:pt idx="0">
                  <c:v>Meta Diária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MAI!$G$11:$G$41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14A-4C1B-A92C-5BA007E22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MAI!$C$10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MAI!$C$11:$C$41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14A-4C1B-A92C-5BA007E2267F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MAI!$D$11:$D$41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14A-4C1B-A92C-5BA007E2267F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0"/>
          <c:order val="2"/>
          <c:tx>
            <c:strRef>
              <c:f>JUN!$R$10:$S$10</c:f>
              <c:strCache>
                <c:ptCount val="1"/>
                <c:pt idx="0">
                  <c:v>Banca Atual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JUN!$D$11:$D$41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3-486D-90FD-6CE8BF16D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JUN!$P$10:$Q$10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JUN!$G$11:$G$41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5E3-486D-90FD-6CE8BF16D3C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JUN!$C$10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JUN!$C$11:$C$41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5E3-486D-90FD-6CE8BF16D3CC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/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1"/>
          <c:order val="1"/>
          <c:tx>
            <c:strRef>
              <c:f>JUN!$C$10</c:f>
              <c:strCache>
                <c:ptCount val="1"/>
                <c:pt idx="0">
                  <c:v>Profit/Loss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JUN!$C$11:$C$41</c:f>
              <c:numCache>
                <c:formatCode>_-[$$-409]* #,##0.00_ ;_-[$$-409]* \-#,##0.00\ ;_-[$$-409]* "-"??_ ;_-@_ </c:formatCode>
                <c:ptCount val="31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3AC-4F33-9389-A5D5DAF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JUN!$P$10:$Q$10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JUN!$G$11:$G$41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3AC-4F33-9389-A5D5DAFD370D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JUN!$R$10:$S$10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JUN!$D$11:$D$41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3AC-4F33-9389-A5D5DAFD370D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2"/>
          <c:order val="0"/>
          <c:tx>
            <c:strRef>
              <c:f>JUN!$P$10:$Q$10</c:f>
              <c:strCache>
                <c:ptCount val="1"/>
                <c:pt idx="0">
                  <c:v>Meta Diária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JUN!$G$11:$G$41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469-4337-9826-E8E24EF8C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JUN!$C$10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JUN!$C$11:$C$41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469-4337-9826-E8E24EF8CC1D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JUN!$R$10:$S$10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JUN!$D$11:$D$41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469-4337-9826-E8E24EF8CC1D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0"/>
          <c:order val="2"/>
          <c:tx>
            <c:strRef>
              <c:f>JUL!$R$10:$S$10</c:f>
              <c:strCache>
                <c:ptCount val="1"/>
                <c:pt idx="0">
                  <c:v>Banca Atual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JUL!$D$11:$D$41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1-4F9C-9A80-F5814F956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JUL!$P$10:$Q$10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JUL!$G$11:$G$41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391-4F9C-9A80-F5814F956057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JUL!$C$10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JUL!$C$11:$C$41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391-4F9C-9A80-F5814F956057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/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1"/>
          <c:order val="1"/>
          <c:tx>
            <c:strRef>
              <c:f>JUL!$C$10</c:f>
              <c:strCache>
                <c:ptCount val="1"/>
                <c:pt idx="0">
                  <c:v>Profit/Loss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JUL!$C$11:$C$41</c:f>
              <c:numCache>
                <c:formatCode>_-[$$-409]* #,##0.00_ ;_-[$$-409]* \-#,##0.00\ ;_-[$$-409]* "-"??_ ;_-@_ </c:formatCode>
                <c:ptCount val="31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0C2-4DCE-92A4-14F09A57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JUL!$P$10:$Q$10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JUL!$G$11:$G$41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0C2-4DCE-92A4-14F09A57FD8A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JUL!$R$10:$S$10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JUL!$D$11:$D$41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0C2-4DCE-92A4-14F09A57FD8A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2"/>
          <c:order val="0"/>
          <c:tx>
            <c:strRef>
              <c:f>JUL!$P$10:$Q$10</c:f>
              <c:strCache>
                <c:ptCount val="1"/>
                <c:pt idx="0">
                  <c:v>Meta Diária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JUL!$G$11:$G$41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553-47E2-B548-75AE80704D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JUL!$C$10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JUL!$C$11:$C$41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553-47E2-B548-75AE80704D57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JUL!$R$10:$S$10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JUL!$D$11:$D$41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553-47E2-B548-75AE80704D57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0"/>
          <c:order val="2"/>
          <c:tx>
            <c:strRef>
              <c:f>AGO!$R$10:$S$10</c:f>
              <c:strCache>
                <c:ptCount val="1"/>
                <c:pt idx="0">
                  <c:v>Banca Atual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AGO!$D$11:$D$41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68-4DF5-A15D-39D9F3CBC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AGO!$P$10:$Q$10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AGO!$G$11:$G$41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368-4DF5-A15D-39D9F3CBC07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AGO!$C$10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AGO!$C$11:$C$41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368-4DF5-A15D-39D9F3CBC079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/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1"/>
          <c:order val="1"/>
          <c:tx>
            <c:strRef>
              <c:f>AGO!$C$10</c:f>
              <c:strCache>
                <c:ptCount val="1"/>
                <c:pt idx="0">
                  <c:v>Profit/Loss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AGO!$C$11:$C$41</c:f>
              <c:numCache>
                <c:formatCode>_-[$$-409]* #,##0.00_ ;_-[$$-409]* \-#,##0.00\ ;_-[$$-409]* "-"??_ ;_-@_ </c:formatCode>
                <c:ptCount val="31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D96-4D48-A274-8CEBDAB8D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AGO!$P$10:$Q$10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AGO!$G$11:$G$41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9D96-4D48-A274-8CEBDAB8D0FB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AGO!$R$10:$S$10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AGO!$D$11:$D$41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D96-4D48-A274-8CEBDAB8D0FB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2"/>
          <c:order val="0"/>
          <c:tx>
            <c:strRef>
              <c:f>AGO!$P$10:$Q$10</c:f>
              <c:strCache>
                <c:ptCount val="1"/>
                <c:pt idx="0">
                  <c:v>Meta Diária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AGO!$G$11:$G$41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A41-4EC6-B401-DF0726910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AGO!$C$10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AGO!$C$11:$C$41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A41-4EC6-B401-DF07269104B3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AGO!$R$10:$S$10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AGO!$D$11:$D$41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A41-4EC6-B401-DF07269104B3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0"/>
          <c:order val="2"/>
          <c:tx>
            <c:strRef>
              <c:f>SET!$R$10:$S$10</c:f>
              <c:strCache>
                <c:ptCount val="1"/>
                <c:pt idx="0">
                  <c:v>Banca Atual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SET!$D$11:$D$41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F-4DBF-82C3-2997533F6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SET!$P$10:$Q$10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SET!$G$11:$G$41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D0F-4DBF-82C3-2997533F6A4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D0F-4DBF-82C3-2997533F6A4B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/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1"/>
          <c:order val="1"/>
          <c:tx>
            <c:strRef>
              <c:f>SET!$C$10</c:f>
              <c:strCache>
                <c:ptCount val="1"/>
                <c:pt idx="0">
                  <c:v>Profit/Loss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SET!$C$11:$C$41</c:f>
              <c:numCache>
                <c:formatCode>_-[$$-409]* #,##0.00_ ;_-[$$-409]* \-#,##0.00\ ;_-[$$-409]* "-"??_ ;_-@_ </c:formatCode>
                <c:ptCount val="31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9FF-47E7-9A7E-20D511F42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SET!$P$10:$Q$10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SET!$G$11:$G$41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9FF-47E7-9A7E-20D511F42FF4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9FF-47E7-9A7E-20D511F42FF4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2"/>
          <c:order val="0"/>
          <c:tx>
            <c:strRef>
              <c:f>SET!$P$10:$Q$10</c:f>
              <c:strCache>
                <c:ptCount val="1"/>
                <c:pt idx="0">
                  <c:v>Meta Diária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SET!$G$11:$G$41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27F-43AE-BC37-2B8C776F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SET!$C$10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SET!$C$11:$C$41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27F-43AE-BC37-2B8C776F1DDA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SET!$D$11:$D$41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27F-43AE-BC37-2B8C776F1DDA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0"/>
          <c:order val="2"/>
          <c:tx>
            <c:strRef>
              <c:f>OUT!$R$10:$S$10</c:f>
              <c:strCache>
                <c:ptCount val="1"/>
                <c:pt idx="0">
                  <c:v>Banca Atual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OUT!$D$11:$D$41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C8-4C81-A57E-2DBEE135F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OUT!$P$10:$Q$10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OUT!$G$11:$G$41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A7C8-4C81-A57E-2DBEE135FE12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7C8-4C81-A57E-2DBEE135FE12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/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1"/>
          <c:order val="1"/>
          <c:tx>
            <c:strRef>
              <c:f>OUT!$C$10</c:f>
              <c:strCache>
                <c:ptCount val="1"/>
                <c:pt idx="0">
                  <c:v>Profit/Loss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OUT!$C$11:$C$41</c:f>
              <c:numCache>
                <c:formatCode>_-[$$-409]* #,##0.00_ ;_-[$$-409]* \-#,##0.00\ ;_-[$$-409]* "-"??_ ;_-@_ </c:formatCode>
                <c:ptCount val="31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93C-4241-8739-B72CDB941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OUT!$P$10:$Q$10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OUT!$G$11:$G$41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93C-4241-8739-B72CDB941678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93C-4241-8739-B72CDB941678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2"/>
          <c:order val="0"/>
          <c:tx>
            <c:strRef>
              <c:f>OUT!$P$10:$Q$10</c:f>
              <c:strCache>
                <c:ptCount val="1"/>
                <c:pt idx="0">
                  <c:v>Meta Diária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OUT!$G$11:$G$41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264-4A87-A4E6-6D176793E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OUT!$C$10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OUT!$C$11:$C$41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264-4A87-A4E6-6D176793E797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OUT!$D$11:$D$41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264-4A87-A4E6-6D176793E797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0"/>
          <c:order val="2"/>
          <c:tx>
            <c:strRef>
              <c:f>NOV!$R$10:$S$10</c:f>
              <c:strCache>
                <c:ptCount val="1"/>
                <c:pt idx="0">
                  <c:v>Banca Atual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NOV!$D$11:$D$41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25-46B0-8435-11AF85D89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NOV!$P$10:$Q$10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NOV!$G$11:$G$41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425-46B0-8435-11AF85D89DD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NOV!$C$10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NOV!$C$11:$C$41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425-46B0-8435-11AF85D89DDB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/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1"/>
          <c:order val="1"/>
          <c:tx>
            <c:strRef>
              <c:f>NOV!$C$10</c:f>
              <c:strCache>
                <c:ptCount val="1"/>
                <c:pt idx="0">
                  <c:v>Profit/Loss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NOV!$C$11:$C$41</c:f>
              <c:numCache>
                <c:formatCode>_-[$$-409]* #,##0.00_ ;_-[$$-409]* \-#,##0.00\ ;_-[$$-409]* "-"??_ ;_-@_ </c:formatCode>
                <c:ptCount val="31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315-433E-A44C-CC4F8CAFB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NOV!$P$10:$Q$10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NOV!$G$11:$G$41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315-433E-A44C-CC4F8CAFB115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NOV!$R$10:$S$10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NOV!$D$11:$D$41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315-433E-A44C-CC4F8CAFB115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2"/>
          <c:order val="0"/>
          <c:tx>
            <c:strRef>
              <c:f>NOV!$P$10:$Q$10</c:f>
              <c:strCache>
                <c:ptCount val="1"/>
                <c:pt idx="0">
                  <c:v>Meta Diária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NOV!$G$11:$G$41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58-4F8B-84C3-8EED2D460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NOV!$C$10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NOV!$C$11:$C$41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A58-4F8B-84C3-8EED2D4600E3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NOV!$R$10:$S$10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NOV!$D$11:$D$41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A58-4F8B-84C3-8EED2D4600E3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BANCA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0"/>
          <c:order val="2"/>
          <c:tx>
            <c:strRef>
              <c:f>DEZ!$R$10:$S$10</c:f>
              <c:strCache>
                <c:ptCount val="1"/>
                <c:pt idx="0">
                  <c:v>Banca Atual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DEZ!$D$11:$D$41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0-48A1-A444-18A6180D4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DEZ!$P$10:$Q$10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DEZ!$G$11:$G$41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3E0-48A1-A444-18A6180D42EA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DEZ!$C$10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DEZ!$C$11:$C$41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3E0-48A1-A444-18A6180D42EA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PROFIT / 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1"/>
          <c:order val="1"/>
          <c:tx>
            <c:strRef>
              <c:f>DEZ!$C$10</c:f>
              <c:strCache>
                <c:ptCount val="1"/>
                <c:pt idx="0">
                  <c:v>Profit/Loss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DEZ!$C$11:$C$41</c:f>
              <c:numCache>
                <c:formatCode>_-[$$-409]* #,##0.00_ ;_-[$$-409]* \-#,##0.00\ ;_-[$$-409]* "-"??_ ;_-@_ </c:formatCode>
                <c:ptCount val="31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9B0-4678-852C-5CFF570B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DEZ!$P$10:$Q$10</c15:sqref>
                        </c15:formulaRef>
                      </c:ext>
                    </c:extLst>
                    <c:strCache>
                      <c:ptCount val="1"/>
                      <c:pt idx="0">
                        <c:v>Meta Diária</c:v>
                      </c:pt>
                    </c:strCache>
                  </c:strRef>
                </c:tx>
                <c:spPr>
                  <a:ln w="34925" cap="rnd">
                    <a:solidFill>
                      <a:schemeClr val="accent3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DEZ!$G$11:$G$41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9B0-4678-852C-5CFF570B4BE1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DEZ!$R$10:$S$10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DEZ!$D$11:$D$41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9B0-4678-852C-5CFF570B4BE1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META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486588566673073E-2"/>
          <c:y val="3.5156535433070873E-2"/>
          <c:w val="0.91062723257153855"/>
          <c:h val="0.83947380577427821"/>
        </c:manualLayout>
      </c:layout>
      <c:lineChart>
        <c:grouping val="standard"/>
        <c:varyColors val="0"/>
        <c:ser>
          <c:idx val="2"/>
          <c:order val="0"/>
          <c:tx>
            <c:strRef>
              <c:f>DEZ!$P$10:$Q$10</c:f>
              <c:strCache>
                <c:ptCount val="1"/>
                <c:pt idx="0">
                  <c:v>Meta Diária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DEZ!$G$11:$G$41</c:f>
              <c:numCache>
                <c:formatCode>_-[$$-409]* #,##0.00_ ;_-[$$-409]* \-#,##0.00\ ;_-[$$-409]* "-"??_ ;_-@_ 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47F-46D7-AF30-4DBB86513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10016"/>
        <c:axId val="11111155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DEZ!$C$10</c15:sqref>
                        </c15:formulaRef>
                      </c:ext>
                    </c:extLst>
                    <c:strCache>
                      <c:ptCount val="1"/>
                      <c:pt idx="0">
                        <c:v>Profit/Loss</c:v>
                      </c:pt>
                    </c:strCache>
                  </c:strRef>
                </c:tx>
                <c:spPr>
                  <a:ln w="34925" cap="rnd">
                    <a:solidFill>
                      <a:schemeClr val="accent2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DEZ!$C$11:$C$41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947F-46D7-AF30-4DBB865130AF}"/>
                  </c:ext>
                </c:extLst>
              </c15:ser>
            </c15:filteredLineSeries>
            <c15:filteredLineSeries>
              <c15:ser>
                <c:idx val="0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DEZ!$R$10:$S$10</c15:sqref>
                        </c15:formulaRef>
                      </c:ext>
                    </c:extLst>
                    <c:strCache>
                      <c:ptCount val="1"/>
                      <c:pt idx="0">
                        <c:v>Banca Atual</c:v>
                      </c:pt>
                    </c:strCache>
                  </c:strRef>
                </c:tx>
                <c:spPr>
                  <a:ln w="34925" cap="rnd">
                    <a:solidFill>
                      <a:schemeClr val="accent1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DEZ!$D$11:$D$41</c15:sqref>
                        </c15:formulaRef>
                      </c:ext>
                    </c:extLst>
                    <c:numCache>
                      <c:formatCode>_-[$$-409]* #,##0.00_ ;_-[$$-409]* \-#,##0.00\ ;_-[$$-409]* "-"??_ ;_-@_ </c:formatCode>
                      <c:ptCount val="3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47F-46D7-AF30-4DBB865130AF}"/>
                  </c:ext>
                </c:extLst>
              </c15:ser>
            </c15:filteredLineSeries>
          </c:ext>
        </c:extLst>
      </c:lineChart>
      <c:catAx>
        <c:axId val="111110016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1552"/>
        <c:crossesAt val="0"/>
        <c:auto val="1"/>
        <c:lblAlgn val="ctr"/>
        <c:lblOffset val="100"/>
        <c:noMultiLvlLbl val="0"/>
      </c:catAx>
      <c:valAx>
        <c:axId val="11111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$-409]* #,##0.00_ ;_-[$$-409]* \-#,##0.00\ ;_-[$$-409]* &quot;-&quot;??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1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RESULTADOS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ANO!$C$8</c:f>
              <c:strCache>
                <c:ptCount val="1"/>
                <c:pt idx="0">
                  <c:v>Profit/Loss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  <a:sp3d contourW="9525">
              <a:contourClr>
                <a:schemeClr val="accent1"/>
              </a:contourClr>
            </a:sp3d>
          </c:spPr>
          <c:dLbls>
            <c:dLbl>
              <c:idx val="0"/>
              <c:layout>
                <c:manualLayout>
                  <c:x val="-3.9182963928726659E-2"/>
                  <c:y val="-8.09195285119699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9504-4ADD-93AF-2F76E44E6C2B}"/>
                </c:ext>
              </c:extLst>
            </c:dLbl>
            <c:dLbl>
              <c:idx val="1"/>
              <c:layout>
                <c:manualLayout>
                  <c:x val="-3.9463841465709922E-2"/>
                  <c:y val="8.8275849285785246E-2"/>
                </c:manualLayout>
              </c:layout>
              <c:spPr>
                <a:solidFill>
                  <a:schemeClr val="dk1">
                    <a:lumMod val="65000"/>
                    <a:lumOff val="35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4-9504-4ADD-93AF-2F76E44E6C2B}"/>
                </c:ext>
              </c:extLst>
            </c:dLbl>
            <c:dLbl>
              <c:idx val="2"/>
              <c:layout>
                <c:manualLayout>
                  <c:x val="-4.0921338548457226E-2"/>
                  <c:y val="-3.67816038690771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504-4ADD-93AF-2F76E44E6C2B}"/>
                </c:ext>
              </c:extLst>
            </c:dLbl>
            <c:dLbl>
              <c:idx val="3"/>
              <c:layout>
                <c:manualLayout>
                  <c:x val="-3.7614046614446998E-2"/>
                  <c:y val="5.14942454167080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9504-4ADD-93AF-2F76E44E6C2B}"/>
                </c:ext>
              </c:extLst>
            </c:dLbl>
            <c:dLbl>
              <c:idx val="4"/>
              <c:layout>
                <c:manualLayout>
                  <c:x val="-3.9182963928726645E-2"/>
                  <c:y val="-8.09195285119698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504-4ADD-93AF-2F76E44E6C2B}"/>
                </c:ext>
              </c:extLst>
            </c:dLbl>
            <c:dLbl>
              <c:idx val="5"/>
              <c:layout>
                <c:manualLayout>
                  <c:x val="-3.9182963928726708E-2"/>
                  <c:y val="8.45976888988775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9504-4ADD-93AF-2F76E44E6C2B}"/>
                </c:ext>
              </c:extLst>
            </c:dLbl>
            <c:dLbl>
              <c:idx val="6"/>
              <c:layout>
                <c:manualLayout>
                  <c:x val="-3.9839166127702164E-2"/>
                  <c:y val="-5.14942454167080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9504-4ADD-93AF-2F76E44E6C2B}"/>
                </c:ext>
              </c:extLst>
            </c:dLbl>
            <c:dLbl>
              <c:idx val="7"/>
              <c:layout>
                <c:manualLayout>
                  <c:x val="-3.7614046614446998E-2"/>
                  <c:y val="5.51724058036157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9504-4ADD-93AF-2F76E44E6C2B}"/>
                </c:ext>
              </c:extLst>
            </c:dLbl>
            <c:dLbl>
              <c:idx val="8"/>
              <c:layout>
                <c:manualLayout>
                  <c:x val="-4.3146458061712294E-2"/>
                  <c:y val="-5.14942454167080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504-4ADD-93AF-2F76E44E6C2B}"/>
                </c:ext>
              </c:extLst>
            </c:dLbl>
            <c:dLbl>
              <c:idx val="9"/>
              <c:layout>
                <c:manualLayout>
                  <c:x val="-3.5219469795741108E-2"/>
                  <c:y val="7.3563207738154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9504-4ADD-93AF-2F76E44E6C2B}"/>
                </c:ext>
              </c:extLst>
            </c:dLbl>
            <c:dLbl>
              <c:idx val="10"/>
              <c:layout>
                <c:manualLayout>
                  <c:x val="-3.7444589308996086E-2"/>
                  <c:y val="-7.7241368125062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504-4ADD-93AF-2F76E44E6C2B}"/>
                </c:ext>
              </c:extLst>
            </c:dLbl>
            <c:dLbl>
              <c:idx val="11"/>
              <c:layout>
                <c:manualLayout>
                  <c:x val="-2.7724611346658587E-2"/>
                  <c:y val="7.3563207738154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9504-4ADD-93AF-2F76E44E6C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ANO!$B$9:$B$20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ANO!$C$9:$C$20</c:f>
              <c:numCache>
                <c:formatCode>_-[$$-409]* #,##0.00_ ;_-[$$-409]* \-#,##0.00\ ;_-[$$-409]* "-"??_ ;_-@_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04-4ADD-93AF-2F76E44E6C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11670400"/>
        <c:axId val="111671936"/>
        <c:axId val="203605791"/>
      </c:line3DChart>
      <c:catAx>
        <c:axId val="111670400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671936"/>
        <c:crosses val="max"/>
        <c:auto val="1"/>
        <c:lblAlgn val="ctr"/>
        <c:lblOffset val="100"/>
        <c:noMultiLvlLbl val="0"/>
      </c:catAx>
      <c:valAx>
        <c:axId val="11167193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$-409]* #,##0.00_ ;_-[$$-409]* \-#,##0.00\ ;_-[$$-409]* &quot;-&quot;??_ ;_-@_ " sourceLinked="1"/>
        <c:majorTickMark val="none"/>
        <c:minorTickMark val="none"/>
        <c:tickLblPos val="nextTo"/>
        <c:crossAx val="111670400"/>
        <c:crosses val="autoZero"/>
        <c:crossBetween val="between"/>
      </c:valAx>
      <c:serAx>
        <c:axId val="20360579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1671936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104775</xdr:rowOff>
    </xdr:from>
    <xdr:to>
      <xdr:col>11</xdr:col>
      <xdr:colOff>323850</xdr:colOff>
      <xdr:row>21</xdr:row>
      <xdr:rowOff>114300</xdr:rowOff>
    </xdr:to>
    <xdr:pic>
      <xdr:nvPicPr>
        <xdr:cNvPr id="2" name="Imagem 1" descr="Turbo binary – Medium">
          <a:extLst>
            <a:ext uri="{FF2B5EF4-FFF2-40B4-BE49-F238E27FC236}">
              <a16:creationId xmlns:a16="http://schemas.microsoft.com/office/drawing/2014/main" id="{BA35E4EB-DB0A-4EAD-BB52-CDD38785C2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04775"/>
          <a:ext cx="6810375" cy="401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155541</xdr:colOff>
      <xdr:row>0</xdr:row>
      <xdr:rowOff>93159</xdr:rowOff>
    </xdr:from>
    <xdr:ext cx="1235109" cy="830765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703D288-05E1-42A2-9F88-775F9AB1F543}"/>
            </a:ext>
          </a:extLst>
        </xdr:cNvPr>
        <xdr:cNvSpPr/>
      </xdr:nvSpPr>
      <xdr:spPr>
        <a:xfrm>
          <a:off x="155541" y="93159"/>
          <a:ext cx="1235109" cy="83076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2000" b="1" cap="none" spc="50">
              <a:ln w="0"/>
              <a:solidFill>
                <a:srgbClr val="00B0F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  <a:latin typeface="Sitka Banner" panose="02000505000000020004" pitchFamily="2" charset="0"/>
            </a:rPr>
            <a:t>VERSÃO</a:t>
          </a:r>
          <a:r>
            <a:rPr lang="pt-BR" sz="2000" b="1" cap="none" spc="50" baseline="0">
              <a:ln w="0"/>
              <a:solidFill>
                <a:srgbClr val="00B0F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  <a:latin typeface="Sitka Banner" panose="02000505000000020004" pitchFamily="2" charset="0"/>
            </a:rPr>
            <a:t> 4.0</a:t>
          </a:r>
          <a:endParaRPr lang="pt-BR" sz="2000" b="1" cap="none" spc="50">
            <a:ln w="0"/>
            <a:solidFill>
              <a:srgbClr val="00B0F0"/>
            </a:solidFill>
            <a:effectLst>
              <a:outerShdw blurRad="60007" dist="200025" dir="15000000" sy="30000" kx="-1800000" algn="bl" rotWithShape="0">
                <a:prstClr val="black">
                  <a:alpha val="32000"/>
                </a:prstClr>
              </a:outerShdw>
            </a:effectLst>
            <a:latin typeface="Sitka Banner" panose="02000505000000020004" pitchFamily="2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26</xdr:col>
      <xdr:colOff>56028</xdr:colOff>
      <xdr:row>7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A96C51B-1469-4090-A37E-D1DE4FFBF067}"/>
            </a:ext>
          </a:extLst>
        </xdr:cNvPr>
        <xdr:cNvSpPr/>
      </xdr:nvSpPr>
      <xdr:spPr>
        <a:xfrm>
          <a:off x="247650" y="571500"/>
          <a:ext cx="14895978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235324</xdr:colOff>
      <xdr:row>2</xdr:row>
      <xdr:rowOff>111502</xdr:rowOff>
    </xdr:from>
    <xdr:ext cx="17839764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38B70D8-F798-4E86-B1DA-2B498AB0A3B6}"/>
            </a:ext>
          </a:extLst>
        </xdr:cNvPr>
        <xdr:cNvSpPr/>
      </xdr:nvSpPr>
      <xdr:spPr>
        <a:xfrm>
          <a:off x="235324" y="492502"/>
          <a:ext cx="17839764" cy="937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Dados Diários - 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00B05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PROFITS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&amp;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LOSS</a:t>
          </a:r>
          <a:endParaRPr lang="pt-BR" sz="5400" b="1" cap="none" spc="0">
            <a:ln w="10160">
              <a:noFill/>
              <a:prstDash val="solid"/>
            </a:ln>
            <a:solidFill>
              <a:srgbClr val="FF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30256</xdr:colOff>
      <xdr:row>11</xdr:row>
      <xdr:rowOff>100293</xdr:rowOff>
    </xdr:from>
    <xdr:to>
      <xdr:col>25</xdr:col>
      <xdr:colOff>597470</xdr:colOff>
      <xdr:row>21</xdr:row>
      <xdr:rowOff>103293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A375096-65BD-47C8-AA0A-4F21E41DE4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28175</xdr:colOff>
      <xdr:row>21</xdr:row>
      <xdr:rowOff>60192</xdr:rowOff>
    </xdr:from>
    <xdr:to>
      <xdr:col>25</xdr:col>
      <xdr:colOff>595389</xdr:colOff>
      <xdr:row>31</xdr:row>
      <xdr:rowOff>63192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84CD92C-E52E-450C-9854-B1443706C7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31295</xdr:colOff>
      <xdr:row>31</xdr:row>
      <xdr:rowOff>13446</xdr:rowOff>
    </xdr:from>
    <xdr:to>
      <xdr:col>25</xdr:col>
      <xdr:colOff>598509</xdr:colOff>
      <xdr:row>41</xdr:row>
      <xdr:rowOff>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61E4FE9-498F-457C-8B68-25EBE68E6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26</xdr:col>
      <xdr:colOff>56028</xdr:colOff>
      <xdr:row>7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DDE02F0-B835-4858-867C-6C1866CB6DDB}"/>
            </a:ext>
          </a:extLst>
        </xdr:cNvPr>
        <xdr:cNvSpPr/>
      </xdr:nvSpPr>
      <xdr:spPr>
        <a:xfrm>
          <a:off x="247650" y="571500"/>
          <a:ext cx="17924928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235324</xdr:colOff>
      <xdr:row>2</xdr:row>
      <xdr:rowOff>111502</xdr:rowOff>
    </xdr:from>
    <xdr:ext cx="17839764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EFE57C7C-AD92-4999-9404-F3F84A54A4EA}"/>
            </a:ext>
          </a:extLst>
        </xdr:cNvPr>
        <xdr:cNvSpPr/>
      </xdr:nvSpPr>
      <xdr:spPr>
        <a:xfrm>
          <a:off x="235324" y="492502"/>
          <a:ext cx="17839764" cy="937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Dados Diários - 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00B05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PROFITS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&amp;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LOSS</a:t>
          </a:r>
          <a:endParaRPr lang="pt-BR" sz="5400" b="1" cap="none" spc="0">
            <a:ln w="10160">
              <a:noFill/>
              <a:prstDash val="solid"/>
            </a:ln>
            <a:solidFill>
              <a:srgbClr val="FF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30256</xdr:colOff>
      <xdr:row>11</xdr:row>
      <xdr:rowOff>100293</xdr:rowOff>
    </xdr:from>
    <xdr:to>
      <xdr:col>25</xdr:col>
      <xdr:colOff>597470</xdr:colOff>
      <xdr:row>21</xdr:row>
      <xdr:rowOff>103293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6867CD8-4F5B-497C-B6DC-C849960FA1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28175</xdr:colOff>
      <xdr:row>21</xdr:row>
      <xdr:rowOff>60192</xdr:rowOff>
    </xdr:from>
    <xdr:to>
      <xdr:col>25</xdr:col>
      <xdr:colOff>595389</xdr:colOff>
      <xdr:row>31</xdr:row>
      <xdr:rowOff>63192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9A710C-AFBC-4E50-9FE0-0DB9E81E8D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31295</xdr:colOff>
      <xdr:row>31</xdr:row>
      <xdr:rowOff>13446</xdr:rowOff>
    </xdr:from>
    <xdr:to>
      <xdr:col>25</xdr:col>
      <xdr:colOff>598509</xdr:colOff>
      <xdr:row>41</xdr:row>
      <xdr:rowOff>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A9852E4-BF01-4B37-85DA-99A75B073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26</xdr:col>
      <xdr:colOff>56028</xdr:colOff>
      <xdr:row>7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57CDED9-724F-49CB-AE6B-9F2593F86651}"/>
            </a:ext>
          </a:extLst>
        </xdr:cNvPr>
        <xdr:cNvSpPr/>
      </xdr:nvSpPr>
      <xdr:spPr>
        <a:xfrm>
          <a:off x="247650" y="571500"/>
          <a:ext cx="17924928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235324</xdr:colOff>
      <xdr:row>2</xdr:row>
      <xdr:rowOff>111502</xdr:rowOff>
    </xdr:from>
    <xdr:ext cx="17839764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9C275140-5B76-49A6-A528-F651064CC6BA}"/>
            </a:ext>
          </a:extLst>
        </xdr:cNvPr>
        <xdr:cNvSpPr/>
      </xdr:nvSpPr>
      <xdr:spPr>
        <a:xfrm>
          <a:off x="235324" y="492502"/>
          <a:ext cx="17839764" cy="937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Dados Diários - 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00B05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PROFITS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&amp;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LOSS</a:t>
          </a:r>
          <a:endParaRPr lang="pt-BR" sz="5400" b="1" cap="none" spc="0">
            <a:ln w="10160">
              <a:noFill/>
              <a:prstDash val="solid"/>
            </a:ln>
            <a:solidFill>
              <a:srgbClr val="FF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30256</xdr:colOff>
      <xdr:row>11</xdr:row>
      <xdr:rowOff>100293</xdr:rowOff>
    </xdr:from>
    <xdr:to>
      <xdr:col>25</xdr:col>
      <xdr:colOff>597470</xdr:colOff>
      <xdr:row>21</xdr:row>
      <xdr:rowOff>103293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FE297F2-8AFD-4DD6-A854-7300158AE2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28175</xdr:colOff>
      <xdr:row>21</xdr:row>
      <xdr:rowOff>60192</xdr:rowOff>
    </xdr:from>
    <xdr:to>
      <xdr:col>25</xdr:col>
      <xdr:colOff>595389</xdr:colOff>
      <xdr:row>31</xdr:row>
      <xdr:rowOff>63192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7C52168-575A-450D-89CC-E38D13EAA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31295</xdr:colOff>
      <xdr:row>31</xdr:row>
      <xdr:rowOff>13446</xdr:rowOff>
    </xdr:from>
    <xdr:to>
      <xdr:col>25</xdr:col>
      <xdr:colOff>598509</xdr:colOff>
      <xdr:row>41</xdr:row>
      <xdr:rowOff>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F83BF70-483E-4B41-86B0-CFC899FC0B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26</xdr:col>
      <xdr:colOff>56028</xdr:colOff>
      <xdr:row>7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501E03A-26D3-4C17-A8B0-176C82883FE4}"/>
            </a:ext>
          </a:extLst>
        </xdr:cNvPr>
        <xdr:cNvSpPr/>
      </xdr:nvSpPr>
      <xdr:spPr>
        <a:xfrm>
          <a:off x="247650" y="571500"/>
          <a:ext cx="17924928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235324</xdr:colOff>
      <xdr:row>2</xdr:row>
      <xdr:rowOff>111502</xdr:rowOff>
    </xdr:from>
    <xdr:ext cx="17839764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B3C23ABE-C59D-4934-9232-9E77749C8E7A}"/>
            </a:ext>
          </a:extLst>
        </xdr:cNvPr>
        <xdr:cNvSpPr/>
      </xdr:nvSpPr>
      <xdr:spPr>
        <a:xfrm>
          <a:off x="235324" y="492502"/>
          <a:ext cx="17839764" cy="937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Dados Diários - 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00B05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PROFITS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&amp;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LOSS</a:t>
          </a:r>
          <a:endParaRPr lang="pt-BR" sz="5400" b="1" cap="none" spc="0">
            <a:ln w="10160">
              <a:noFill/>
              <a:prstDash val="solid"/>
            </a:ln>
            <a:solidFill>
              <a:srgbClr val="FF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30256</xdr:colOff>
      <xdr:row>11</xdr:row>
      <xdr:rowOff>100293</xdr:rowOff>
    </xdr:from>
    <xdr:to>
      <xdr:col>25</xdr:col>
      <xdr:colOff>597470</xdr:colOff>
      <xdr:row>21</xdr:row>
      <xdr:rowOff>103293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6203D3-F075-4A81-98E7-0544E5E63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28175</xdr:colOff>
      <xdr:row>21</xdr:row>
      <xdr:rowOff>60192</xdr:rowOff>
    </xdr:from>
    <xdr:to>
      <xdr:col>25</xdr:col>
      <xdr:colOff>595389</xdr:colOff>
      <xdr:row>31</xdr:row>
      <xdr:rowOff>63192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D10E3D-46C7-4689-A03C-99283C79A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31295</xdr:colOff>
      <xdr:row>31</xdr:row>
      <xdr:rowOff>13446</xdr:rowOff>
    </xdr:from>
    <xdr:to>
      <xdr:col>25</xdr:col>
      <xdr:colOff>598509</xdr:colOff>
      <xdr:row>41</xdr:row>
      <xdr:rowOff>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03D922B-450B-4C35-A3AD-5468C9E2A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26</xdr:col>
      <xdr:colOff>56028</xdr:colOff>
      <xdr:row>7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D8DA7BD-6ECE-439B-980F-8E409A132FEF}"/>
            </a:ext>
          </a:extLst>
        </xdr:cNvPr>
        <xdr:cNvSpPr/>
      </xdr:nvSpPr>
      <xdr:spPr>
        <a:xfrm>
          <a:off x="247650" y="571500"/>
          <a:ext cx="17924928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235324</xdr:colOff>
      <xdr:row>2</xdr:row>
      <xdr:rowOff>111502</xdr:rowOff>
    </xdr:from>
    <xdr:ext cx="17839764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618810D-155B-4E02-8B45-581F16B1473A}"/>
            </a:ext>
          </a:extLst>
        </xdr:cNvPr>
        <xdr:cNvSpPr/>
      </xdr:nvSpPr>
      <xdr:spPr>
        <a:xfrm>
          <a:off x="235324" y="492502"/>
          <a:ext cx="17839764" cy="937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Dados Diários - 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00B05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PROFITS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&amp;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LOSS</a:t>
          </a:r>
          <a:endParaRPr lang="pt-BR" sz="5400" b="1" cap="none" spc="0">
            <a:ln w="10160">
              <a:noFill/>
              <a:prstDash val="solid"/>
            </a:ln>
            <a:solidFill>
              <a:srgbClr val="FF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30256</xdr:colOff>
      <xdr:row>11</xdr:row>
      <xdr:rowOff>100293</xdr:rowOff>
    </xdr:from>
    <xdr:to>
      <xdr:col>25</xdr:col>
      <xdr:colOff>597470</xdr:colOff>
      <xdr:row>21</xdr:row>
      <xdr:rowOff>103293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F272634-94D7-4E43-B4B1-6864C2C53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28175</xdr:colOff>
      <xdr:row>21</xdr:row>
      <xdr:rowOff>60192</xdr:rowOff>
    </xdr:from>
    <xdr:to>
      <xdr:col>25</xdr:col>
      <xdr:colOff>595389</xdr:colOff>
      <xdr:row>31</xdr:row>
      <xdr:rowOff>63192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536F749-ECCD-401C-90A3-982264E3A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31295</xdr:colOff>
      <xdr:row>31</xdr:row>
      <xdr:rowOff>13446</xdr:rowOff>
    </xdr:from>
    <xdr:to>
      <xdr:col>25</xdr:col>
      <xdr:colOff>598509</xdr:colOff>
      <xdr:row>41</xdr:row>
      <xdr:rowOff>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22EAE9D-FD50-4542-BE0B-FD0FFA9D98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26</xdr:col>
      <xdr:colOff>56028</xdr:colOff>
      <xdr:row>7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C7DB36-D4FF-41F1-BE5D-D9207CB05EBF}"/>
            </a:ext>
          </a:extLst>
        </xdr:cNvPr>
        <xdr:cNvSpPr/>
      </xdr:nvSpPr>
      <xdr:spPr>
        <a:xfrm>
          <a:off x="247650" y="571500"/>
          <a:ext cx="17924928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235324</xdr:colOff>
      <xdr:row>2</xdr:row>
      <xdr:rowOff>111502</xdr:rowOff>
    </xdr:from>
    <xdr:ext cx="17839764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5089AA7-F7AA-471B-B477-E947482BC276}"/>
            </a:ext>
          </a:extLst>
        </xdr:cNvPr>
        <xdr:cNvSpPr/>
      </xdr:nvSpPr>
      <xdr:spPr>
        <a:xfrm>
          <a:off x="235324" y="492502"/>
          <a:ext cx="17839764" cy="937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Dados Diários - 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00B05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PROFITS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&amp;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LOSS</a:t>
          </a:r>
          <a:endParaRPr lang="pt-BR" sz="5400" b="1" cap="none" spc="0">
            <a:ln w="10160">
              <a:noFill/>
              <a:prstDash val="solid"/>
            </a:ln>
            <a:solidFill>
              <a:srgbClr val="FF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30256</xdr:colOff>
      <xdr:row>11</xdr:row>
      <xdr:rowOff>100293</xdr:rowOff>
    </xdr:from>
    <xdr:to>
      <xdr:col>25</xdr:col>
      <xdr:colOff>597470</xdr:colOff>
      <xdr:row>21</xdr:row>
      <xdr:rowOff>103293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993D4F-F9FB-4FBA-B08E-C454512842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28175</xdr:colOff>
      <xdr:row>21</xdr:row>
      <xdr:rowOff>60192</xdr:rowOff>
    </xdr:from>
    <xdr:to>
      <xdr:col>25</xdr:col>
      <xdr:colOff>595389</xdr:colOff>
      <xdr:row>31</xdr:row>
      <xdr:rowOff>63192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BBD8E96-6C63-4517-A243-6004F91B62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31295</xdr:colOff>
      <xdr:row>31</xdr:row>
      <xdr:rowOff>13446</xdr:rowOff>
    </xdr:from>
    <xdr:to>
      <xdr:col>25</xdr:col>
      <xdr:colOff>598509</xdr:colOff>
      <xdr:row>41</xdr:row>
      <xdr:rowOff>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2572ED4-57A8-4ACD-AAA6-06F759466E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26</xdr:col>
      <xdr:colOff>56028</xdr:colOff>
      <xdr:row>7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4F8CF1-B0E2-4192-A2E3-F10058D9E4A1}"/>
            </a:ext>
          </a:extLst>
        </xdr:cNvPr>
        <xdr:cNvSpPr/>
      </xdr:nvSpPr>
      <xdr:spPr>
        <a:xfrm>
          <a:off x="247650" y="571500"/>
          <a:ext cx="17924928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235324</xdr:colOff>
      <xdr:row>2</xdr:row>
      <xdr:rowOff>111502</xdr:rowOff>
    </xdr:from>
    <xdr:ext cx="17839764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565F9A0-27D3-45F4-BAF1-F999F05C15CD}"/>
            </a:ext>
          </a:extLst>
        </xdr:cNvPr>
        <xdr:cNvSpPr/>
      </xdr:nvSpPr>
      <xdr:spPr>
        <a:xfrm>
          <a:off x="235324" y="492502"/>
          <a:ext cx="17839764" cy="937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Dados Diários - 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00B05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PROFITS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&amp;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LOSS</a:t>
          </a:r>
          <a:endParaRPr lang="pt-BR" sz="5400" b="1" cap="none" spc="0">
            <a:ln w="10160">
              <a:noFill/>
              <a:prstDash val="solid"/>
            </a:ln>
            <a:solidFill>
              <a:srgbClr val="FF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30256</xdr:colOff>
      <xdr:row>11</xdr:row>
      <xdr:rowOff>100293</xdr:rowOff>
    </xdr:from>
    <xdr:to>
      <xdr:col>25</xdr:col>
      <xdr:colOff>597470</xdr:colOff>
      <xdr:row>21</xdr:row>
      <xdr:rowOff>103293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B625A1-2438-4CA8-97FD-86C36321A6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28175</xdr:colOff>
      <xdr:row>21</xdr:row>
      <xdr:rowOff>60192</xdr:rowOff>
    </xdr:from>
    <xdr:to>
      <xdr:col>25</xdr:col>
      <xdr:colOff>595389</xdr:colOff>
      <xdr:row>31</xdr:row>
      <xdr:rowOff>63192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5C01D0-199C-40F2-9DF8-75675D11E3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31295</xdr:colOff>
      <xdr:row>31</xdr:row>
      <xdr:rowOff>13446</xdr:rowOff>
    </xdr:from>
    <xdr:to>
      <xdr:col>25</xdr:col>
      <xdr:colOff>598509</xdr:colOff>
      <xdr:row>41</xdr:row>
      <xdr:rowOff>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442E801-84B5-4F0B-A213-535DE187B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26</xdr:col>
      <xdr:colOff>56028</xdr:colOff>
      <xdr:row>7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5D1BF21-23BF-4F9F-9671-3517F2FE7F44}"/>
            </a:ext>
          </a:extLst>
        </xdr:cNvPr>
        <xdr:cNvSpPr/>
      </xdr:nvSpPr>
      <xdr:spPr>
        <a:xfrm>
          <a:off x="247650" y="571500"/>
          <a:ext cx="17924928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235324</xdr:colOff>
      <xdr:row>2</xdr:row>
      <xdr:rowOff>111502</xdr:rowOff>
    </xdr:from>
    <xdr:ext cx="17839764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BC0B0E5-6D85-4F47-A06D-6F06791237AE}"/>
            </a:ext>
          </a:extLst>
        </xdr:cNvPr>
        <xdr:cNvSpPr/>
      </xdr:nvSpPr>
      <xdr:spPr>
        <a:xfrm>
          <a:off x="235324" y="492502"/>
          <a:ext cx="17839764" cy="937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Dados Diários - 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00B05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PROFITS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&amp;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LOSS</a:t>
          </a:r>
          <a:endParaRPr lang="pt-BR" sz="5400" b="1" cap="none" spc="0">
            <a:ln w="10160">
              <a:noFill/>
              <a:prstDash val="solid"/>
            </a:ln>
            <a:solidFill>
              <a:srgbClr val="FF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30256</xdr:colOff>
      <xdr:row>11</xdr:row>
      <xdr:rowOff>100293</xdr:rowOff>
    </xdr:from>
    <xdr:to>
      <xdr:col>25</xdr:col>
      <xdr:colOff>597470</xdr:colOff>
      <xdr:row>21</xdr:row>
      <xdr:rowOff>103293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56E7009-F2FC-4CC0-AEC9-557D3DC82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28175</xdr:colOff>
      <xdr:row>21</xdr:row>
      <xdr:rowOff>60192</xdr:rowOff>
    </xdr:from>
    <xdr:to>
      <xdr:col>25</xdr:col>
      <xdr:colOff>595389</xdr:colOff>
      <xdr:row>31</xdr:row>
      <xdr:rowOff>63192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1FB1CCC-206C-4C81-AA75-1A845B40F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31295</xdr:colOff>
      <xdr:row>31</xdr:row>
      <xdr:rowOff>13446</xdr:rowOff>
    </xdr:from>
    <xdr:to>
      <xdr:col>25</xdr:col>
      <xdr:colOff>598509</xdr:colOff>
      <xdr:row>41</xdr:row>
      <xdr:rowOff>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519A6CB-7B65-48C3-BE44-A55C88806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26</xdr:col>
      <xdr:colOff>56028</xdr:colOff>
      <xdr:row>7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402E2BB-C1E0-4267-8267-AE4D98960BC0}"/>
            </a:ext>
          </a:extLst>
        </xdr:cNvPr>
        <xdr:cNvSpPr/>
      </xdr:nvSpPr>
      <xdr:spPr>
        <a:xfrm>
          <a:off x="247650" y="571500"/>
          <a:ext cx="17924928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235324</xdr:colOff>
      <xdr:row>2</xdr:row>
      <xdr:rowOff>111502</xdr:rowOff>
    </xdr:from>
    <xdr:ext cx="17839764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705DF7E-878F-4F05-9328-C52D82D33053}"/>
            </a:ext>
          </a:extLst>
        </xdr:cNvPr>
        <xdr:cNvSpPr/>
      </xdr:nvSpPr>
      <xdr:spPr>
        <a:xfrm>
          <a:off x="235324" y="492502"/>
          <a:ext cx="17839764" cy="937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Dados Diários - 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00B05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PROFITS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&amp;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LOSS</a:t>
          </a:r>
          <a:endParaRPr lang="pt-BR" sz="5400" b="1" cap="none" spc="0">
            <a:ln w="10160">
              <a:noFill/>
              <a:prstDash val="solid"/>
            </a:ln>
            <a:solidFill>
              <a:srgbClr val="FF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30256</xdr:colOff>
      <xdr:row>11</xdr:row>
      <xdr:rowOff>100293</xdr:rowOff>
    </xdr:from>
    <xdr:to>
      <xdr:col>25</xdr:col>
      <xdr:colOff>597470</xdr:colOff>
      <xdr:row>21</xdr:row>
      <xdr:rowOff>103293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5F63799-34DE-4DBC-90A0-2BECA8418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28175</xdr:colOff>
      <xdr:row>21</xdr:row>
      <xdr:rowOff>60192</xdr:rowOff>
    </xdr:from>
    <xdr:to>
      <xdr:col>25</xdr:col>
      <xdr:colOff>595389</xdr:colOff>
      <xdr:row>31</xdr:row>
      <xdr:rowOff>63192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4E8AFAA-5351-4416-8B86-289484B53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31295</xdr:colOff>
      <xdr:row>31</xdr:row>
      <xdr:rowOff>13446</xdr:rowOff>
    </xdr:from>
    <xdr:to>
      <xdr:col>25</xdr:col>
      <xdr:colOff>598509</xdr:colOff>
      <xdr:row>41</xdr:row>
      <xdr:rowOff>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76CB665-8496-4697-A4F2-9F672FFF88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26</xdr:col>
      <xdr:colOff>56028</xdr:colOff>
      <xdr:row>7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C6EAB18-5C30-4778-89F0-9232B36E9C98}"/>
            </a:ext>
          </a:extLst>
        </xdr:cNvPr>
        <xdr:cNvSpPr/>
      </xdr:nvSpPr>
      <xdr:spPr>
        <a:xfrm>
          <a:off x="247650" y="571500"/>
          <a:ext cx="17924928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235324</xdr:colOff>
      <xdr:row>2</xdr:row>
      <xdr:rowOff>111502</xdr:rowOff>
    </xdr:from>
    <xdr:ext cx="17839764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F6B50F4A-1AEE-4BB8-9666-3C7A0671A870}"/>
            </a:ext>
          </a:extLst>
        </xdr:cNvPr>
        <xdr:cNvSpPr/>
      </xdr:nvSpPr>
      <xdr:spPr>
        <a:xfrm>
          <a:off x="235324" y="492502"/>
          <a:ext cx="17839764" cy="937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Dados Diários - 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00B05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PROFITS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&amp;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LOSS</a:t>
          </a:r>
          <a:endParaRPr lang="pt-BR" sz="5400" b="1" cap="none" spc="0">
            <a:ln w="10160">
              <a:noFill/>
              <a:prstDash val="solid"/>
            </a:ln>
            <a:solidFill>
              <a:srgbClr val="FF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30256</xdr:colOff>
      <xdr:row>11</xdr:row>
      <xdr:rowOff>100293</xdr:rowOff>
    </xdr:from>
    <xdr:to>
      <xdr:col>25</xdr:col>
      <xdr:colOff>597470</xdr:colOff>
      <xdr:row>21</xdr:row>
      <xdr:rowOff>103293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AA78BFE-1691-4B20-AB6F-09560968F5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28175</xdr:colOff>
      <xdr:row>21</xdr:row>
      <xdr:rowOff>60192</xdr:rowOff>
    </xdr:from>
    <xdr:to>
      <xdr:col>25</xdr:col>
      <xdr:colOff>595389</xdr:colOff>
      <xdr:row>31</xdr:row>
      <xdr:rowOff>63192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77FA3F0-12B6-4FC6-996F-D9F4A276A6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31295</xdr:colOff>
      <xdr:row>31</xdr:row>
      <xdr:rowOff>13446</xdr:rowOff>
    </xdr:from>
    <xdr:to>
      <xdr:col>25</xdr:col>
      <xdr:colOff>598509</xdr:colOff>
      <xdr:row>41</xdr:row>
      <xdr:rowOff>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CB41E57-C603-46A6-949E-30C9DAD4C4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26</xdr:col>
      <xdr:colOff>56028</xdr:colOff>
      <xdr:row>7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FB16638-EF4E-4136-A604-EF18E4D7A4AB}"/>
            </a:ext>
          </a:extLst>
        </xdr:cNvPr>
        <xdr:cNvSpPr/>
      </xdr:nvSpPr>
      <xdr:spPr>
        <a:xfrm>
          <a:off x="247650" y="571500"/>
          <a:ext cx="17924928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235324</xdr:colOff>
      <xdr:row>2</xdr:row>
      <xdr:rowOff>111502</xdr:rowOff>
    </xdr:from>
    <xdr:ext cx="17839764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9AFF421B-F600-4A03-89AA-6505E644EE7D}"/>
            </a:ext>
          </a:extLst>
        </xdr:cNvPr>
        <xdr:cNvSpPr/>
      </xdr:nvSpPr>
      <xdr:spPr>
        <a:xfrm>
          <a:off x="235324" y="492502"/>
          <a:ext cx="17839764" cy="937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Dados Diários - 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00B05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PROFITS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&amp;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LOSS</a:t>
          </a:r>
          <a:endParaRPr lang="pt-BR" sz="5400" b="1" cap="none" spc="0">
            <a:ln w="10160">
              <a:noFill/>
              <a:prstDash val="solid"/>
            </a:ln>
            <a:solidFill>
              <a:srgbClr val="FF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30256</xdr:colOff>
      <xdr:row>11</xdr:row>
      <xdr:rowOff>100293</xdr:rowOff>
    </xdr:from>
    <xdr:to>
      <xdr:col>25</xdr:col>
      <xdr:colOff>597470</xdr:colOff>
      <xdr:row>21</xdr:row>
      <xdr:rowOff>103293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954BD6C-3EB3-4611-A1DC-D0F9EE017C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28175</xdr:colOff>
      <xdr:row>21</xdr:row>
      <xdr:rowOff>60192</xdr:rowOff>
    </xdr:from>
    <xdr:to>
      <xdr:col>25</xdr:col>
      <xdr:colOff>595389</xdr:colOff>
      <xdr:row>31</xdr:row>
      <xdr:rowOff>63192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90BAB04-24C7-4DB1-AD5C-CF97793FA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31295</xdr:colOff>
      <xdr:row>31</xdr:row>
      <xdr:rowOff>13446</xdr:rowOff>
    </xdr:from>
    <xdr:to>
      <xdr:col>25</xdr:col>
      <xdr:colOff>598509</xdr:colOff>
      <xdr:row>41</xdr:row>
      <xdr:rowOff>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3D11BEA-05F5-4485-BF41-71FD0C6B0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26</xdr:col>
      <xdr:colOff>56028</xdr:colOff>
      <xdr:row>7</xdr:row>
      <xdr:rowOff>19050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43251B9-506D-4221-943C-C1D1D68BADC1}"/>
            </a:ext>
          </a:extLst>
        </xdr:cNvPr>
        <xdr:cNvSpPr/>
      </xdr:nvSpPr>
      <xdr:spPr>
        <a:xfrm>
          <a:off x="247650" y="571500"/>
          <a:ext cx="17924928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235324</xdr:colOff>
      <xdr:row>2</xdr:row>
      <xdr:rowOff>111502</xdr:rowOff>
    </xdr:from>
    <xdr:ext cx="17839764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AC11158-A8B0-4829-BE55-18ECD11C39C3}"/>
            </a:ext>
          </a:extLst>
        </xdr:cNvPr>
        <xdr:cNvSpPr/>
      </xdr:nvSpPr>
      <xdr:spPr>
        <a:xfrm>
          <a:off x="235324" y="492502"/>
          <a:ext cx="17839764" cy="937629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Dados Diários - 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00B05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PROFITS</a:t>
          </a:r>
          <a:r>
            <a:rPr lang="pt-BR" sz="54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&amp;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</a:t>
          </a:r>
          <a:r>
            <a:rPr lang="pt-BR" sz="5400" b="1" cap="none" spc="0" baseline="0">
              <a:ln w="10160">
                <a:noFill/>
                <a:prstDash val="solid"/>
              </a:ln>
              <a:solidFill>
                <a:srgbClr val="FF0000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LOSS</a:t>
          </a:r>
          <a:endParaRPr lang="pt-BR" sz="5400" b="1" cap="none" spc="0">
            <a:ln w="10160">
              <a:noFill/>
              <a:prstDash val="solid"/>
            </a:ln>
            <a:solidFill>
              <a:srgbClr val="FF0000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13</xdr:col>
      <xdr:colOff>30256</xdr:colOff>
      <xdr:row>11</xdr:row>
      <xdr:rowOff>100293</xdr:rowOff>
    </xdr:from>
    <xdr:to>
      <xdr:col>25</xdr:col>
      <xdr:colOff>597470</xdr:colOff>
      <xdr:row>21</xdr:row>
      <xdr:rowOff>103293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B2CE9A8-FC8F-4004-B051-3741F4C978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28175</xdr:colOff>
      <xdr:row>21</xdr:row>
      <xdr:rowOff>60192</xdr:rowOff>
    </xdr:from>
    <xdr:to>
      <xdr:col>25</xdr:col>
      <xdr:colOff>595389</xdr:colOff>
      <xdr:row>31</xdr:row>
      <xdr:rowOff>63192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A6CF3B1-222B-4114-AEAE-0BFFE15112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31295</xdr:colOff>
      <xdr:row>31</xdr:row>
      <xdr:rowOff>13446</xdr:rowOff>
    </xdr:from>
    <xdr:to>
      <xdr:col>25</xdr:col>
      <xdr:colOff>598509</xdr:colOff>
      <xdr:row>41</xdr:row>
      <xdr:rowOff>5240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FD9B34A-9C5D-4E63-8CD4-E2BFBBD1E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190499</xdr:colOff>
      <xdr:row>1</xdr:row>
      <xdr:rowOff>19050</xdr:rowOff>
    </xdr:from>
    <xdr:to>
      <xdr:col>18</xdr:col>
      <xdr:colOff>571499</xdr:colOff>
      <xdr:row>5</xdr:row>
      <xdr:rowOff>38100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14166E9-2380-49FE-9134-AA3697C36D5B}"/>
            </a:ext>
          </a:extLst>
        </xdr:cNvPr>
        <xdr:cNvSpPr/>
      </xdr:nvSpPr>
      <xdr:spPr>
        <a:xfrm>
          <a:off x="2133599" y="142875"/>
          <a:ext cx="9763125" cy="7810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0"/>
        </a:p>
      </xdr:txBody>
    </xdr:sp>
    <xdr:clientData/>
  </xdr:twoCellAnchor>
  <xdr:oneCellAnchor>
    <xdr:from>
      <xdr:col>3</xdr:col>
      <xdr:colOff>190500</xdr:colOff>
      <xdr:row>0</xdr:row>
      <xdr:rowOff>76201</xdr:rowOff>
    </xdr:from>
    <xdr:ext cx="9734550" cy="781050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DC35BC80-CBC8-4AD2-9B95-06D86CA8222E}"/>
            </a:ext>
          </a:extLst>
        </xdr:cNvPr>
        <xdr:cNvSpPr/>
      </xdr:nvSpPr>
      <xdr:spPr>
        <a:xfrm>
          <a:off x="2133600" y="76201"/>
          <a:ext cx="9734550" cy="7810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5400" b="0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RESUMO</a:t>
          </a:r>
          <a:r>
            <a:rPr lang="pt-BR" sz="5400" b="0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ANUAL</a:t>
          </a:r>
          <a:endParaRPr lang="pt-BR" sz="5400" b="0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3</xdr:col>
      <xdr:colOff>152399</xdr:colOff>
      <xdr:row>7</xdr:row>
      <xdr:rowOff>4762</xdr:rowOff>
    </xdr:from>
    <xdr:to>
      <xdr:col>18</xdr:col>
      <xdr:colOff>590550</xdr:colOff>
      <xdr:row>25</xdr:row>
      <xdr:rowOff>180976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A62CC0F-388A-4BD0-902D-B50EEA9D1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?from=USD&amp;amount=1" refreshOnLoad="1" preserveFormatting="0" connectionId="1" xr16:uid="{6481494E-70C8-4C81-BA0C-2C3D23D3DB4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x-rates.com/graph/?from=CZK&amp;to=USD" TargetMode="External"/><Relationship Id="rId21" Type="http://schemas.openxmlformats.org/officeDocument/2006/relationships/hyperlink" Target="https://www.x-rates.com/graph/?from=USD&amp;to=COP" TargetMode="External"/><Relationship Id="rId42" Type="http://schemas.openxmlformats.org/officeDocument/2006/relationships/hyperlink" Target="https://www.x-rates.com/graph/?from=IRR&amp;to=USD" TargetMode="External"/><Relationship Id="rId47" Type="http://schemas.openxmlformats.org/officeDocument/2006/relationships/hyperlink" Target="https://www.x-rates.com/graph/?from=USD&amp;to=KZT" TargetMode="External"/><Relationship Id="rId63" Type="http://schemas.openxmlformats.org/officeDocument/2006/relationships/hyperlink" Target="https://www.x-rates.com/graph/?from=USD&amp;to=NZD" TargetMode="External"/><Relationship Id="rId68" Type="http://schemas.openxmlformats.org/officeDocument/2006/relationships/hyperlink" Target="https://www.x-rates.com/graph/?from=OMR&amp;to=USD" TargetMode="External"/><Relationship Id="rId84" Type="http://schemas.openxmlformats.org/officeDocument/2006/relationships/hyperlink" Target="https://www.x-rates.com/graph/?from=SGD&amp;to=USD" TargetMode="External"/><Relationship Id="rId89" Type="http://schemas.openxmlformats.org/officeDocument/2006/relationships/hyperlink" Target="https://www.x-rates.com/graph/?from=USD&amp;to=SEK" TargetMode="External"/><Relationship Id="rId16" Type="http://schemas.openxmlformats.org/officeDocument/2006/relationships/hyperlink" Target="https://www.x-rates.com/graph/?from=CAD&amp;to=USD" TargetMode="External"/><Relationship Id="rId107" Type="http://schemas.openxmlformats.org/officeDocument/2006/relationships/printerSettings" Target="../printerSettings/printerSettings14.bin"/><Relationship Id="rId11" Type="http://schemas.openxmlformats.org/officeDocument/2006/relationships/hyperlink" Target="https://www.x-rates.com/graph/?from=USD&amp;to=BND" TargetMode="External"/><Relationship Id="rId32" Type="http://schemas.openxmlformats.org/officeDocument/2006/relationships/hyperlink" Target="https://www.x-rates.com/graph/?from=HKD&amp;to=USD" TargetMode="External"/><Relationship Id="rId37" Type="http://schemas.openxmlformats.org/officeDocument/2006/relationships/hyperlink" Target="https://www.x-rates.com/graph/?from=USD&amp;to=INR" TargetMode="External"/><Relationship Id="rId53" Type="http://schemas.openxmlformats.org/officeDocument/2006/relationships/hyperlink" Target="https://www.x-rates.com/graph/?from=USD&amp;to=LYD" TargetMode="External"/><Relationship Id="rId58" Type="http://schemas.openxmlformats.org/officeDocument/2006/relationships/hyperlink" Target="https://www.x-rates.com/graph/?from=MUR&amp;to=USD" TargetMode="External"/><Relationship Id="rId74" Type="http://schemas.openxmlformats.org/officeDocument/2006/relationships/hyperlink" Target="https://www.x-rates.com/graph/?from=PLN&amp;to=USD" TargetMode="External"/><Relationship Id="rId79" Type="http://schemas.openxmlformats.org/officeDocument/2006/relationships/hyperlink" Target="https://www.x-rates.com/graph/?from=USD&amp;to=RUB" TargetMode="External"/><Relationship Id="rId102" Type="http://schemas.openxmlformats.org/officeDocument/2006/relationships/hyperlink" Target="https://www.x-rates.com/graph/?from=AED&amp;to=USD" TargetMode="External"/><Relationship Id="rId5" Type="http://schemas.openxmlformats.org/officeDocument/2006/relationships/hyperlink" Target="https://www.x-rates.com/graph/?from=USD&amp;to=BHD" TargetMode="External"/><Relationship Id="rId90" Type="http://schemas.openxmlformats.org/officeDocument/2006/relationships/hyperlink" Target="https://www.x-rates.com/graph/?from=SEK&amp;to=USD" TargetMode="External"/><Relationship Id="rId95" Type="http://schemas.openxmlformats.org/officeDocument/2006/relationships/hyperlink" Target="https://www.x-rates.com/graph/?from=USD&amp;to=THB" TargetMode="External"/><Relationship Id="rId22" Type="http://schemas.openxmlformats.org/officeDocument/2006/relationships/hyperlink" Target="https://www.x-rates.com/graph/?from=COP&amp;to=USD" TargetMode="External"/><Relationship Id="rId27" Type="http://schemas.openxmlformats.org/officeDocument/2006/relationships/hyperlink" Target="https://www.x-rates.com/graph/?from=USD&amp;to=DKK" TargetMode="External"/><Relationship Id="rId43" Type="http://schemas.openxmlformats.org/officeDocument/2006/relationships/hyperlink" Target="https://www.x-rates.com/graph/?from=USD&amp;to=ILS" TargetMode="External"/><Relationship Id="rId48" Type="http://schemas.openxmlformats.org/officeDocument/2006/relationships/hyperlink" Target="https://www.x-rates.com/graph/?from=KZT&amp;to=USD" TargetMode="External"/><Relationship Id="rId64" Type="http://schemas.openxmlformats.org/officeDocument/2006/relationships/hyperlink" Target="https://www.x-rates.com/graph/?from=NZD&amp;to=USD" TargetMode="External"/><Relationship Id="rId69" Type="http://schemas.openxmlformats.org/officeDocument/2006/relationships/hyperlink" Target="https://www.x-rates.com/graph/?from=USD&amp;to=PKR" TargetMode="External"/><Relationship Id="rId80" Type="http://schemas.openxmlformats.org/officeDocument/2006/relationships/hyperlink" Target="https://www.x-rates.com/graph/?from=RUB&amp;to=USD" TargetMode="External"/><Relationship Id="rId85" Type="http://schemas.openxmlformats.org/officeDocument/2006/relationships/hyperlink" Target="https://www.x-rates.com/graph/?from=USD&amp;to=ZAR" TargetMode="External"/><Relationship Id="rId12" Type="http://schemas.openxmlformats.org/officeDocument/2006/relationships/hyperlink" Target="https://www.x-rates.com/graph/?from=BND&amp;to=USD" TargetMode="External"/><Relationship Id="rId17" Type="http://schemas.openxmlformats.org/officeDocument/2006/relationships/hyperlink" Target="https://www.x-rates.com/graph/?from=USD&amp;to=CLP" TargetMode="External"/><Relationship Id="rId33" Type="http://schemas.openxmlformats.org/officeDocument/2006/relationships/hyperlink" Target="https://www.x-rates.com/graph/?from=USD&amp;to=HUF" TargetMode="External"/><Relationship Id="rId38" Type="http://schemas.openxmlformats.org/officeDocument/2006/relationships/hyperlink" Target="https://www.x-rates.com/graph/?from=INR&amp;to=USD" TargetMode="External"/><Relationship Id="rId59" Type="http://schemas.openxmlformats.org/officeDocument/2006/relationships/hyperlink" Target="https://www.x-rates.com/graph/?from=USD&amp;to=MXN" TargetMode="External"/><Relationship Id="rId103" Type="http://schemas.openxmlformats.org/officeDocument/2006/relationships/hyperlink" Target="https://www.x-rates.com/graph/?from=USD&amp;to=GBP" TargetMode="External"/><Relationship Id="rId108" Type="http://schemas.openxmlformats.org/officeDocument/2006/relationships/queryTable" Target="../queryTables/queryTable1.xml"/><Relationship Id="rId20" Type="http://schemas.openxmlformats.org/officeDocument/2006/relationships/hyperlink" Target="https://www.x-rates.com/graph/?from=CNY&amp;to=USD" TargetMode="External"/><Relationship Id="rId41" Type="http://schemas.openxmlformats.org/officeDocument/2006/relationships/hyperlink" Target="https://www.x-rates.com/graph/?from=USD&amp;to=IRR" TargetMode="External"/><Relationship Id="rId54" Type="http://schemas.openxmlformats.org/officeDocument/2006/relationships/hyperlink" Target="https://www.x-rates.com/graph/?from=LYD&amp;to=USD" TargetMode="External"/><Relationship Id="rId62" Type="http://schemas.openxmlformats.org/officeDocument/2006/relationships/hyperlink" Target="https://www.x-rates.com/graph/?from=NPR&amp;to=USD" TargetMode="External"/><Relationship Id="rId70" Type="http://schemas.openxmlformats.org/officeDocument/2006/relationships/hyperlink" Target="https://www.x-rates.com/graph/?from=PKR&amp;to=USD" TargetMode="External"/><Relationship Id="rId75" Type="http://schemas.openxmlformats.org/officeDocument/2006/relationships/hyperlink" Target="https://www.x-rates.com/graph/?from=USD&amp;to=QAR" TargetMode="External"/><Relationship Id="rId83" Type="http://schemas.openxmlformats.org/officeDocument/2006/relationships/hyperlink" Target="https://www.x-rates.com/graph/?from=USD&amp;to=SGD" TargetMode="External"/><Relationship Id="rId88" Type="http://schemas.openxmlformats.org/officeDocument/2006/relationships/hyperlink" Target="https://www.x-rates.com/graph/?from=LKR&amp;to=USD" TargetMode="External"/><Relationship Id="rId91" Type="http://schemas.openxmlformats.org/officeDocument/2006/relationships/hyperlink" Target="https://www.x-rates.com/graph/?from=USD&amp;to=CHF" TargetMode="External"/><Relationship Id="rId96" Type="http://schemas.openxmlformats.org/officeDocument/2006/relationships/hyperlink" Target="https://www.x-rates.com/graph/?from=THB&amp;to=USD" TargetMode="External"/><Relationship Id="rId1" Type="http://schemas.openxmlformats.org/officeDocument/2006/relationships/hyperlink" Target="https://www.x-rates.com/graph/?from=USD&amp;to=ARS" TargetMode="External"/><Relationship Id="rId6" Type="http://schemas.openxmlformats.org/officeDocument/2006/relationships/hyperlink" Target="https://www.x-rates.com/graph/?from=BHD&amp;to=USD" TargetMode="External"/><Relationship Id="rId15" Type="http://schemas.openxmlformats.org/officeDocument/2006/relationships/hyperlink" Target="https://www.x-rates.com/graph/?from=USD&amp;to=CAD" TargetMode="External"/><Relationship Id="rId23" Type="http://schemas.openxmlformats.org/officeDocument/2006/relationships/hyperlink" Target="https://www.x-rates.com/graph/?from=USD&amp;to=HRK" TargetMode="External"/><Relationship Id="rId28" Type="http://schemas.openxmlformats.org/officeDocument/2006/relationships/hyperlink" Target="https://www.x-rates.com/graph/?from=DKK&amp;to=USD" TargetMode="External"/><Relationship Id="rId36" Type="http://schemas.openxmlformats.org/officeDocument/2006/relationships/hyperlink" Target="https://www.x-rates.com/graph/?from=ISK&amp;to=USD" TargetMode="External"/><Relationship Id="rId49" Type="http://schemas.openxmlformats.org/officeDocument/2006/relationships/hyperlink" Target="https://www.x-rates.com/graph/?from=USD&amp;to=KRW" TargetMode="External"/><Relationship Id="rId57" Type="http://schemas.openxmlformats.org/officeDocument/2006/relationships/hyperlink" Target="https://www.x-rates.com/graph/?from=USD&amp;to=MUR" TargetMode="External"/><Relationship Id="rId106" Type="http://schemas.openxmlformats.org/officeDocument/2006/relationships/hyperlink" Target="https://www.x-rates.com/graph/?from=VEF&amp;to=USD" TargetMode="External"/><Relationship Id="rId10" Type="http://schemas.openxmlformats.org/officeDocument/2006/relationships/hyperlink" Target="https://www.x-rates.com/graph/?from=BRL&amp;to=USD" TargetMode="External"/><Relationship Id="rId31" Type="http://schemas.openxmlformats.org/officeDocument/2006/relationships/hyperlink" Target="https://www.x-rates.com/graph/?from=USD&amp;to=HKD" TargetMode="External"/><Relationship Id="rId44" Type="http://schemas.openxmlformats.org/officeDocument/2006/relationships/hyperlink" Target="https://www.x-rates.com/graph/?from=ILS&amp;to=USD" TargetMode="External"/><Relationship Id="rId52" Type="http://schemas.openxmlformats.org/officeDocument/2006/relationships/hyperlink" Target="https://www.x-rates.com/graph/?from=KWD&amp;to=USD" TargetMode="External"/><Relationship Id="rId60" Type="http://schemas.openxmlformats.org/officeDocument/2006/relationships/hyperlink" Target="https://www.x-rates.com/graph/?from=MXN&amp;to=USD" TargetMode="External"/><Relationship Id="rId65" Type="http://schemas.openxmlformats.org/officeDocument/2006/relationships/hyperlink" Target="https://www.x-rates.com/graph/?from=USD&amp;to=NOK" TargetMode="External"/><Relationship Id="rId73" Type="http://schemas.openxmlformats.org/officeDocument/2006/relationships/hyperlink" Target="https://www.x-rates.com/graph/?from=USD&amp;to=PLN" TargetMode="External"/><Relationship Id="rId78" Type="http://schemas.openxmlformats.org/officeDocument/2006/relationships/hyperlink" Target="https://www.x-rates.com/graph/?from=RON&amp;to=USD" TargetMode="External"/><Relationship Id="rId81" Type="http://schemas.openxmlformats.org/officeDocument/2006/relationships/hyperlink" Target="https://www.x-rates.com/graph/?from=USD&amp;to=SAR" TargetMode="External"/><Relationship Id="rId86" Type="http://schemas.openxmlformats.org/officeDocument/2006/relationships/hyperlink" Target="https://www.x-rates.com/graph/?from=ZAR&amp;to=USD" TargetMode="External"/><Relationship Id="rId94" Type="http://schemas.openxmlformats.org/officeDocument/2006/relationships/hyperlink" Target="https://www.x-rates.com/graph/?from=TWD&amp;to=USD" TargetMode="External"/><Relationship Id="rId99" Type="http://schemas.openxmlformats.org/officeDocument/2006/relationships/hyperlink" Target="https://www.x-rates.com/graph/?from=USD&amp;to=TRY" TargetMode="External"/><Relationship Id="rId101" Type="http://schemas.openxmlformats.org/officeDocument/2006/relationships/hyperlink" Target="https://www.x-rates.com/graph/?from=USD&amp;to=AED" TargetMode="External"/><Relationship Id="rId4" Type="http://schemas.openxmlformats.org/officeDocument/2006/relationships/hyperlink" Target="https://www.x-rates.com/graph/?from=AUD&amp;to=USD" TargetMode="External"/><Relationship Id="rId9" Type="http://schemas.openxmlformats.org/officeDocument/2006/relationships/hyperlink" Target="https://www.x-rates.com/graph/?from=USD&amp;to=BRL" TargetMode="External"/><Relationship Id="rId13" Type="http://schemas.openxmlformats.org/officeDocument/2006/relationships/hyperlink" Target="https://www.x-rates.com/graph/?from=USD&amp;to=BGN" TargetMode="External"/><Relationship Id="rId18" Type="http://schemas.openxmlformats.org/officeDocument/2006/relationships/hyperlink" Target="https://www.x-rates.com/graph/?from=CLP&amp;to=USD" TargetMode="External"/><Relationship Id="rId39" Type="http://schemas.openxmlformats.org/officeDocument/2006/relationships/hyperlink" Target="https://www.x-rates.com/graph/?from=USD&amp;to=IDR" TargetMode="External"/><Relationship Id="rId34" Type="http://schemas.openxmlformats.org/officeDocument/2006/relationships/hyperlink" Target="https://www.x-rates.com/graph/?from=HUF&amp;to=USD" TargetMode="External"/><Relationship Id="rId50" Type="http://schemas.openxmlformats.org/officeDocument/2006/relationships/hyperlink" Target="https://www.x-rates.com/graph/?from=KRW&amp;to=USD" TargetMode="External"/><Relationship Id="rId55" Type="http://schemas.openxmlformats.org/officeDocument/2006/relationships/hyperlink" Target="https://www.x-rates.com/graph/?from=USD&amp;to=MYR" TargetMode="External"/><Relationship Id="rId76" Type="http://schemas.openxmlformats.org/officeDocument/2006/relationships/hyperlink" Target="https://www.x-rates.com/graph/?from=QAR&amp;to=USD" TargetMode="External"/><Relationship Id="rId97" Type="http://schemas.openxmlformats.org/officeDocument/2006/relationships/hyperlink" Target="https://www.x-rates.com/graph/?from=USD&amp;to=TTD" TargetMode="External"/><Relationship Id="rId104" Type="http://schemas.openxmlformats.org/officeDocument/2006/relationships/hyperlink" Target="https://www.x-rates.com/graph/?from=GBP&amp;to=USD" TargetMode="External"/><Relationship Id="rId7" Type="http://schemas.openxmlformats.org/officeDocument/2006/relationships/hyperlink" Target="https://www.x-rates.com/graph/?from=USD&amp;to=BWP" TargetMode="External"/><Relationship Id="rId71" Type="http://schemas.openxmlformats.org/officeDocument/2006/relationships/hyperlink" Target="https://www.x-rates.com/graph/?from=USD&amp;to=PHP" TargetMode="External"/><Relationship Id="rId92" Type="http://schemas.openxmlformats.org/officeDocument/2006/relationships/hyperlink" Target="https://www.x-rates.com/graph/?from=CHF&amp;to=USD" TargetMode="External"/><Relationship Id="rId2" Type="http://schemas.openxmlformats.org/officeDocument/2006/relationships/hyperlink" Target="https://www.x-rates.com/graph/?from=ARS&amp;to=USD" TargetMode="External"/><Relationship Id="rId29" Type="http://schemas.openxmlformats.org/officeDocument/2006/relationships/hyperlink" Target="https://www.x-rates.com/graph/?from=USD&amp;to=EUR" TargetMode="External"/><Relationship Id="rId24" Type="http://schemas.openxmlformats.org/officeDocument/2006/relationships/hyperlink" Target="https://www.x-rates.com/graph/?from=HRK&amp;to=USD" TargetMode="External"/><Relationship Id="rId40" Type="http://schemas.openxmlformats.org/officeDocument/2006/relationships/hyperlink" Target="https://www.x-rates.com/graph/?from=IDR&amp;to=USD" TargetMode="External"/><Relationship Id="rId45" Type="http://schemas.openxmlformats.org/officeDocument/2006/relationships/hyperlink" Target="https://www.x-rates.com/graph/?from=USD&amp;to=JPY" TargetMode="External"/><Relationship Id="rId66" Type="http://schemas.openxmlformats.org/officeDocument/2006/relationships/hyperlink" Target="https://www.x-rates.com/graph/?from=NOK&amp;to=USD" TargetMode="External"/><Relationship Id="rId87" Type="http://schemas.openxmlformats.org/officeDocument/2006/relationships/hyperlink" Target="https://www.x-rates.com/graph/?from=USD&amp;to=LKR" TargetMode="External"/><Relationship Id="rId61" Type="http://schemas.openxmlformats.org/officeDocument/2006/relationships/hyperlink" Target="https://www.x-rates.com/graph/?from=USD&amp;to=NPR" TargetMode="External"/><Relationship Id="rId82" Type="http://schemas.openxmlformats.org/officeDocument/2006/relationships/hyperlink" Target="https://www.x-rates.com/graph/?from=SAR&amp;to=USD" TargetMode="External"/><Relationship Id="rId19" Type="http://schemas.openxmlformats.org/officeDocument/2006/relationships/hyperlink" Target="https://www.x-rates.com/graph/?from=USD&amp;to=CNY" TargetMode="External"/><Relationship Id="rId14" Type="http://schemas.openxmlformats.org/officeDocument/2006/relationships/hyperlink" Target="https://www.x-rates.com/graph/?from=BGN&amp;to=USD" TargetMode="External"/><Relationship Id="rId30" Type="http://schemas.openxmlformats.org/officeDocument/2006/relationships/hyperlink" Target="https://www.x-rates.com/graph/?from=EUR&amp;to=USD" TargetMode="External"/><Relationship Id="rId35" Type="http://schemas.openxmlformats.org/officeDocument/2006/relationships/hyperlink" Target="https://www.x-rates.com/graph/?from=USD&amp;to=ISK" TargetMode="External"/><Relationship Id="rId56" Type="http://schemas.openxmlformats.org/officeDocument/2006/relationships/hyperlink" Target="https://www.x-rates.com/graph/?from=MYR&amp;to=USD" TargetMode="External"/><Relationship Id="rId77" Type="http://schemas.openxmlformats.org/officeDocument/2006/relationships/hyperlink" Target="https://www.x-rates.com/graph/?from=USD&amp;to=RON" TargetMode="External"/><Relationship Id="rId100" Type="http://schemas.openxmlformats.org/officeDocument/2006/relationships/hyperlink" Target="https://www.x-rates.com/graph/?from=TRY&amp;to=USD" TargetMode="External"/><Relationship Id="rId105" Type="http://schemas.openxmlformats.org/officeDocument/2006/relationships/hyperlink" Target="https://www.x-rates.com/graph/?from=USD&amp;to=VEF" TargetMode="External"/><Relationship Id="rId8" Type="http://schemas.openxmlformats.org/officeDocument/2006/relationships/hyperlink" Target="https://www.x-rates.com/graph/?from=BWP&amp;to=USD" TargetMode="External"/><Relationship Id="rId51" Type="http://schemas.openxmlformats.org/officeDocument/2006/relationships/hyperlink" Target="https://www.x-rates.com/graph/?from=USD&amp;to=KWD" TargetMode="External"/><Relationship Id="rId72" Type="http://schemas.openxmlformats.org/officeDocument/2006/relationships/hyperlink" Target="https://www.x-rates.com/graph/?from=PHP&amp;to=USD" TargetMode="External"/><Relationship Id="rId93" Type="http://schemas.openxmlformats.org/officeDocument/2006/relationships/hyperlink" Target="https://www.x-rates.com/graph/?from=USD&amp;to=TWD" TargetMode="External"/><Relationship Id="rId98" Type="http://schemas.openxmlformats.org/officeDocument/2006/relationships/hyperlink" Target="https://www.x-rates.com/graph/?from=TTD&amp;to=USD" TargetMode="External"/><Relationship Id="rId3" Type="http://schemas.openxmlformats.org/officeDocument/2006/relationships/hyperlink" Target="https://www.x-rates.com/graph/?from=USD&amp;to=AUD" TargetMode="External"/><Relationship Id="rId25" Type="http://schemas.openxmlformats.org/officeDocument/2006/relationships/hyperlink" Target="https://www.x-rates.com/graph/?from=USD&amp;to=CZK" TargetMode="External"/><Relationship Id="rId46" Type="http://schemas.openxmlformats.org/officeDocument/2006/relationships/hyperlink" Target="https://www.x-rates.com/graph/?from=JPY&amp;to=USD" TargetMode="External"/><Relationship Id="rId67" Type="http://schemas.openxmlformats.org/officeDocument/2006/relationships/hyperlink" Target="https://www.x-rates.com/graph/?from=USD&amp;to=OM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39F61-84AA-4685-96E1-21426B2315B8}">
  <sheetPr codeName="Planilha6">
    <tabColor rgb="FF002060"/>
  </sheetPr>
  <dimension ref="A1:L23"/>
  <sheetViews>
    <sheetView showRowColHeaders="0" workbookViewId="0">
      <selection sqref="A1:L23"/>
    </sheetView>
  </sheetViews>
  <sheetFormatPr defaultColWidth="0" defaultRowHeight="15" zeroHeight="1" x14ac:dyDescent="0.25"/>
  <cols>
    <col min="1" max="12" width="9.140625" customWidth="1"/>
    <col min="13" max="16384" width="9.140625" hidden="1"/>
  </cols>
  <sheetData>
    <row r="1" spans="1:12" x14ac:dyDescent="0.25">
      <c r="A1" s="74" t="s">
        <v>104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1:12" x14ac:dyDescent="0.25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</row>
    <row r="3" spans="1:12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</row>
    <row r="4" spans="1:12" x14ac:dyDescent="0.25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</row>
    <row r="5" spans="1:12" x14ac:dyDescent="0.2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</row>
    <row r="6" spans="1:12" x14ac:dyDescent="0.25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</row>
    <row r="7" spans="1:12" x14ac:dyDescent="0.25">
      <c r="A7" s="74"/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</row>
    <row r="8" spans="1:12" x14ac:dyDescent="0.25">
      <c r="A8" s="74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</row>
    <row r="9" spans="1:12" x14ac:dyDescent="0.25">
      <c r="A9" s="74"/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</row>
    <row r="10" spans="1:12" x14ac:dyDescent="0.2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</row>
    <row r="11" spans="1:12" x14ac:dyDescent="0.25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</row>
    <row r="12" spans="1:12" x14ac:dyDescent="0.25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</row>
    <row r="13" spans="1:12" x14ac:dyDescent="0.25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</row>
    <row r="14" spans="1:12" x14ac:dyDescent="0.25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</row>
    <row r="15" spans="1:12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</row>
    <row r="16" spans="1:12" x14ac:dyDescent="0.25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</row>
    <row r="17" spans="1:12" x14ac:dyDescent="0.25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</row>
    <row r="18" spans="1:12" x14ac:dyDescent="0.25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</row>
    <row r="19" spans="1:12" x14ac:dyDescent="0.25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</row>
    <row r="20" spans="1:12" x14ac:dyDescent="0.25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</row>
    <row r="21" spans="1:12" x14ac:dyDescent="0.25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</row>
    <row r="22" spans="1:12" x14ac:dyDescent="0.25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</row>
    <row r="23" spans="1:12" x14ac:dyDescent="0.25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</row>
  </sheetData>
  <sheetProtection algorithmName="SHA-512" hashValue="FePMybDVHEsKtOO/APM+KVxijRTuQbfv+1Exb/NdZEcW89l5z60mG8OmMMFSt8XQgSGLmCioWCOw3umwNxaywg==" saltValue="WR+C5UVAVYSp+YuuHztPow==" spinCount="100000" sheet="1" objects="1" scenarios="1" selectLockedCells="1"/>
  <mergeCells count="1">
    <mergeCell ref="A1:L23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A72B1-A074-4AEF-85E7-A5AC6532C546}">
  <sheetPr codeName="Planilha8">
    <tabColor rgb="FFFFC000"/>
  </sheetPr>
  <dimension ref="A1:AC42"/>
  <sheetViews>
    <sheetView showGridLines="0" showRowColHeaders="0" tabSelected="1" zoomScale="85" zoomScaleNormal="85" workbookViewId="0">
      <selection activeCell="E9" sqref="E9:F9"/>
    </sheetView>
  </sheetViews>
  <sheetFormatPr defaultColWidth="0" defaultRowHeight="15" customHeight="1" zeroHeight="1" x14ac:dyDescent="0.25"/>
  <cols>
    <col min="1" max="1" width="3.7109375" style="4" customWidth="1"/>
    <col min="2" max="2" width="4.5703125" style="4" customWidth="1"/>
    <col min="3" max="3" width="12.7109375" style="4" customWidth="1"/>
    <col min="4" max="4" width="12.140625" style="4" customWidth="1"/>
    <col min="5" max="5" width="15.7109375" style="4" customWidth="1"/>
    <col min="6" max="6" width="30.7109375" style="25" customWidth="1"/>
    <col min="7" max="9" width="0.5703125" style="4" customWidth="1"/>
    <col min="10" max="10" width="4.5703125" style="4" customWidth="1"/>
    <col min="11" max="12" width="15.7109375" style="4" customWidth="1"/>
    <col min="13" max="13" width="1.7109375" style="4" customWidth="1"/>
    <col min="14" max="14" width="15.7109375" style="4" customWidth="1"/>
    <col min="15" max="15" width="9.5703125" style="4" bestFit="1" customWidth="1"/>
    <col min="16" max="20" width="9.140625" style="4" customWidth="1"/>
    <col min="21" max="21" width="12.140625" style="4" customWidth="1"/>
    <col min="22" max="22" width="12.85546875" style="4" customWidth="1"/>
    <col min="23" max="23" width="18" style="4" customWidth="1"/>
    <col min="24" max="24" width="13.85546875" style="4" customWidth="1"/>
    <col min="25" max="25" width="15.140625" style="4" customWidth="1"/>
    <col min="26" max="26" width="9.7109375" style="4" bestFit="1" customWidth="1"/>
    <col min="27" max="28" width="2.28515625" style="4" customWidth="1"/>
    <col min="29" max="16384" width="9.140625" style="4" hidden="1"/>
  </cols>
  <sheetData>
    <row r="1" spans="1:29" x14ac:dyDescent="0.25">
      <c r="A1" s="41"/>
      <c r="B1" s="41"/>
      <c r="C1" s="41"/>
      <c r="D1" s="41"/>
      <c r="E1" s="41"/>
      <c r="F1" s="42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3"/>
      <c r="AB1" s="41"/>
      <c r="AC1" s="10">
        <v>0.01</v>
      </c>
    </row>
    <row r="2" spans="1:29" x14ac:dyDescent="0.25">
      <c r="A2" s="41"/>
      <c r="B2" s="41"/>
      <c r="C2" s="44" t="s">
        <v>103</v>
      </c>
      <c r="D2" s="79">
        <f ca="1">TODAY()</f>
        <v>44422</v>
      </c>
      <c r="E2" s="80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59" t="s">
        <v>110</v>
      </c>
      <c r="Z2" s="41"/>
      <c r="AA2" s="43"/>
      <c r="AB2" s="41"/>
      <c r="AC2" s="10"/>
    </row>
    <row r="3" spans="1:29" x14ac:dyDescent="0.25">
      <c r="A3" s="41"/>
      <c r="B3" s="41"/>
      <c r="C3" s="41"/>
      <c r="D3" s="41"/>
      <c r="E3" s="41"/>
      <c r="F3" s="42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3"/>
      <c r="AB3" s="41"/>
      <c r="AC3" s="10"/>
    </row>
    <row r="4" spans="1:29" x14ac:dyDescent="0.25">
      <c r="A4" s="41"/>
      <c r="B4" s="41"/>
      <c r="C4" s="41"/>
      <c r="D4" s="41"/>
      <c r="E4" s="41"/>
      <c r="F4" s="42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3"/>
      <c r="AB4" s="41"/>
      <c r="AC4" s="10">
        <v>0.02</v>
      </c>
    </row>
    <row r="5" spans="1:29" x14ac:dyDescent="0.25">
      <c r="A5" s="41"/>
      <c r="B5" s="41"/>
      <c r="C5" s="41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3"/>
      <c r="AB5" s="41"/>
      <c r="AC5" s="10">
        <v>0.03</v>
      </c>
    </row>
    <row r="6" spans="1:29" x14ac:dyDescent="0.25">
      <c r="A6" s="41"/>
      <c r="B6" s="41"/>
      <c r="C6" s="41"/>
      <c r="D6" s="41"/>
      <c r="E6" s="41"/>
      <c r="F6" s="42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3"/>
      <c r="AB6" s="41"/>
      <c r="AC6" s="11" t="s">
        <v>26</v>
      </c>
    </row>
    <row r="7" spans="1:29" x14ac:dyDescent="0.25">
      <c r="A7" s="41"/>
      <c r="B7" s="41"/>
      <c r="C7" s="41"/>
      <c r="D7" s="41"/>
      <c r="E7" s="41"/>
      <c r="F7" s="42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3"/>
      <c r="AB7" s="41"/>
      <c r="AC7" s="11" t="s">
        <v>27</v>
      </c>
    </row>
    <row r="8" spans="1:29" ht="15.75" thickBot="1" x14ac:dyDescent="0.3">
      <c r="A8" s="41"/>
      <c r="B8" s="41"/>
      <c r="C8" s="41"/>
      <c r="D8" s="41"/>
      <c r="E8" s="41"/>
      <c r="F8" s="42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3"/>
      <c r="AB8" s="41"/>
      <c r="AC8" s="11" t="s">
        <v>28</v>
      </c>
    </row>
    <row r="9" spans="1:29" ht="19.5" thickBot="1" x14ac:dyDescent="0.3">
      <c r="A9" s="41"/>
      <c r="B9" s="81" t="s">
        <v>38</v>
      </c>
      <c r="C9" s="82"/>
      <c r="D9" s="83"/>
      <c r="E9" s="84" t="s">
        <v>26</v>
      </c>
      <c r="F9" s="85"/>
      <c r="G9" s="57"/>
      <c r="H9" s="57"/>
      <c r="I9" s="57"/>
      <c r="J9" s="81" t="s">
        <v>107</v>
      </c>
      <c r="K9" s="82"/>
      <c r="L9" s="88"/>
      <c r="M9" s="55"/>
      <c r="N9" s="5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3"/>
      <c r="AB9" s="41"/>
      <c r="AC9" s="11" t="s">
        <v>29</v>
      </c>
    </row>
    <row r="10" spans="1:29" ht="16.5" thickBot="1" x14ac:dyDescent="0.3">
      <c r="A10" s="41"/>
      <c r="B10" s="60" t="s">
        <v>0</v>
      </c>
      <c r="C10" s="61" t="s">
        <v>1</v>
      </c>
      <c r="D10" s="61" t="s">
        <v>3</v>
      </c>
      <c r="E10" s="61" t="s">
        <v>2</v>
      </c>
      <c r="F10" s="62" t="s">
        <v>105</v>
      </c>
      <c r="G10" s="57"/>
      <c r="H10" s="57"/>
      <c r="I10" s="57"/>
      <c r="J10" s="63" t="s">
        <v>0</v>
      </c>
      <c r="K10" s="64" t="s">
        <v>108</v>
      </c>
      <c r="L10" s="65" t="s">
        <v>109</v>
      </c>
      <c r="M10" s="40"/>
      <c r="N10" s="86" t="s">
        <v>5</v>
      </c>
      <c r="O10" s="87"/>
      <c r="P10" s="87" t="s">
        <v>4</v>
      </c>
      <c r="Q10" s="87"/>
      <c r="R10" s="87" t="s">
        <v>6</v>
      </c>
      <c r="S10" s="87"/>
      <c r="T10" s="53" t="s">
        <v>24</v>
      </c>
      <c r="U10" s="53" t="s">
        <v>23</v>
      </c>
      <c r="V10" s="75" t="s">
        <v>21</v>
      </c>
      <c r="W10" s="75"/>
      <c r="X10" s="53" t="s">
        <v>7</v>
      </c>
      <c r="Y10" s="53" t="s">
        <v>102</v>
      </c>
      <c r="Z10" s="5" t="s">
        <v>25</v>
      </c>
      <c r="AA10" s="43"/>
      <c r="AB10" s="41"/>
      <c r="AC10" s="11" t="s">
        <v>30</v>
      </c>
    </row>
    <row r="11" spans="1:29" ht="16.5" thickBot="1" x14ac:dyDescent="0.3">
      <c r="A11" s="41"/>
      <c r="B11" s="21">
        <v>1</v>
      </c>
      <c r="C11" s="22"/>
      <c r="D11" s="23">
        <f>N11+C11</f>
        <v>0</v>
      </c>
      <c r="E11" s="24" t="str">
        <f>IF(ISBLANK($C11),"Em Branco/Folga",IF($C11&gt;=$G11,"Atingiu",IF($C11&lt;0,"Prejuizo",IF($C11&lt;$G11,"Não Atingiu"))))</f>
        <v>Em Branco/Folga</v>
      </c>
      <c r="F11" s="26" t="str">
        <f t="shared" ref="F11:F15" si="0">IF(ISBLANK($C11),"Em Branco",IF($I11&gt;$C11,"Está Arriscando Sua Banca",IF($C11&lt;=$H11,"Parabéns Seguiu Gerenciamento","Está Se Arriscando Acima De 3%")))</f>
        <v>Em Branco</v>
      </c>
      <c r="G11" s="58">
        <f>(($Z$11)*($N$11+SUM($K$11:K11)+SUM($L$11:L11)))</f>
        <v>0</v>
      </c>
      <c r="H11" s="58">
        <f>((0.01)*($N$11+SUM($K$11:K11)+SUM($L$11:L11))*3)</f>
        <v>0</v>
      </c>
      <c r="I11" s="58">
        <f t="shared" ref="I11:I41" si="1">-$H11</f>
        <v>0</v>
      </c>
      <c r="J11" s="21">
        <v>1</v>
      </c>
      <c r="K11" s="66"/>
      <c r="L11" s="36"/>
      <c r="M11" s="56"/>
      <c r="N11" s="76">
        <f>0</f>
        <v>0</v>
      </c>
      <c r="O11" s="77"/>
      <c r="P11" s="78">
        <f>Z11*R11</f>
        <v>0</v>
      </c>
      <c r="Q11" s="78"/>
      <c r="R11" s="78">
        <f>(SUM(N11+SUM(C11:C41)))+(SUM(K11:K41))+(SUM(L11:L41))</f>
        <v>0</v>
      </c>
      <c r="S11" s="78"/>
      <c r="T11" s="52">
        <f>P11*0.2</f>
        <v>0</v>
      </c>
      <c r="U11" s="46">
        <f>R11*0.03</f>
        <v>0</v>
      </c>
      <c r="V11" s="47">
        <f>(R11)-(N11)-(SUM(K11:K41))-(SUM(L11:L41))</f>
        <v>0</v>
      </c>
      <c r="W11" s="48">
        <f>V11*Y11</f>
        <v>0</v>
      </c>
      <c r="X11" s="49" t="e">
        <f>(($R$11-$N$11)/$N$11)</f>
        <v>#DIV/0!</v>
      </c>
      <c r="Y11" s="18">
        <f>COTAÇÃO!B6/1000000</f>
        <v>5.2</v>
      </c>
      <c r="Z11" s="73">
        <v>0.01</v>
      </c>
      <c r="AA11" s="43"/>
      <c r="AB11" s="41"/>
      <c r="AC11" s="11" t="s">
        <v>31</v>
      </c>
    </row>
    <row r="12" spans="1:29" ht="15" customHeight="1" thickTop="1" thickBot="1" x14ac:dyDescent="0.3">
      <c r="A12" s="41"/>
      <c r="B12" s="7">
        <v>2</v>
      </c>
      <c r="C12" s="2"/>
      <c r="D12" s="6">
        <f>D11+C12</f>
        <v>0</v>
      </c>
      <c r="E12" s="19" t="str">
        <f>IF(ISBLANK($C12),"Em Branco/Folga",IF($C12&gt;=$G12,"Atingiu",IF($C12&lt;0,"Prejuizo",IF($C12&lt;$G12,"Não Atingiu"))))</f>
        <v>Em Branco/Folga</v>
      </c>
      <c r="F12" s="26" t="str">
        <f t="shared" si="0"/>
        <v>Em Branco</v>
      </c>
      <c r="G12" s="58">
        <f>(($Z$11)*($N$11+SUM($C$11:C11)+SUM($K$11:K12)+SUM($L$11:L12)))</f>
        <v>0</v>
      </c>
      <c r="H12" s="58">
        <f>((0.01)*($N$11+SUM($C$11:C11)+SUM($K$11:K12)+SUM($L$11:L12))*3)</f>
        <v>0</v>
      </c>
      <c r="I12" s="58">
        <f t="shared" si="1"/>
        <v>0</v>
      </c>
      <c r="J12" s="7">
        <v>2</v>
      </c>
      <c r="K12" s="67"/>
      <c r="L12" s="37"/>
      <c r="M12" s="56"/>
      <c r="N12" s="50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3"/>
      <c r="AB12" s="41"/>
      <c r="AC12" s="11" t="s">
        <v>32</v>
      </c>
    </row>
    <row r="13" spans="1:29" ht="15" customHeight="1" thickTop="1" thickBot="1" x14ac:dyDescent="0.3">
      <c r="A13" s="41"/>
      <c r="B13" s="7">
        <v>3</v>
      </c>
      <c r="C13" s="1"/>
      <c r="D13" s="6">
        <f>D12+C13</f>
        <v>0</v>
      </c>
      <c r="E13" s="19" t="str">
        <f t="shared" ref="E13:E41" si="2">IF(ISBLANK($C13),"Em Branco/Folga",IF($C13&gt;=$G13,"Atingiu",IF($C13&lt;0,"Prejuizo",IF($C13&lt;$G13,"Não Atingiu"))))</f>
        <v>Em Branco/Folga</v>
      </c>
      <c r="F13" s="26" t="str">
        <f t="shared" si="0"/>
        <v>Em Branco</v>
      </c>
      <c r="G13" s="58">
        <f>(($Z$11)*($N$11+SUM($C$11:C12)+SUM($K$11:K13)+SUM($L$11:L13)))</f>
        <v>0</v>
      </c>
      <c r="H13" s="58">
        <f>((0.01)*($N$11+SUM($C$11:C12)+SUM($K$11:K13)+SUM($L$11:L13))*3)</f>
        <v>0</v>
      </c>
      <c r="I13" s="58">
        <f t="shared" si="1"/>
        <v>0</v>
      </c>
      <c r="J13" s="7">
        <v>3</v>
      </c>
      <c r="K13" s="68"/>
      <c r="L13" s="38"/>
      <c r="M13" s="56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3"/>
      <c r="AB13" s="41"/>
      <c r="AC13" s="11" t="s">
        <v>33</v>
      </c>
    </row>
    <row r="14" spans="1:29" ht="15" customHeight="1" thickTop="1" thickBot="1" x14ac:dyDescent="0.3">
      <c r="A14" s="41"/>
      <c r="B14" s="7">
        <v>4</v>
      </c>
      <c r="C14" s="2"/>
      <c r="D14" s="6">
        <f>D13+C14</f>
        <v>0</v>
      </c>
      <c r="E14" s="19" t="str">
        <f t="shared" si="2"/>
        <v>Em Branco/Folga</v>
      </c>
      <c r="F14" s="26" t="str">
        <f t="shared" si="0"/>
        <v>Em Branco</v>
      </c>
      <c r="G14" s="58">
        <f>(($Z$11)*($N$11+SUM($C$11:C13)+SUM($K$11:K14)+SUM($L$11:L14)))</f>
        <v>0</v>
      </c>
      <c r="H14" s="58">
        <f>((0.01)*($N$11+SUM($C$11:C13)+SUM($K$11:K14)+SUM($L$11:L14))*3)</f>
        <v>0</v>
      </c>
      <c r="I14" s="58">
        <f t="shared" si="1"/>
        <v>0</v>
      </c>
      <c r="J14" s="7">
        <v>4</v>
      </c>
      <c r="K14" s="67"/>
      <c r="L14" s="37"/>
      <c r="M14" s="56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3"/>
      <c r="AB14" s="41"/>
      <c r="AC14" s="11" t="s">
        <v>34</v>
      </c>
    </row>
    <row r="15" spans="1:29" ht="15" customHeight="1" thickTop="1" thickBot="1" x14ac:dyDescent="0.3">
      <c r="A15" s="41"/>
      <c r="B15" s="7">
        <v>5</v>
      </c>
      <c r="C15" s="1"/>
      <c r="D15" s="6">
        <f>D14+C15</f>
        <v>0</v>
      </c>
      <c r="E15" s="19" t="str">
        <f t="shared" si="2"/>
        <v>Em Branco/Folga</v>
      </c>
      <c r="F15" s="26" t="str">
        <f t="shared" si="0"/>
        <v>Em Branco</v>
      </c>
      <c r="G15" s="58">
        <f>(($Z$11)*($N$11+SUM($C$11:C14)+SUM($K$11:K15)+SUM($L$11:L15)))</f>
        <v>0</v>
      </c>
      <c r="H15" s="58">
        <f>((0.01)*($N$11+SUM($C$11:C14)+SUM($K$11:K15)+SUM($L$11:L15))*3)</f>
        <v>0</v>
      </c>
      <c r="I15" s="58">
        <f t="shared" si="1"/>
        <v>0</v>
      </c>
      <c r="J15" s="7">
        <v>5</v>
      </c>
      <c r="K15" s="68"/>
      <c r="L15" s="38"/>
      <c r="M15" s="56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3"/>
      <c r="AB15" s="41"/>
      <c r="AC15" s="11" t="s">
        <v>35</v>
      </c>
    </row>
    <row r="16" spans="1:29" ht="15" customHeight="1" thickTop="1" thickBot="1" x14ac:dyDescent="0.3">
      <c r="A16" s="41"/>
      <c r="B16" s="7">
        <v>6</v>
      </c>
      <c r="C16" s="2"/>
      <c r="D16" s="6">
        <f>D15+C16</f>
        <v>0</v>
      </c>
      <c r="E16" s="19" t="str">
        <f t="shared" si="2"/>
        <v>Em Branco/Folga</v>
      </c>
      <c r="F16" s="26" t="str">
        <f>IF(ISBLANK($C16),"Em Branco",IF($I16&gt;$C16,"Está Arriscando Sua Banca",IF($C16&lt;=$H16,"Parabéns Seguiu Gerenciamento","Está Se Arriscando Acima De 3%")))</f>
        <v>Em Branco</v>
      </c>
      <c r="G16" s="58">
        <f>(($Z$11)*($N$11+SUM($C$11:C15)+SUM($K$11:K16)+SUM($L$11:L16)))</f>
        <v>0</v>
      </c>
      <c r="H16" s="58">
        <f>((0.01)*($N$11+SUM($C$11:C15)+SUM($K$11:K16)+SUM($L$11:L16))*3)</f>
        <v>0</v>
      </c>
      <c r="I16" s="58">
        <f t="shared" si="1"/>
        <v>0</v>
      </c>
      <c r="J16" s="7">
        <v>6</v>
      </c>
      <c r="K16" s="67"/>
      <c r="L16" s="37"/>
      <c r="M16" s="56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3"/>
      <c r="AB16" s="41"/>
      <c r="AC16" s="11" t="s">
        <v>36</v>
      </c>
    </row>
    <row r="17" spans="1:29" ht="15" customHeight="1" thickTop="1" thickBot="1" x14ac:dyDescent="0.3">
      <c r="A17" s="41"/>
      <c r="B17" s="7">
        <v>7</v>
      </c>
      <c r="C17" s="1"/>
      <c r="D17" s="6">
        <f t="shared" ref="D17:D41" si="3">D16+C17</f>
        <v>0</v>
      </c>
      <c r="E17" s="19" t="str">
        <f t="shared" si="2"/>
        <v>Em Branco/Folga</v>
      </c>
      <c r="F17" s="26" t="str">
        <f t="shared" ref="F17:F41" si="4">IF(ISBLANK($C17),"Em Branco",IF(I17&gt;C17,"Está Arriscando Sua Banca",IF($C17&lt;=$H17,"Parabéns Seguiu Gerenciamento","Está Se Arriscando Acima De 3%")))</f>
        <v>Em Branco</v>
      </c>
      <c r="G17" s="58">
        <f>(($Z$11)*($N$11+SUM($C$11:C16)+SUM($K$11:K17)+SUM($L$11:L17)))</f>
        <v>0</v>
      </c>
      <c r="H17" s="58">
        <f>((0.01)*($N$11+SUM($C$11:C16)+SUM($K$11:K17)+SUM($L$11:L17))*3)</f>
        <v>0</v>
      </c>
      <c r="I17" s="58">
        <f t="shared" si="1"/>
        <v>0</v>
      </c>
      <c r="J17" s="7">
        <v>7</v>
      </c>
      <c r="K17" s="68"/>
      <c r="L17" s="38"/>
      <c r="M17" s="56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3"/>
      <c r="AB17" s="41"/>
      <c r="AC17" s="11" t="s">
        <v>37</v>
      </c>
    </row>
    <row r="18" spans="1:29" ht="15" customHeight="1" thickTop="1" thickBot="1" x14ac:dyDescent="0.3">
      <c r="A18" s="41"/>
      <c r="B18" s="7">
        <v>8</v>
      </c>
      <c r="C18" s="2"/>
      <c r="D18" s="6">
        <f t="shared" si="3"/>
        <v>0</v>
      </c>
      <c r="E18" s="19" t="str">
        <f t="shared" si="2"/>
        <v>Em Branco/Folga</v>
      </c>
      <c r="F18" s="26" t="str">
        <f t="shared" si="4"/>
        <v>Em Branco</v>
      </c>
      <c r="G18" s="58">
        <f>(($Z$11)*($N$11+SUM($C$11:C17)+SUM($K$11:K18)+SUM($L$11:L18)))</f>
        <v>0</v>
      </c>
      <c r="H18" s="58">
        <f>((0.01)*($N$11+SUM($C$11:C17)+SUM($K$11:K18)+SUM($L$11:L18))*3)</f>
        <v>0</v>
      </c>
      <c r="I18" s="58">
        <f t="shared" si="1"/>
        <v>0</v>
      </c>
      <c r="J18" s="7">
        <v>8</v>
      </c>
      <c r="K18" s="67"/>
      <c r="L18" s="37"/>
      <c r="M18" s="56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3"/>
      <c r="AB18" s="41"/>
      <c r="AC18" s="12"/>
    </row>
    <row r="19" spans="1:29" ht="15" customHeight="1" thickTop="1" thickBot="1" x14ac:dyDescent="0.3">
      <c r="A19" s="41"/>
      <c r="B19" s="7">
        <v>9</v>
      </c>
      <c r="C19" s="1"/>
      <c r="D19" s="6">
        <f t="shared" si="3"/>
        <v>0</v>
      </c>
      <c r="E19" s="19" t="str">
        <f t="shared" si="2"/>
        <v>Em Branco/Folga</v>
      </c>
      <c r="F19" s="26" t="str">
        <f t="shared" si="4"/>
        <v>Em Branco</v>
      </c>
      <c r="G19" s="58">
        <f>(($Z$11)*($N$11+SUM($C$11:C18)+SUM($K$11:K19)+SUM($L$11:L19)))</f>
        <v>0</v>
      </c>
      <c r="H19" s="58">
        <f>((0.01)*($N$11+SUM($C$11:C18)+SUM($K$11:K19)+SUM($L$11:L19))*3)</f>
        <v>0</v>
      </c>
      <c r="I19" s="58">
        <f t="shared" si="1"/>
        <v>0</v>
      </c>
      <c r="J19" s="7">
        <v>9</v>
      </c>
      <c r="K19" s="68"/>
      <c r="L19" s="38"/>
      <c r="M19" s="56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3"/>
      <c r="AB19" s="41"/>
      <c r="AC19" s="12"/>
    </row>
    <row r="20" spans="1:29" ht="15" customHeight="1" thickTop="1" thickBot="1" x14ac:dyDescent="0.3">
      <c r="A20" s="41"/>
      <c r="B20" s="7">
        <v>10</v>
      </c>
      <c r="C20" s="2"/>
      <c r="D20" s="6">
        <f t="shared" si="3"/>
        <v>0</v>
      </c>
      <c r="E20" s="19" t="str">
        <f t="shared" si="2"/>
        <v>Em Branco/Folga</v>
      </c>
      <c r="F20" s="26" t="str">
        <f t="shared" si="4"/>
        <v>Em Branco</v>
      </c>
      <c r="G20" s="58">
        <f>(($Z$11)*($N$11+SUM($C$11:C19)+SUM($K$11:K20)+SUM($L$11:L20)))</f>
        <v>0</v>
      </c>
      <c r="H20" s="58">
        <f>((0.01)*($N$11+SUM($C$11:C19)+SUM($K$11:K20)+SUM($L$11:L20))*3)</f>
        <v>0</v>
      </c>
      <c r="I20" s="58">
        <f t="shared" si="1"/>
        <v>0</v>
      </c>
      <c r="J20" s="7">
        <v>10</v>
      </c>
      <c r="K20" s="67"/>
      <c r="L20" s="37"/>
      <c r="M20" s="56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3"/>
      <c r="AB20" s="41"/>
      <c r="AC20" s="12"/>
    </row>
    <row r="21" spans="1:29" ht="15" customHeight="1" thickTop="1" thickBot="1" x14ac:dyDescent="0.3">
      <c r="A21" s="41"/>
      <c r="B21" s="7">
        <v>11</v>
      </c>
      <c r="C21" s="1"/>
      <c r="D21" s="6">
        <f t="shared" si="3"/>
        <v>0</v>
      </c>
      <c r="E21" s="19" t="str">
        <f t="shared" si="2"/>
        <v>Em Branco/Folga</v>
      </c>
      <c r="F21" s="26" t="str">
        <f t="shared" si="4"/>
        <v>Em Branco</v>
      </c>
      <c r="G21" s="58">
        <f>(($Z$11)*($N$11+SUM($C$11:C20)+SUM($K$11:K21)+SUM($L$11:L21)))</f>
        <v>0</v>
      </c>
      <c r="H21" s="58">
        <f>((0.01)*($N$11+SUM($C$11:C20)+SUM($K$11:K21)+SUM($L$11:L21))*3)</f>
        <v>0</v>
      </c>
      <c r="I21" s="58">
        <f t="shared" si="1"/>
        <v>0</v>
      </c>
      <c r="J21" s="7">
        <v>11</v>
      </c>
      <c r="K21" s="68"/>
      <c r="L21" s="38"/>
      <c r="M21" s="56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12"/>
    </row>
    <row r="22" spans="1:29" ht="15" customHeight="1" thickTop="1" thickBot="1" x14ac:dyDescent="0.3">
      <c r="A22" s="41"/>
      <c r="B22" s="7">
        <v>12</v>
      </c>
      <c r="C22" s="2"/>
      <c r="D22" s="6">
        <f t="shared" si="3"/>
        <v>0</v>
      </c>
      <c r="E22" s="19" t="str">
        <f t="shared" si="2"/>
        <v>Em Branco/Folga</v>
      </c>
      <c r="F22" s="26" t="str">
        <f t="shared" si="4"/>
        <v>Em Branco</v>
      </c>
      <c r="G22" s="58">
        <f>(($Z$11)*($N$11+SUM($C$11:C21)+SUM($K$11:K22)+SUM($L$11:L22)))</f>
        <v>0</v>
      </c>
      <c r="H22" s="58">
        <f>((0.01)*($N$11+SUM($C$11:C21)+SUM($K$11:K22)+SUM($L$11:L22))*3)</f>
        <v>0</v>
      </c>
      <c r="I22" s="58">
        <f t="shared" si="1"/>
        <v>0</v>
      </c>
      <c r="J22" s="7">
        <v>12</v>
      </c>
      <c r="K22" s="67"/>
      <c r="L22" s="37"/>
      <c r="M22" s="56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12"/>
    </row>
    <row r="23" spans="1:29" ht="15" customHeight="1" thickTop="1" thickBot="1" x14ac:dyDescent="0.3">
      <c r="A23" s="41"/>
      <c r="B23" s="7">
        <v>13</v>
      </c>
      <c r="C23" s="1"/>
      <c r="D23" s="6">
        <f t="shared" si="3"/>
        <v>0</v>
      </c>
      <c r="E23" s="19" t="str">
        <f t="shared" si="2"/>
        <v>Em Branco/Folga</v>
      </c>
      <c r="F23" s="26" t="str">
        <f t="shared" si="4"/>
        <v>Em Branco</v>
      </c>
      <c r="G23" s="58">
        <f>(($Z$11)*($N$11+SUM($C$11:C22)+SUM($K$11:K23)+SUM($L$11:L23)))</f>
        <v>0</v>
      </c>
      <c r="H23" s="58">
        <f>((0.01)*($N$11+SUM($C$11:C22)+SUM($K$11:K23)+SUM($L$11:L23))*3)</f>
        <v>0</v>
      </c>
      <c r="I23" s="58">
        <f t="shared" si="1"/>
        <v>0</v>
      </c>
      <c r="J23" s="7">
        <v>13</v>
      </c>
      <c r="K23" s="68"/>
      <c r="L23" s="38"/>
      <c r="M23" s="56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12"/>
    </row>
    <row r="24" spans="1:29" ht="15" customHeight="1" thickTop="1" thickBot="1" x14ac:dyDescent="0.3">
      <c r="A24" s="41"/>
      <c r="B24" s="7">
        <v>14</v>
      </c>
      <c r="C24" s="2"/>
      <c r="D24" s="6">
        <f t="shared" si="3"/>
        <v>0</v>
      </c>
      <c r="E24" s="19" t="str">
        <f t="shared" si="2"/>
        <v>Em Branco/Folga</v>
      </c>
      <c r="F24" s="26" t="str">
        <f t="shared" si="4"/>
        <v>Em Branco</v>
      </c>
      <c r="G24" s="58">
        <f>(($Z$11)*($N$11+SUM($C$11:C23)+SUM($K$11:K24)+SUM($L$11:L24)))</f>
        <v>0</v>
      </c>
      <c r="H24" s="58">
        <f>((0.01)*($N$11+SUM($C$11:C23)+SUM($K$11:K24)+SUM($L$11:L24))*3)</f>
        <v>0</v>
      </c>
      <c r="I24" s="58">
        <f t="shared" si="1"/>
        <v>0</v>
      </c>
      <c r="J24" s="7">
        <v>14</v>
      </c>
      <c r="K24" s="67"/>
      <c r="L24" s="37"/>
      <c r="M24" s="56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12"/>
    </row>
    <row r="25" spans="1:29" ht="15" customHeight="1" thickTop="1" thickBot="1" x14ac:dyDescent="0.3">
      <c r="A25" s="41"/>
      <c r="B25" s="7">
        <v>15</v>
      </c>
      <c r="C25" s="1"/>
      <c r="D25" s="6">
        <f t="shared" si="3"/>
        <v>0</v>
      </c>
      <c r="E25" s="19" t="str">
        <f t="shared" si="2"/>
        <v>Em Branco/Folga</v>
      </c>
      <c r="F25" s="26" t="str">
        <f t="shared" si="4"/>
        <v>Em Branco</v>
      </c>
      <c r="G25" s="58">
        <f>(($Z$11)*($N$11+SUM($C$11:C24)+SUM($K$11:K25)+SUM($L$11:L25)))</f>
        <v>0</v>
      </c>
      <c r="H25" s="58">
        <f>((0.01)*($N$11+SUM($C$11:C24)+SUM($K$11:K25)+SUM($L$11:L25))*3)</f>
        <v>0</v>
      </c>
      <c r="I25" s="58">
        <f t="shared" si="1"/>
        <v>0</v>
      </c>
      <c r="J25" s="7">
        <v>15</v>
      </c>
      <c r="K25" s="68"/>
      <c r="L25" s="38"/>
      <c r="M25" s="56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12"/>
    </row>
    <row r="26" spans="1:29" ht="15" customHeight="1" thickTop="1" thickBot="1" x14ac:dyDescent="0.3">
      <c r="A26" s="41"/>
      <c r="B26" s="7">
        <v>16</v>
      </c>
      <c r="C26" s="2"/>
      <c r="D26" s="6">
        <f t="shared" si="3"/>
        <v>0</v>
      </c>
      <c r="E26" s="19" t="str">
        <f t="shared" si="2"/>
        <v>Em Branco/Folga</v>
      </c>
      <c r="F26" s="26" t="str">
        <f t="shared" si="4"/>
        <v>Em Branco</v>
      </c>
      <c r="G26" s="58">
        <f>(($Z$11)*($N$11+SUM($C$11:C25)+SUM($K$11:K26)+SUM($L$11:L26)))</f>
        <v>0</v>
      </c>
      <c r="H26" s="58">
        <f>((0.01)*($N$11+SUM($C$11:C25)+SUM($K$11:K26)+SUM($L$11:L26))*3)</f>
        <v>0</v>
      </c>
      <c r="I26" s="58">
        <f t="shared" si="1"/>
        <v>0</v>
      </c>
      <c r="J26" s="7">
        <v>16</v>
      </c>
      <c r="K26" s="67"/>
      <c r="L26" s="37"/>
      <c r="M26" s="56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12"/>
    </row>
    <row r="27" spans="1:29" ht="15" customHeight="1" thickTop="1" thickBot="1" x14ac:dyDescent="0.3">
      <c r="A27" s="41"/>
      <c r="B27" s="7">
        <v>17</v>
      </c>
      <c r="C27" s="1"/>
      <c r="D27" s="6">
        <f t="shared" si="3"/>
        <v>0</v>
      </c>
      <c r="E27" s="19" t="str">
        <f t="shared" si="2"/>
        <v>Em Branco/Folga</v>
      </c>
      <c r="F27" s="26" t="str">
        <f t="shared" si="4"/>
        <v>Em Branco</v>
      </c>
      <c r="G27" s="58">
        <f>(($Z$11)*($N$11+SUM($C$11:C26)+SUM($K$11:K27)+SUM($L$11:L27)))</f>
        <v>0</v>
      </c>
      <c r="H27" s="58">
        <f>((0.01)*($N$11+SUM($C$11:C26)+SUM($K$11:K27)+SUM($L$11:L27))*3)</f>
        <v>0</v>
      </c>
      <c r="I27" s="58">
        <f t="shared" si="1"/>
        <v>0</v>
      </c>
      <c r="J27" s="7">
        <v>17</v>
      </c>
      <c r="K27" s="68"/>
      <c r="L27" s="38"/>
      <c r="M27" s="56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12"/>
    </row>
    <row r="28" spans="1:29" ht="15" customHeight="1" thickTop="1" thickBot="1" x14ac:dyDescent="0.3">
      <c r="A28" s="41"/>
      <c r="B28" s="7">
        <v>18</v>
      </c>
      <c r="C28" s="2"/>
      <c r="D28" s="6">
        <f t="shared" si="3"/>
        <v>0</v>
      </c>
      <c r="E28" s="19" t="str">
        <f t="shared" si="2"/>
        <v>Em Branco/Folga</v>
      </c>
      <c r="F28" s="26" t="str">
        <f t="shared" si="4"/>
        <v>Em Branco</v>
      </c>
      <c r="G28" s="58">
        <f>(($Z$11)*($N$11+SUM($C$11:C27)+SUM($K$11:K28)+SUM($L$11:L28)))</f>
        <v>0</v>
      </c>
      <c r="H28" s="58">
        <f>((0.01)*($N$11+SUM($C$11:C27)+SUM($K$11:K28)+SUM($L$11:L28))*3)</f>
        <v>0</v>
      </c>
      <c r="I28" s="58">
        <f t="shared" si="1"/>
        <v>0</v>
      </c>
      <c r="J28" s="7">
        <v>18</v>
      </c>
      <c r="K28" s="67"/>
      <c r="L28" s="37"/>
      <c r="M28" s="56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12"/>
    </row>
    <row r="29" spans="1:29" ht="15" customHeight="1" thickTop="1" thickBot="1" x14ac:dyDescent="0.3">
      <c r="A29" s="41"/>
      <c r="B29" s="7">
        <v>19</v>
      </c>
      <c r="C29" s="1"/>
      <c r="D29" s="6">
        <f t="shared" si="3"/>
        <v>0</v>
      </c>
      <c r="E29" s="19" t="str">
        <f t="shared" si="2"/>
        <v>Em Branco/Folga</v>
      </c>
      <c r="F29" s="26" t="str">
        <f t="shared" si="4"/>
        <v>Em Branco</v>
      </c>
      <c r="G29" s="58">
        <f>(($Z$11)*($N$11+SUM($C$11:C28)+SUM($K$11:K29)+SUM($L$11:L29)))</f>
        <v>0</v>
      </c>
      <c r="H29" s="58">
        <f>((0.01)*($N$11+SUM($C$11:C28)+SUM($K$11:K29)+SUM($L$11:L29))*3)</f>
        <v>0</v>
      </c>
      <c r="I29" s="58">
        <f t="shared" si="1"/>
        <v>0</v>
      </c>
      <c r="J29" s="7">
        <v>19</v>
      </c>
      <c r="K29" s="68"/>
      <c r="L29" s="38"/>
      <c r="M29" s="56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12"/>
    </row>
    <row r="30" spans="1:29" ht="15" customHeight="1" thickTop="1" thickBot="1" x14ac:dyDescent="0.3">
      <c r="A30" s="41"/>
      <c r="B30" s="7">
        <v>20</v>
      </c>
      <c r="C30" s="2"/>
      <c r="D30" s="6">
        <f t="shared" si="3"/>
        <v>0</v>
      </c>
      <c r="E30" s="19" t="str">
        <f t="shared" si="2"/>
        <v>Em Branco/Folga</v>
      </c>
      <c r="F30" s="26" t="str">
        <f t="shared" si="4"/>
        <v>Em Branco</v>
      </c>
      <c r="G30" s="58">
        <f>(($Z$11)*($N$11+SUM($C$11:C29)+SUM($K$11:K30)+SUM($L$11:L30)))</f>
        <v>0</v>
      </c>
      <c r="H30" s="58">
        <f>((0.01)*($N$11+SUM($C$11:C29)+SUM($K$11:K30)+SUM($L$11:L30))*3)</f>
        <v>0</v>
      </c>
      <c r="I30" s="58">
        <f t="shared" si="1"/>
        <v>0</v>
      </c>
      <c r="J30" s="7">
        <v>20</v>
      </c>
      <c r="K30" s="67"/>
      <c r="L30" s="37"/>
      <c r="M30" s="56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12"/>
    </row>
    <row r="31" spans="1:29" ht="15" customHeight="1" thickTop="1" thickBot="1" x14ac:dyDescent="0.3">
      <c r="A31" s="41"/>
      <c r="B31" s="7">
        <v>21</v>
      </c>
      <c r="C31" s="1"/>
      <c r="D31" s="6">
        <f t="shared" si="3"/>
        <v>0</v>
      </c>
      <c r="E31" s="19" t="str">
        <f t="shared" si="2"/>
        <v>Em Branco/Folga</v>
      </c>
      <c r="F31" s="26" t="str">
        <f t="shared" si="4"/>
        <v>Em Branco</v>
      </c>
      <c r="G31" s="58">
        <f>(($Z$11)*($N$11+SUM($C$11:C30)+SUM($K$11:K31)+SUM($L$11:L31)))</f>
        <v>0</v>
      </c>
      <c r="H31" s="58">
        <f>((0.01)*($N$11+SUM($C$11:C30)+SUM($K$11:K31)+SUM($L$11:L31))*3)</f>
        <v>0</v>
      </c>
      <c r="I31" s="58">
        <f t="shared" si="1"/>
        <v>0</v>
      </c>
      <c r="J31" s="7">
        <v>21</v>
      </c>
      <c r="K31" s="68"/>
      <c r="L31" s="38"/>
      <c r="M31" s="56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12"/>
    </row>
    <row r="32" spans="1:29" ht="15" customHeight="1" thickTop="1" thickBot="1" x14ac:dyDescent="0.3">
      <c r="A32" s="41"/>
      <c r="B32" s="7">
        <v>22</v>
      </c>
      <c r="C32" s="1"/>
      <c r="D32" s="6">
        <f t="shared" si="3"/>
        <v>0</v>
      </c>
      <c r="E32" s="19" t="str">
        <f t="shared" si="2"/>
        <v>Em Branco/Folga</v>
      </c>
      <c r="F32" s="26" t="str">
        <f t="shared" si="4"/>
        <v>Em Branco</v>
      </c>
      <c r="G32" s="58">
        <f>(($Z$11)*($N$11+SUM($C$11:C31)+SUM($K$11:K32)+SUM($L$11:L32)))</f>
        <v>0</v>
      </c>
      <c r="H32" s="58">
        <f>((0.01)*($N$11+SUM($C$11:C31)+SUM($K$11:K32)+SUM($L$11:L32))*3)</f>
        <v>0</v>
      </c>
      <c r="I32" s="58">
        <f t="shared" si="1"/>
        <v>0</v>
      </c>
      <c r="J32" s="7">
        <v>22</v>
      </c>
      <c r="K32" s="68"/>
      <c r="L32" s="38"/>
      <c r="M32" s="56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ht="15" customHeight="1" thickTop="1" thickBot="1" x14ac:dyDescent="0.3">
      <c r="A33" s="41"/>
      <c r="B33" s="7">
        <v>23</v>
      </c>
      <c r="C33" s="1"/>
      <c r="D33" s="6">
        <f t="shared" si="3"/>
        <v>0</v>
      </c>
      <c r="E33" s="19" t="str">
        <f t="shared" si="2"/>
        <v>Em Branco/Folga</v>
      </c>
      <c r="F33" s="26" t="str">
        <f t="shared" si="4"/>
        <v>Em Branco</v>
      </c>
      <c r="G33" s="58">
        <f>(($Z$11)*($N$11+SUM($C$11:C32)+SUM($K$11:K33)+SUM($L$11:L33)))</f>
        <v>0</v>
      </c>
      <c r="H33" s="58">
        <f>((0.01)*($N$11+SUM($C$11:C32)+SUM($K$11:K33)+SUM($L$11:L33))*3)</f>
        <v>0</v>
      </c>
      <c r="I33" s="58">
        <f t="shared" si="1"/>
        <v>0</v>
      </c>
      <c r="J33" s="7">
        <v>23</v>
      </c>
      <c r="K33" s="68"/>
      <c r="L33" s="38"/>
      <c r="M33" s="56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ht="15" customHeight="1" thickTop="1" thickBot="1" x14ac:dyDescent="0.3">
      <c r="A34" s="41"/>
      <c r="B34" s="7">
        <v>24</v>
      </c>
      <c r="C34" s="1"/>
      <c r="D34" s="6">
        <f t="shared" si="3"/>
        <v>0</v>
      </c>
      <c r="E34" s="19" t="str">
        <f t="shared" si="2"/>
        <v>Em Branco/Folga</v>
      </c>
      <c r="F34" s="26" t="str">
        <f t="shared" si="4"/>
        <v>Em Branco</v>
      </c>
      <c r="G34" s="58">
        <f>(($Z$11)*($N$11+SUM($C$11:C33)+SUM($K$11:K34)+SUM($L$11:L34)))</f>
        <v>0</v>
      </c>
      <c r="H34" s="58">
        <f>((0.01)*($N$11+SUM($C$11:C33)+SUM($K$11:K34)+SUM($L$11:L34))*3)</f>
        <v>0</v>
      </c>
      <c r="I34" s="58">
        <f t="shared" si="1"/>
        <v>0</v>
      </c>
      <c r="J34" s="7">
        <v>24</v>
      </c>
      <c r="K34" s="68"/>
      <c r="L34" s="38"/>
      <c r="M34" s="56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ht="15" customHeight="1" thickTop="1" thickBot="1" x14ac:dyDescent="0.3">
      <c r="A35" s="41"/>
      <c r="B35" s="7">
        <v>25</v>
      </c>
      <c r="C35" s="1"/>
      <c r="D35" s="6">
        <f t="shared" si="3"/>
        <v>0</v>
      </c>
      <c r="E35" s="19" t="str">
        <f t="shared" si="2"/>
        <v>Em Branco/Folga</v>
      </c>
      <c r="F35" s="26" t="str">
        <f t="shared" si="4"/>
        <v>Em Branco</v>
      </c>
      <c r="G35" s="58">
        <f>(($Z$11)*($N$11+SUM($C$11:C34)+SUM($K$11:K35)+SUM($L$11:L35)))</f>
        <v>0</v>
      </c>
      <c r="H35" s="58">
        <f>((0.01)*($N$11+SUM($C$11:C34)+SUM($K$11:K35)+SUM($L$11:L35))*3)</f>
        <v>0</v>
      </c>
      <c r="I35" s="58">
        <f t="shared" si="1"/>
        <v>0</v>
      </c>
      <c r="J35" s="7">
        <v>25</v>
      </c>
      <c r="K35" s="68"/>
      <c r="L35" s="38"/>
      <c r="M35" s="56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ht="15" customHeight="1" thickTop="1" thickBot="1" x14ac:dyDescent="0.3">
      <c r="A36" s="41"/>
      <c r="B36" s="7">
        <v>26</v>
      </c>
      <c r="C36" s="1"/>
      <c r="D36" s="6">
        <f t="shared" si="3"/>
        <v>0</v>
      </c>
      <c r="E36" s="19" t="str">
        <f t="shared" si="2"/>
        <v>Em Branco/Folga</v>
      </c>
      <c r="F36" s="26" t="str">
        <f t="shared" si="4"/>
        <v>Em Branco</v>
      </c>
      <c r="G36" s="58">
        <f>(($Z$11)*($N$11+SUM($C$11:C35)+SUM($K$11:K36)+SUM($L$11:L36)))</f>
        <v>0</v>
      </c>
      <c r="H36" s="58">
        <f>((0.01)*($N$11+SUM($C$11:C35)+SUM($K$11:K36)+SUM($L$11:L36))*3)</f>
        <v>0</v>
      </c>
      <c r="I36" s="58">
        <f t="shared" si="1"/>
        <v>0</v>
      </c>
      <c r="J36" s="7">
        <v>26</v>
      </c>
      <c r="K36" s="68"/>
      <c r="L36" s="38"/>
      <c r="M36" s="56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  <row r="37" spans="1:28" ht="15" customHeight="1" thickTop="1" thickBot="1" x14ac:dyDescent="0.3">
      <c r="A37" s="41"/>
      <c r="B37" s="7">
        <v>27</v>
      </c>
      <c r="C37" s="1"/>
      <c r="D37" s="6">
        <f t="shared" si="3"/>
        <v>0</v>
      </c>
      <c r="E37" s="19" t="str">
        <f t="shared" si="2"/>
        <v>Em Branco/Folga</v>
      </c>
      <c r="F37" s="26" t="str">
        <f t="shared" si="4"/>
        <v>Em Branco</v>
      </c>
      <c r="G37" s="58">
        <f>(($Z$11)*($N$11+SUM($C$11:C36)+SUM($K$11:K37)+SUM($L$11:L37)))</f>
        <v>0</v>
      </c>
      <c r="H37" s="58">
        <f>((0.01)*($N$11+SUM($C$11:C36)+SUM($K$11:K37)+SUM($L$11:L37))*3)</f>
        <v>0</v>
      </c>
      <c r="I37" s="58">
        <f t="shared" si="1"/>
        <v>0</v>
      </c>
      <c r="J37" s="7">
        <v>27</v>
      </c>
      <c r="K37" s="68"/>
      <c r="L37" s="38"/>
      <c r="M37" s="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</row>
    <row r="38" spans="1:28" ht="15" customHeight="1" thickTop="1" thickBot="1" x14ac:dyDescent="0.3">
      <c r="A38" s="41"/>
      <c r="B38" s="7">
        <v>28</v>
      </c>
      <c r="C38" s="1"/>
      <c r="D38" s="6">
        <f t="shared" si="3"/>
        <v>0</v>
      </c>
      <c r="E38" s="19" t="str">
        <f t="shared" si="2"/>
        <v>Em Branco/Folga</v>
      </c>
      <c r="F38" s="26" t="str">
        <f t="shared" si="4"/>
        <v>Em Branco</v>
      </c>
      <c r="G38" s="58">
        <f>(($Z$11)*($N$11+SUM($C$11:C37)+SUM($K$11:K38)+SUM($L$11:L38)))</f>
        <v>0</v>
      </c>
      <c r="H38" s="58">
        <f>((0.01)*($N$11+SUM($C$11:C37)+SUM($K$11:K38)+SUM($L$11:L38))*3)</f>
        <v>0</v>
      </c>
      <c r="I38" s="58">
        <f t="shared" si="1"/>
        <v>0</v>
      </c>
      <c r="J38" s="7">
        <v>28</v>
      </c>
      <c r="K38" s="68"/>
      <c r="L38" s="38"/>
      <c r="M38" s="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</row>
    <row r="39" spans="1:28" ht="15" customHeight="1" thickTop="1" thickBot="1" x14ac:dyDescent="0.3">
      <c r="A39" s="41"/>
      <c r="B39" s="7">
        <v>29</v>
      </c>
      <c r="C39" s="2"/>
      <c r="D39" s="6">
        <f t="shared" si="3"/>
        <v>0</v>
      </c>
      <c r="E39" s="19" t="str">
        <f t="shared" si="2"/>
        <v>Em Branco/Folga</v>
      </c>
      <c r="F39" s="26" t="str">
        <f t="shared" si="4"/>
        <v>Em Branco</v>
      </c>
      <c r="G39" s="58">
        <f>(($Z$11)*($N$11+SUM($C$11:C38)+SUM($K$11:K39)+SUM($L$11:L39)))</f>
        <v>0</v>
      </c>
      <c r="H39" s="58">
        <f>((0.01)*($N$11+SUM($C$11:C38)+SUM($K$11:K39)+SUM($L$11:L39))*3)</f>
        <v>0</v>
      </c>
      <c r="I39" s="58">
        <f t="shared" si="1"/>
        <v>0</v>
      </c>
      <c r="J39" s="7">
        <v>29</v>
      </c>
      <c r="K39" s="67"/>
      <c r="L39" s="37"/>
      <c r="M39" s="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</row>
    <row r="40" spans="1:28" ht="15" customHeight="1" thickTop="1" thickBot="1" x14ac:dyDescent="0.3">
      <c r="A40" s="41"/>
      <c r="B40" s="7">
        <v>30</v>
      </c>
      <c r="C40" s="1"/>
      <c r="D40" s="6">
        <f t="shared" si="3"/>
        <v>0</v>
      </c>
      <c r="E40" s="19" t="str">
        <f t="shared" si="2"/>
        <v>Em Branco/Folga</v>
      </c>
      <c r="F40" s="26" t="str">
        <f t="shared" si="4"/>
        <v>Em Branco</v>
      </c>
      <c r="G40" s="58">
        <f>(($Z$11)*($N$11+SUM($C$11:C39)+SUM($K$11:K40)+SUM($L$11:L40)))</f>
        <v>0</v>
      </c>
      <c r="H40" s="58">
        <f>((0.01)*($N$11+SUM($C$11:C39)+SUM($K$11:K40)+SUM($L$11:L40))*3)</f>
        <v>0</v>
      </c>
      <c r="I40" s="58">
        <f t="shared" si="1"/>
        <v>0</v>
      </c>
      <c r="J40" s="7">
        <v>30</v>
      </c>
      <c r="K40" s="68"/>
      <c r="L40" s="38"/>
      <c r="M40" s="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</row>
    <row r="41" spans="1:28" ht="15.75" customHeight="1" thickTop="1" thickBot="1" x14ac:dyDescent="0.3">
      <c r="A41" s="41"/>
      <c r="B41" s="8">
        <v>31</v>
      </c>
      <c r="C41" s="3"/>
      <c r="D41" s="9">
        <f t="shared" si="3"/>
        <v>0</v>
      </c>
      <c r="E41" s="20" t="str">
        <f t="shared" si="2"/>
        <v>Em Branco/Folga</v>
      </c>
      <c r="F41" s="27" t="str">
        <f t="shared" si="4"/>
        <v>Em Branco</v>
      </c>
      <c r="G41" s="58">
        <f>(($Z$11)*($N$11+SUM($C$11:C40)+SUM($K$11:K41)+SUM($L$11:L41)))</f>
        <v>0</v>
      </c>
      <c r="H41" s="58">
        <f>((0.01)*($N$11+SUM($C$11:C40)+SUM($K$11:K41)+SUM($L$11:L41))*3)</f>
        <v>0</v>
      </c>
      <c r="I41" s="58">
        <f t="shared" si="1"/>
        <v>0</v>
      </c>
      <c r="J41" s="8">
        <v>31</v>
      </c>
      <c r="K41" s="69"/>
      <c r="L41" s="39"/>
      <c r="M41" s="56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</row>
    <row r="42" spans="1:28" x14ac:dyDescent="0.25">
      <c r="A42" s="41"/>
      <c r="B42" s="41"/>
      <c r="C42" s="41"/>
      <c r="D42" s="51"/>
      <c r="E42" s="41"/>
      <c r="F42" s="42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</row>
  </sheetData>
  <sheetProtection algorithmName="SHA-512" hashValue="zSXz/szznwBtZe71T2vRfVKidIpGA1gPPJNlcPRF2GpIl+O5VEVxeInPgy2iW5nKL0LUjVSXelS04tjav7lX3Q==" saltValue="e4Cd93rdclxZQfRrP7xuMw==" spinCount="100000" sheet="1" selectLockedCells="1"/>
  <mergeCells count="11">
    <mergeCell ref="V10:W10"/>
    <mergeCell ref="N11:O11"/>
    <mergeCell ref="P11:Q11"/>
    <mergeCell ref="R11:S11"/>
    <mergeCell ref="D2:E2"/>
    <mergeCell ref="B9:D9"/>
    <mergeCell ref="E9:F9"/>
    <mergeCell ref="N10:O10"/>
    <mergeCell ref="P10:Q10"/>
    <mergeCell ref="R10:S10"/>
    <mergeCell ref="J9:L9"/>
  </mergeCells>
  <conditionalFormatting sqref="C11:C31 C41">
    <cfRule type="containsBlanks" dxfId="519" priority="71">
      <formula>LEN(TRIM(C11))=0</formula>
    </cfRule>
    <cfRule type="cellIs" dxfId="518" priority="72" operator="equal">
      <formula>0</formula>
    </cfRule>
    <cfRule type="cellIs" dxfId="517" priority="73" operator="greaterThan">
      <formula>0</formula>
    </cfRule>
    <cfRule type="cellIs" dxfId="516" priority="74" operator="lessThan">
      <formula>0</formula>
    </cfRule>
  </conditionalFormatting>
  <conditionalFormatting sqref="E11:F41">
    <cfRule type="containsText" dxfId="515" priority="68" operator="containsText" text="Não Atingiu">
      <formula>NOT(ISERROR(SEARCH("Não Atingiu",E11)))</formula>
    </cfRule>
    <cfRule type="containsText" dxfId="514" priority="69" operator="containsText" text="Prejuizo">
      <formula>NOT(ISERROR(SEARCH("Prejuizo",E11)))</formula>
    </cfRule>
    <cfRule type="containsText" dxfId="513" priority="70" operator="containsText" text="Atingiu">
      <formula>NOT(ISERROR(SEARCH("Atingiu",E11)))</formula>
    </cfRule>
  </conditionalFormatting>
  <conditionalFormatting sqref="E12:F12">
    <cfRule type="cellIs" dxfId="512" priority="67" operator="equal">
      <formula>"Em Branco/Folga"</formula>
    </cfRule>
  </conditionalFormatting>
  <conditionalFormatting sqref="E11:F11">
    <cfRule type="cellIs" dxfId="511" priority="66" operator="equal">
      <formula>"Em Branco/Folga"</formula>
    </cfRule>
  </conditionalFormatting>
  <conditionalFormatting sqref="E13:F41">
    <cfRule type="cellIs" dxfId="510" priority="65" operator="equal">
      <formula>"Em Branco/Folga"</formula>
    </cfRule>
  </conditionalFormatting>
  <conditionalFormatting sqref="F11">
    <cfRule type="cellIs" dxfId="509" priority="57" operator="equal">
      <formula>"Está Arriscando Sua Banca"</formula>
    </cfRule>
    <cfRule type="cellIs" dxfId="508" priority="62" operator="equal">
      <formula>"Está Se Arriscando Acima De 3%"</formula>
    </cfRule>
    <cfRule type="cellIs" dxfId="507" priority="63" operator="equal">
      <formula>"Parabéns Seguiu Gerenciamento"</formula>
    </cfRule>
    <cfRule type="cellIs" dxfId="506" priority="64" operator="equal">
      <formula>"Em Branco"</formula>
    </cfRule>
  </conditionalFormatting>
  <conditionalFormatting sqref="F12:F41">
    <cfRule type="cellIs" dxfId="505" priority="61" operator="equal">
      <formula>"Em Branco/Folga"</formula>
    </cfRule>
  </conditionalFormatting>
  <conditionalFormatting sqref="F12:F41">
    <cfRule type="cellIs" dxfId="504" priority="58" operator="equal">
      <formula>"Está Se Arriscando Acima De 3%"</formula>
    </cfRule>
    <cfRule type="cellIs" dxfId="503" priority="59" operator="equal">
      <formula>"Parabéns Seguiu Gerenciamento"</formula>
    </cfRule>
    <cfRule type="cellIs" dxfId="502" priority="60" operator="equal">
      <formula>"Em Branco"</formula>
    </cfRule>
  </conditionalFormatting>
  <conditionalFormatting sqref="F12:F41">
    <cfRule type="cellIs" dxfId="501" priority="56" operator="equal">
      <formula>"Em Branco/Folga"</formula>
    </cfRule>
  </conditionalFormatting>
  <conditionalFormatting sqref="F12:F41">
    <cfRule type="cellIs" dxfId="500" priority="52" operator="equal">
      <formula>"Está Arriscando Sua Banca"</formula>
    </cfRule>
    <cfRule type="cellIs" dxfId="499" priority="53" operator="equal">
      <formula>"Está Se Arriscando Acima De 3%"</formula>
    </cfRule>
    <cfRule type="cellIs" dxfId="498" priority="54" operator="equal">
      <formula>"Parabéns Seguiu Gerenciamento"</formula>
    </cfRule>
    <cfRule type="cellIs" dxfId="497" priority="55" operator="equal">
      <formula>"Em Branco"</formula>
    </cfRule>
  </conditionalFormatting>
  <conditionalFormatting sqref="C32:C40">
    <cfRule type="containsBlanks" dxfId="496" priority="44">
      <formula>LEN(TRIM(C32))=0</formula>
    </cfRule>
    <cfRule type="cellIs" dxfId="495" priority="45" operator="equal">
      <formula>0</formula>
    </cfRule>
    <cfRule type="cellIs" dxfId="494" priority="46" operator="greaterThan">
      <formula>0</formula>
    </cfRule>
    <cfRule type="cellIs" dxfId="493" priority="47" operator="lessThan">
      <formula>0</formula>
    </cfRule>
  </conditionalFormatting>
  <conditionalFormatting sqref="K11:K31 K41">
    <cfRule type="containsBlanks" dxfId="492" priority="21">
      <formula>LEN(TRIM(K11))=0</formula>
    </cfRule>
    <cfRule type="cellIs" dxfId="491" priority="22" operator="equal">
      <formula>0</formula>
    </cfRule>
    <cfRule type="cellIs" dxfId="490" priority="23" operator="greaterThan">
      <formula>0</formula>
    </cfRule>
    <cfRule type="cellIs" dxfId="489" priority="24" operator="lessThan">
      <formula>0</formula>
    </cfRule>
  </conditionalFormatting>
  <conditionalFormatting sqref="K32:K40">
    <cfRule type="containsBlanks" dxfId="488" priority="17">
      <formula>LEN(TRIM(K32))=0</formula>
    </cfRule>
    <cfRule type="cellIs" dxfId="487" priority="18" operator="equal">
      <formula>0</formula>
    </cfRule>
    <cfRule type="cellIs" dxfId="486" priority="19" operator="greaterThan">
      <formula>0</formula>
    </cfRule>
    <cfRule type="cellIs" dxfId="485" priority="20" operator="lessThan">
      <formula>0</formula>
    </cfRule>
  </conditionalFormatting>
  <conditionalFormatting sqref="L11:M31 L41:M41">
    <cfRule type="containsBlanks" dxfId="484" priority="13">
      <formula>LEN(TRIM(L11))=0</formula>
    </cfRule>
    <cfRule type="cellIs" dxfId="483" priority="14" operator="equal">
      <formula>0</formula>
    </cfRule>
    <cfRule type="cellIs" dxfId="482" priority="15" operator="greaterThan">
      <formula>0</formula>
    </cfRule>
    <cfRule type="cellIs" dxfId="481" priority="16" operator="lessThan">
      <formula>0</formula>
    </cfRule>
  </conditionalFormatting>
  <conditionalFormatting sqref="L32:M40">
    <cfRule type="containsBlanks" dxfId="480" priority="9">
      <formula>LEN(TRIM(L32))=0</formula>
    </cfRule>
    <cfRule type="cellIs" dxfId="479" priority="10" operator="equal">
      <formula>0</formula>
    </cfRule>
    <cfRule type="cellIs" dxfId="478" priority="11" operator="greaterThan">
      <formula>0</formula>
    </cfRule>
    <cfRule type="cellIs" dxfId="477" priority="12" operator="lessThan">
      <formula>0</formula>
    </cfRule>
  </conditionalFormatting>
  <dataValidations count="7">
    <dataValidation type="list" allowBlank="1" showInputMessage="1" showErrorMessage="1" sqref="E13:E41" xr:uid="{A2B43C06-27E3-4B3C-867B-652B680A0998}">
      <formula1>#REF!</formula1>
    </dataValidation>
    <dataValidation type="decimal" allowBlank="1" showInputMessage="1" showErrorMessage="1" errorTitle="GERENCIAMENTO" error="SIGA O GERENCIAMENTO DE 1% A 3%" sqref="Z11" xr:uid="{D228A677-EAE1-45F0-B2C3-AC876B522C03}">
      <formula1>0.000001</formula1>
      <formula2>0.03</formula2>
    </dataValidation>
    <dataValidation type="list" allowBlank="1" showInputMessage="1" showErrorMessage="1" errorTitle="ATENÇÃO" error="SELECIONE O MÊS DE REFERÊNCIA" sqref="E9" xr:uid="{01ABC000-F5C0-45E8-AF1D-B27F5F57CC3D}">
      <formula1>$AC$6:$AC$17</formula1>
    </dataValidation>
    <dataValidation type="decimal" allowBlank="1" showInputMessage="1" showErrorMessage="1" errorTitle="ATENÇÃO" error="APENAS NÚMEROS" sqref="N11:O11 C11:C41 M11:M41" xr:uid="{45AFABED-8FAB-4C51-8CCB-7F1A7C4567CA}">
      <formula1>-999999999999999000</formula1>
      <formula2>999999999999999000</formula2>
    </dataValidation>
    <dataValidation allowBlank="1" showInputMessage="1" showErrorMessage="1" errorTitle="ATENÇÃO" error="SELECIONE O MÊS DE REFERÊNCIA" sqref="J9 M9" xr:uid="{FED74D24-9CFF-45A3-B797-377FE088AF66}"/>
    <dataValidation type="decimal" allowBlank="1" showInputMessage="1" showErrorMessage="1" errorTitle="ATENÇÃO" error="APENAS NÚMEROS" promptTitle="SAQUES" prompt="COLOCAR SINAL NEGATIVO" sqref="L11:L41" xr:uid="{C1865C4A-5A07-4AB9-8146-6C7DBE99D41A}">
      <formula1>-999999999999999000</formula1>
      <formula2>999999999999999000</formula2>
    </dataValidation>
    <dataValidation type="decimal" allowBlank="1" showErrorMessage="1" errorTitle="ATENÇÃO" error="APENAS NÚMEROS" sqref="K11:K41" xr:uid="{C476DE63-66BB-40AB-B33E-66B8A119558A}">
      <formula1>-999999999999999000</formula1>
      <formula2>999999999999999000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68E36-6E57-4B9A-BA59-929819C334AE}">
  <sheetPr codeName="Planilha9">
    <tabColor rgb="FFFFC000"/>
  </sheetPr>
  <dimension ref="A1:AC42"/>
  <sheetViews>
    <sheetView showGridLines="0" showRowColHeaders="0" zoomScale="85" zoomScaleNormal="85" workbookViewId="0">
      <selection activeCell="E9" sqref="E9:F9"/>
    </sheetView>
  </sheetViews>
  <sheetFormatPr defaultColWidth="0" defaultRowHeight="15" customHeight="1" zeroHeight="1" x14ac:dyDescent="0.25"/>
  <cols>
    <col min="1" max="1" width="3.7109375" style="4" customWidth="1"/>
    <col min="2" max="2" width="4.5703125" style="4" customWidth="1"/>
    <col min="3" max="3" width="12.7109375" style="4" customWidth="1"/>
    <col min="4" max="4" width="12.140625" style="4" customWidth="1"/>
    <col min="5" max="5" width="15.7109375" style="4" customWidth="1"/>
    <col min="6" max="6" width="30.7109375" style="25" customWidth="1"/>
    <col min="7" max="9" width="0.5703125" style="4" customWidth="1"/>
    <col min="10" max="10" width="4.5703125" style="4" customWidth="1"/>
    <col min="11" max="12" width="15.7109375" style="4" customWidth="1"/>
    <col min="13" max="13" width="1.7109375" style="4" customWidth="1"/>
    <col min="14" max="14" width="15.7109375" style="4" customWidth="1"/>
    <col min="15" max="15" width="9.5703125" style="4" bestFit="1" customWidth="1"/>
    <col min="16" max="20" width="9.140625" style="4" customWidth="1"/>
    <col min="21" max="21" width="12.140625" style="4" customWidth="1"/>
    <col min="22" max="22" width="12.85546875" style="4" customWidth="1"/>
    <col min="23" max="23" width="18" style="4" customWidth="1"/>
    <col min="24" max="24" width="13.85546875" style="4" customWidth="1"/>
    <col min="25" max="25" width="15.140625" style="4" customWidth="1"/>
    <col min="26" max="26" width="9.7109375" style="4" bestFit="1" customWidth="1"/>
    <col min="27" max="28" width="2.28515625" style="4" customWidth="1"/>
    <col min="29" max="16384" width="9.140625" style="4" hidden="1"/>
  </cols>
  <sheetData>
    <row r="1" spans="1:29" x14ac:dyDescent="0.25">
      <c r="A1" s="41"/>
      <c r="B1" s="41"/>
      <c r="C1" s="41"/>
      <c r="D1" s="41"/>
      <c r="E1" s="41"/>
      <c r="F1" s="42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3"/>
      <c r="AB1" s="41"/>
      <c r="AC1" s="10">
        <v>0.01</v>
      </c>
    </row>
    <row r="2" spans="1:29" x14ac:dyDescent="0.25">
      <c r="A2" s="41"/>
      <c r="B2" s="41"/>
      <c r="C2" s="44" t="s">
        <v>103</v>
      </c>
      <c r="D2" s="79">
        <f ca="1">TODAY()</f>
        <v>44422</v>
      </c>
      <c r="E2" s="80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59" t="s">
        <v>110</v>
      </c>
      <c r="Z2" s="41"/>
      <c r="AA2" s="43"/>
      <c r="AB2" s="41"/>
      <c r="AC2" s="10"/>
    </row>
    <row r="3" spans="1:29" x14ac:dyDescent="0.25">
      <c r="A3" s="41"/>
      <c r="B3" s="41"/>
      <c r="C3" s="41"/>
      <c r="D3" s="41"/>
      <c r="E3" s="41"/>
      <c r="F3" s="42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3"/>
      <c r="AB3" s="41"/>
      <c r="AC3" s="10"/>
    </row>
    <row r="4" spans="1:29" x14ac:dyDescent="0.25">
      <c r="A4" s="41"/>
      <c r="B4" s="41"/>
      <c r="C4" s="41"/>
      <c r="D4" s="41"/>
      <c r="E4" s="41"/>
      <c r="F4" s="42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3"/>
      <c r="AB4" s="41"/>
      <c r="AC4" s="10">
        <v>0.02</v>
      </c>
    </row>
    <row r="5" spans="1:29" x14ac:dyDescent="0.25">
      <c r="A5" s="41"/>
      <c r="B5" s="41"/>
      <c r="C5" s="41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3"/>
      <c r="AB5" s="41"/>
      <c r="AC5" s="10">
        <v>0.03</v>
      </c>
    </row>
    <row r="6" spans="1:29" x14ac:dyDescent="0.25">
      <c r="A6" s="41"/>
      <c r="B6" s="41"/>
      <c r="C6" s="41"/>
      <c r="D6" s="41"/>
      <c r="E6" s="41"/>
      <c r="F6" s="42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3"/>
      <c r="AB6" s="41"/>
      <c r="AC6" s="11" t="s">
        <v>26</v>
      </c>
    </row>
    <row r="7" spans="1:29" x14ac:dyDescent="0.25">
      <c r="A7" s="41"/>
      <c r="B7" s="41"/>
      <c r="C7" s="41"/>
      <c r="D7" s="41"/>
      <c r="E7" s="41"/>
      <c r="F7" s="42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3"/>
      <c r="AB7" s="41"/>
      <c r="AC7" s="11" t="s">
        <v>27</v>
      </c>
    </row>
    <row r="8" spans="1:29" ht="15.75" thickBot="1" x14ac:dyDescent="0.3">
      <c r="A8" s="41"/>
      <c r="B8" s="41"/>
      <c r="C8" s="41"/>
      <c r="D8" s="41"/>
      <c r="E8" s="41"/>
      <c r="F8" s="42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3"/>
      <c r="AB8" s="41"/>
      <c r="AC8" s="11" t="s">
        <v>28</v>
      </c>
    </row>
    <row r="9" spans="1:29" ht="19.5" thickBot="1" x14ac:dyDescent="0.3">
      <c r="A9" s="41"/>
      <c r="B9" s="81" t="s">
        <v>38</v>
      </c>
      <c r="C9" s="82"/>
      <c r="D9" s="83"/>
      <c r="E9" s="84" t="s">
        <v>27</v>
      </c>
      <c r="F9" s="85"/>
      <c r="G9" s="57"/>
      <c r="H9" s="57"/>
      <c r="I9" s="57"/>
      <c r="J9" s="81" t="s">
        <v>107</v>
      </c>
      <c r="K9" s="82"/>
      <c r="L9" s="88"/>
      <c r="M9" s="55"/>
      <c r="N9" s="5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3"/>
      <c r="AB9" s="41"/>
      <c r="AC9" s="11" t="s">
        <v>29</v>
      </c>
    </row>
    <row r="10" spans="1:29" ht="16.5" thickBot="1" x14ac:dyDescent="0.3">
      <c r="A10" s="41"/>
      <c r="B10" s="60" t="s">
        <v>0</v>
      </c>
      <c r="C10" s="61" t="s">
        <v>1</v>
      </c>
      <c r="D10" s="61" t="s">
        <v>3</v>
      </c>
      <c r="E10" s="61" t="s">
        <v>2</v>
      </c>
      <c r="F10" s="62" t="s">
        <v>105</v>
      </c>
      <c r="G10" s="57"/>
      <c r="H10" s="57"/>
      <c r="I10" s="57"/>
      <c r="J10" s="63" t="s">
        <v>0</v>
      </c>
      <c r="K10" s="64" t="s">
        <v>108</v>
      </c>
      <c r="L10" s="65" t="s">
        <v>109</v>
      </c>
      <c r="M10" s="40"/>
      <c r="N10" s="86" t="s">
        <v>5</v>
      </c>
      <c r="O10" s="87"/>
      <c r="P10" s="87" t="s">
        <v>4</v>
      </c>
      <c r="Q10" s="87"/>
      <c r="R10" s="87" t="s">
        <v>6</v>
      </c>
      <c r="S10" s="87"/>
      <c r="T10" s="53" t="s">
        <v>24</v>
      </c>
      <c r="U10" s="53" t="s">
        <v>23</v>
      </c>
      <c r="V10" s="75" t="s">
        <v>21</v>
      </c>
      <c r="W10" s="75"/>
      <c r="X10" s="53" t="s">
        <v>7</v>
      </c>
      <c r="Y10" s="53" t="s">
        <v>102</v>
      </c>
      <c r="Z10" s="5" t="s">
        <v>25</v>
      </c>
      <c r="AA10" s="43"/>
      <c r="AB10" s="41"/>
      <c r="AC10" s="11" t="s">
        <v>30</v>
      </c>
    </row>
    <row r="11" spans="1:29" ht="16.5" thickBot="1" x14ac:dyDescent="0.3">
      <c r="A11" s="41"/>
      <c r="B11" s="21">
        <v>1</v>
      </c>
      <c r="C11" s="22"/>
      <c r="D11" s="23">
        <f>N11+C11</f>
        <v>0</v>
      </c>
      <c r="E11" s="24" t="str">
        <f>IF(ISBLANK($C11),"Em Branco/Folga",IF($C11&gt;=$G11,"Atingiu",IF($C11&lt;0,"Prejuizo",IF($C11&lt;$G11,"Não Atingiu"))))</f>
        <v>Em Branco/Folga</v>
      </c>
      <c r="F11" s="26" t="str">
        <f t="shared" ref="F11:F15" si="0">IF(ISBLANK($C11),"Em Branco",IF($I11&gt;$C11,"Está Arriscando Sua Banca",IF($C11&lt;=$H11,"Parabéns Seguiu Gerenciamento","Está Se Arriscando Acima De 3%")))</f>
        <v>Em Branco</v>
      </c>
      <c r="G11" s="58">
        <f>(($Z$11)*($N$11+SUM($K$11:K11)+SUM($L$11:L11)))</f>
        <v>0</v>
      </c>
      <c r="H11" s="58">
        <f>((0.01)*($N$11+SUM($K$11:K11)+SUM($L$11:L11))*3)</f>
        <v>0</v>
      </c>
      <c r="I11" s="58">
        <f t="shared" ref="I11:I41" si="1">-$H11</f>
        <v>0</v>
      </c>
      <c r="J11" s="21">
        <v>1</v>
      </c>
      <c r="K11" s="66"/>
      <c r="L11" s="36"/>
      <c r="M11" s="56"/>
      <c r="N11" s="76">
        <v>0</v>
      </c>
      <c r="O11" s="77"/>
      <c r="P11" s="78">
        <f>Z11*R11</f>
        <v>0</v>
      </c>
      <c r="Q11" s="78"/>
      <c r="R11" s="78">
        <f>(SUM(N11+SUM(C11:C41)))+(SUM(K11:K41))+(SUM(L11:L41))</f>
        <v>0</v>
      </c>
      <c r="S11" s="78"/>
      <c r="T11" s="52">
        <f>P11*0.2</f>
        <v>0</v>
      </c>
      <c r="U11" s="46">
        <f>R11*0.03</f>
        <v>0</v>
      </c>
      <c r="V11" s="47">
        <f>(R11)-(N11)-(SUM(K11:K41))-(SUM(L11:L41))</f>
        <v>0</v>
      </c>
      <c r="W11" s="48">
        <f>V11*Y11</f>
        <v>0</v>
      </c>
      <c r="X11" s="49" t="e">
        <f>(($R$11-$N$11)/$N$11)</f>
        <v>#DIV/0!</v>
      </c>
      <c r="Y11" s="18">
        <f>COTAÇÃO!B6/1000000</f>
        <v>5.2</v>
      </c>
      <c r="Z11" s="73">
        <v>0.01</v>
      </c>
      <c r="AA11" s="43"/>
      <c r="AB11" s="41"/>
      <c r="AC11" s="11" t="s">
        <v>31</v>
      </c>
    </row>
    <row r="12" spans="1:29" ht="15" customHeight="1" thickTop="1" thickBot="1" x14ac:dyDescent="0.3">
      <c r="A12" s="41"/>
      <c r="B12" s="7">
        <v>2</v>
      </c>
      <c r="C12" s="2"/>
      <c r="D12" s="6">
        <f>D11+C12</f>
        <v>0</v>
      </c>
      <c r="E12" s="19" t="str">
        <f>IF(ISBLANK($C12),"Em Branco/Folga",IF($C12&gt;=$G12,"Atingiu",IF($C12&lt;0,"Prejuizo",IF($C12&lt;$G12,"Não Atingiu"))))</f>
        <v>Em Branco/Folga</v>
      </c>
      <c r="F12" s="26" t="str">
        <f t="shared" si="0"/>
        <v>Em Branco</v>
      </c>
      <c r="G12" s="58">
        <f>(($Z$11)*($N$11+SUM($C$11:C11)+SUM($K$11:K12)+SUM($L$11:L12)))</f>
        <v>0</v>
      </c>
      <c r="H12" s="58">
        <f>((0.01)*($N$11+SUM($C$11:C11)+SUM($K$11:K12)+SUM($L$11:L12))*3)</f>
        <v>0</v>
      </c>
      <c r="I12" s="58">
        <f t="shared" si="1"/>
        <v>0</v>
      </c>
      <c r="J12" s="7">
        <v>2</v>
      </c>
      <c r="K12" s="67"/>
      <c r="L12" s="37"/>
      <c r="M12" s="56"/>
      <c r="N12" s="50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3"/>
      <c r="AB12" s="41"/>
      <c r="AC12" s="11" t="s">
        <v>32</v>
      </c>
    </row>
    <row r="13" spans="1:29" ht="15" customHeight="1" thickTop="1" thickBot="1" x14ac:dyDescent="0.3">
      <c r="A13" s="41"/>
      <c r="B13" s="7">
        <v>3</v>
      </c>
      <c r="C13" s="1"/>
      <c r="D13" s="6">
        <f>D12+C13</f>
        <v>0</v>
      </c>
      <c r="E13" s="19" t="str">
        <f t="shared" ref="E13:E41" si="2">IF(ISBLANK($C13),"Em Branco/Folga",IF($C13&gt;=$G13,"Atingiu",IF($C13&lt;0,"Prejuizo",IF($C13&lt;$G13,"Não Atingiu"))))</f>
        <v>Em Branco/Folga</v>
      </c>
      <c r="F13" s="26" t="str">
        <f t="shared" si="0"/>
        <v>Em Branco</v>
      </c>
      <c r="G13" s="58">
        <f>(($Z$11)*($N$11+SUM($C$11:C12)+SUM($K$11:K13)+SUM($L$11:L13)))</f>
        <v>0</v>
      </c>
      <c r="H13" s="58">
        <f>((0.01)*($N$11+SUM($C$11:C12)+SUM($K$11:K13)+SUM($L$11:L13))*3)</f>
        <v>0</v>
      </c>
      <c r="I13" s="58">
        <f t="shared" si="1"/>
        <v>0</v>
      </c>
      <c r="J13" s="7">
        <v>3</v>
      </c>
      <c r="K13" s="68"/>
      <c r="L13" s="38"/>
      <c r="M13" s="56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3"/>
      <c r="AB13" s="41"/>
      <c r="AC13" s="11" t="s">
        <v>33</v>
      </c>
    </row>
    <row r="14" spans="1:29" ht="15" customHeight="1" thickTop="1" thickBot="1" x14ac:dyDescent="0.3">
      <c r="A14" s="41"/>
      <c r="B14" s="7">
        <v>4</v>
      </c>
      <c r="C14" s="2"/>
      <c r="D14" s="6">
        <f>D13+C14</f>
        <v>0</v>
      </c>
      <c r="E14" s="19" t="str">
        <f t="shared" si="2"/>
        <v>Em Branco/Folga</v>
      </c>
      <c r="F14" s="26" t="str">
        <f t="shared" si="0"/>
        <v>Em Branco</v>
      </c>
      <c r="G14" s="58">
        <f>(($Z$11)*($N$11+SUM($C$11:C13)+SUM($K$11:K14)+SUM($L$11:L14)))</f>
        <v>0</v>
      </c>
      <c r="H14" s="58">
        <f>((0.01)*($N$11+SUM($C$11:C13)+SUM($K$11:K14)+SUM($L$11:L14))*3)</f>
        <v>0</v>
      </c>
      <c r="I14" s="58">
        <f t="shared" si="1"/>
        <v>0</v>
      </c>
      <c r="J14" s="7">
        <v>4</v>
      </c>
      <c r="K14" s="67"/>
      <c r="L14" s="37"/>
      <c r="M14" s="56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3"/>
      <c r="AB14" s="41"/>
      <c r="AC14" s="11" t="s">
        <v>34</v>
      </c>
    </row>
    <row r="15" spans="1:29" ht="15" customHeight="1" thickTop="1" thickBot="1" x14ac:dyDescent="0.3">
      <c r="A15" s="41"/>
      <c r="B15" s="7">
        <v>5</v>
      </c>
      <c r="C15" s="1"/>
      <c r="D15" s="6">
        <f>D14+C15</f>
        <v>0</v>
      </c>
      <c r="E15" s="19" t="str">
        <f t="shared" si="2"/>
        <v>Em Branco/Folga</v>
      </c>
      <c r="F15" s="26" t="str">
        <f t="shared" si="0"/>
        <v>Em Branco</v>
      </c>
      <c r="G15" s="58">
        <f>(($Z$11)*($N$11+SUM($C$11:C14)+SUM($K$11:K15)+SUM($L$11:L15)))</f>
        <v>0</v>
      </c>
      <c r="H15" s="58">
        <f>((0.01)*($N$11+SUM($C$11:C14)+SUM($K$11:K15)+SUM($L$11:L15))*3)</f>
        <v>0</v>
      </c>
      <c r="I15" s="58">
        <f t="shared" si="1"/>
        <v>0</v>
      </c>
      <c r="J15" s="7">
        <v>5</v>
      </c>
      <c r="K15" s="68"/>
      <c r="L15" s="38"/>
      <c r="M15" s="56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3"/>
      <c r="AB15" s="41"/>
      <c r="AC15" s="11" t="s">
        <v>35</v>
      </c>
    </row>
    <row r="16" spans="1:29" ht="15" customHeight="1" thickTop="1" thickBot="1" x14ac:dyDescent="0.3">
      <c r="A16" s="41"/>
      <c r="B16" s="7">
        <v>6</v>
      </c>
      <c r="C16" s="2"/>
      <c r="D16" s="6">
        <f>D15+C16</f>
        <v>0</v>
      </c>
      <c r="E16" s="19" t="str">
        <f t="shared" si="2"/>
        <v>Em Branco/Folga</v>
      </c>
      <c r="F16" s="26" t="str">
        <f>IF(ISBLANK($C16),"Em Branco",IF($I16&gt;$C16,"Está Arriscando Sua Banca",IF($C16&lt;=$H16,"Parabéns Seguiu Gerenciamento","Está Se Arriscando Acima De 3%")))</f>
        <v>Em Branco</v>
      </c>
      <c r="G16" s="58">
        <f>(($Z$11)*($N$11+SUM($C$11:C15)+SUM($K$11:K16)+SUM($L$11:L16)))</f>
        <v>0</v>
      </c>
      <c r="H16" s="58">
        <f>((0.01)*($N$11+SUM($C$11:C15)+SUM($K$11:K16)+SUM($L$11:L16))*3)</f>
        <v>0</v>
      </c>
      <c r="I16" s="58">
        <f t="shared" si="1"/>
        <v>0</v>
      </c>
      <c r="J16" s="7">
        <v>6</v>
      </c>
      <c r="K16" s="67"/>
      <c r="L16" s="37"/>
      <c r="M16" s="56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3"/>
      <c r="AB16" s="41"/>
      <c r="AC16" s="11" t="s">
        <v>36</v>
      </c>
    </row>
    <row r="17" spans="1:29" ht="15" customHeight="1" thickTop="1" thickBot="1" x14ac:dyDescent="0.3">
      <c r="A17" s="41"/>
      <c r="B17" s="7">
        <v>7</v>
      </c>
      <c r="C17" s="1"/>
      <c r="D17" s="6">
        <f t="shared" ref="D17:D41" si="3">D16+C17</f>
        <v>0</v>
      </c>
      <c r="E17" s="19" t="str">
        <f t="shared" si="2"/>
        <v>Em Branco/Folga</v>
      </c>
      <c r="F17" s="26" t="str">
        <f t="shared" ref="F17:F41" si="4">IF(ISBLANK($C17),"Em Branco",IF(I17&gt;C17,"Está Arriscando Sua Banca",IF($C17&lt;=$H17,"Parabéns Seguiu Gerenciamento","Está Se Arriscando Acima De 3%")))</f>
        <v>Em Branco</v>
      </c>
      <c r="G17" s="58">
        <f>(($Z$11)*($N$11+SUM($C$11:C16)+SUM($K$11:K17)+SUM($L$11:L17)))</f>
        <v>0</v>
      </c>
      <c r="H17" s="58">
        <f>((0.01)*($N$11+SUM($C$11:C16)+SUM($K$11:K17)+SUM($L$11:L17))*3)</f>
        <v>0</v>
      </c>
      <c r="I17" s="58">
        <f t="shared" si="1"/>
        <v>0</v>
      </c>
      <c r="J17" s="7">
        <v>7</v>
      </c>
      <c r="K17" s="68"/>
      <c r="L17" s="38"/>
      <c r="M17" s="56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3"/>
      <c r="AB17" s="41"/>
      <c r="AC17" s="11" t="s">
        <v>37</v>
      </c>
    </row>
    <row r="18" spans="1:29" ht="15" customHeight="1" thickTop="1" thickBot="1" x14ac:dyDescent="0.3">
      <c r="A18" s="41"/>
      <c r="B18" s="7">
        <v>8</v>
      </c>
      <c r="C18" s="2"/>
      <c r="D18" s="6">
        <f t="shared" si="3"/>
        <v>0</v>
      </c>
      <c r="E18" s="19" t="str">
        <f t="shared" si="2"/>
        <v>Em Branco/Folga</v>
      </c>
      <c r="F18" s="26" t="str">
        <f t="shared" si="4"/>
        <v>Em Branco</v>
      </c>
      <c r="G18" s="58">
        <f>(($Z$11)*($N$11+SUM($C$11:C17)+SUM($K$11:K18)+SUM($L$11:L18)))</f>
        <v>0</v>
      </c>
      <c r="H18" s="58">
        <f>((0.01)*($N$11+SUM($C$11:C17)+SUM($K$11:K18)+SUM($L$11:L18))*3)</f>
        <v>0</v>
      </c>
      <c r="I18" s="58">
        <f t="shared" si="1"/>
        <v>0</v>
      </c>
      <c r="J18" s="7">
        <v>8</v>
      </c>
      <c r="K18" s="67"/>
      <c r="L18" s="37"/>
      <c r="M18" s="56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3"/>
      <c r="AB18" s="41"/>
      <c r="AC18" s="12"/>
    </row>
    <row r="19" spans="1:29" ht="15" customHeight="1" thickTop="1" thickBot="1" x14ac:dyDescent="0.3">
      <c r="A19" s="41"/>
      <c r="B19" s="7">
        <v>9</v>
      </c>
      <c r="C19" s="1"/>
      <c r="D19" s="6">
        <f t="shared" si="3"/>
        <v>0</v>
      </c>
      <c r="E19" s="19" t="str">
        <f t="shared" si="2"/>
        <v>Em Branco/Folga</v>
      </c>
      <c r="F19" s="26" t="str">
        <f t="shared" si="4"/>
        <v>Em Branco</v>
      </c>
      <c r="G19" s="58">
        <f>(($Z$11)*($N$11+SUM($C$11:C18)+SUM($K$11:K19)+SUM($L$11:L19)))</f>
        <v>0</v>
      </c>
      <c r="H19" s="58">
        <f>((0.01)*($N$11+SUM($C$11:C18)+SUM($K$11:K19)+SUM($L$11:L19))*3)</f>
        <v>0</v>
      </c>
      <c r="I19" s="58">
        <f t="shared" si="1"/>
        <v>0</v>
      </c>
      <c r="J19" s="7">
        <v>9</v>
      </c>
      <c r="K19" s="68"/>
      <c r="L19" s="38"/>
      <c r="M19" s="56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3"/>
      <c r="AB19" s="41"/>
      <c r="AC19" s="12"/>
    </row>
    <row r="20" spans="1:29" ht="15" customHeight="1" thickTop="1" thickBot="1" x14ac:dyDescent="0.3">
      <c r="A20" s="41"/>
      <c r="B20" s="7">
        <v>10</v>
      </c>
      <c r="C20" s="2"/>
      <c r="D20" s="6">
        <f t="shared" si="3"/>
        <v>0</v>
      </c>
      <c r="E20" s="19" t="str">
        <f t="shared" si="2"/>
        <v>Em Branco/Folga</v>
      </c>
      <c r="F20" s="26" t="str">
        <f t="shared" si="4"/>
        <v>Em Branco</v>
      </c>
      <c r="G20" s="58">
        <f>(($Z$11)*($N$11+SUM($C$11:C19)+SUM($K$11:K20)+SUM($L$11:L20)))</f>
        <v>0</v>
      </c>
      <c r="H20" s="58">
        <f>((0.01)*($N$11+SUM($C$11:C19)+SUM($K$11:K20)+SUM($L$11:L20))*3)</f>
        <v>0</v>
      </c>
      <c r="I20" s="58">
        <f t="shared" si="1"/>
        <v>0</v>
      </c>
      <c r="J20" s="7">
        <v>10</v>
      </c>
      <c r="K20" s="67"/>
      <c r="L20" s="37"/>
      <c r="M20" s="56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3"/>
      <c r="AB20" s="41"/>
      <c r="AC20" s="12"/>
    </row>
    <row r="21" spans="1:29" ht="15" customHeight="1" thickTop="1" thickBot="1" x14ac:dyDescent="0.3">
      <c r="A21" s="41"/>
      <c r="B21" s="7">
        <v>11</v>
      </c>
      <c r="C21" s="1"/>
      <c r="D21" s="6">
        <f t="shared" si="3"/>
        <v>0</v>
      </c>
      <c r="E21" s="19" t="str">
        <f t="shared" si="2"/>
        <v>Em Branco/Folga</v>
      </c>
      <c r="F21" s="26" t="str">
        <f t="shared" si="4"/>
        <v>Em Branco</v>
      </c>
      <c r="G21" s="58">
        <f>(($Z$11)*($N$11+SUM($C$11:C20)+SUM($K$11:K21)+SUM($L$11:L21)))</f>
        <v>0</v>
      </c>
      <c r="H21" s="58">
        <f>((0.01)*($N$11+SUM($C$11:C20)+SUM($K$11:K21)+SUM($L$11:L21))*3)</f>
        <v>0</v>
      </c>
      <c r="I21" s="58">
        <f t="shared" si="1"/>
        <v>0</v>
      </c>
      <c r="J21" s="7">
        <v>11</v>
      </c>
      <c r="K21" s="68"/>
      <c r="L21" s="38"/>
      <c r="M21" s="56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12"/>
    </row>
    <row r="22" spans="1:29" ht="15" customHeight="1" thickTop="1" thickBot="1" x14ac:dyDescent="0.3">
      <c r="A22" s="41"/>
      <c r="B22" s="7">
        <v>12</v>
      </c>
      <c r="C22" s="2"/>
      <c r="D22" s="6">
        <f t="shared" si="3"/>
        <v>0</v>
      </c>
      <c r="E22" s="19" t="str">
        <f t="shared" si="2"/>
        <v>Em Branco/Folga</v>
      </c>
      <c r="F22" s="26" t="str">
        <f t="shared" si="4"/>
        <v>Em Branco</v>
      </c>
      <c r="G22" s="58">
        <f>(($Z$11)*($N$11+SUM($C$11:C21)+SUM($K$11:K22)+SUM($L$11:L22)))</f>
        <v>0</v>
      </c>
      <c r="H22" s="58">
        <f>((0.01)*($N$11+SUM($C$11:C21)+SUM($K$11:K22)+SUM($L$11:L22))*3)</f>
        <v>0</v>
      </c>
      <c r="I22" s="58">
        <f t="shared" si="1"/>
        <v>0</v>
      </c>
      <c r="J22" s="7">
        <v>12</v>
      </c>
      <c r="K22" s="67"/>
      <c r="L22" s="37"/>
      <c r="M22" s="56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12"/>
    </row>
    <row r="23" spans="1:29" ht="15" customHeight="1" thickTop="1" thickBot="1" x14ac:dyDescent="0.3">
      <c r="A23" s="41"/>
      <c r="B23" s="7">
        <v>13</v>
      </c>
      <c r="C23" s="1"/>
      <c r="D23" s="6">
        <f t="shared" si="3"/>
        <v>0</v>
      </c>
      <c r="E23" s="19" t="str">
        <f t="shared" si="2"/>
        <v>Em Branco/Folga</v>
      </c>
      <c r="F23" s="26" t="str">
        <f t="shared" si="4"/>
        <v>Em Branco</v>
      </c>
      <c r="G23" s="58">
        <f>(($Z$11)*($N$11+SUM($C$11:C22)+SUM($K$11:K23)+SUM($L$11:L23)))</f>
        <v>0</v>
      </c>
      <c r="H23" s="58">
        <f>((0.01)*($N$11+SUM($C$11:C22)+SUM($K$11:K23)+SUM($L$11:L23))*3)</f>
        <v>0</v>
      </c>
      <c r="I23" s="58">
        <f t="shared" si="1"/>
        <v>0</v>
      </c>
      <c r="J23" s="7">
        <v>13</v>
      </c>
      <c r="K23" s="68"/>
      <c r="L23" s="38"/>
      <c r="M23" s="56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12"/>
    </row>
    <row r="24" spans="1:29" ht="15" customHeight="1" thickTop="1" thickBot="1" x14ac:dyDescent="0.3">
      <c r="A24" s="41"/>
      <c r="B24" s="7">
        <v>14</v>
      </c>
      <c r="C24" s="2"/>
      <c r="D24" s="6">
        <f t="shared" si="3"/>
        <v>0</v>
      </c>
      <c r="E24" s="19" t="str">
        <f t="shared" si="2"/>
        <v>Em Branco/Folga</v>
      </c>
      <c r="F24" s="26" t="str">
        <f t="shared" si="4"/>
        <v>Em Branco</v>
      </c>
      <c r="G24" s="58">
        <f>(($Z$11)*($N$11+SUM($C$11:C23)+SUM($K$11:K24)+SUM($L$11:L24)))</f>
        <v>0</v>
      </c>
      <c r="H24" s="58">
        <f>((0.01)*($N$11+SUM($C$11:C23)+SUM($K$11:K24)+SUM($L$11:L24))*3)</f>
        <v>0</v>
      </c>
      <c r="I24" s="58">
        <f t="shared" si="1"/>
        <v>0</v>
      </c>
      <c r="J24" s="7">
        <v>14</v>
      </c>
      <c r="K24" s="67"/>
      <c r="L24" s="37"/>
      <c r="M24" s="56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12"/>
    </row>
    <row r="25" spans="1:29" ht="15" customHeight="1" thickTop="1" thickBot="1" x14ac:dyDescent="0.3">
      <c r="A25" s="41"/>
      <c r="B25" s="7">
        <v>15</v>
      </c>
      <c r="C25" s="1"/>
      <c r="D25" s="6">
        <f t="shared" si="3"/>
        <v>0</v>
      </c>
      <c r="E25" s="19" t="str">
        <f t="shared" si="2"/>
        <v>Em Branco/Folga</v>
      </c>
      <c r="F25" s="26" t="str">
        <f t="shared" si="4"/>
        <v>Em Branco</v>
      </c>
      <c r="G25" s="58">
        <f>(($Z$11)*($N$11+SUM($C$11:C24)+SUM($K$11:K25)+SUM($L$11:L25)))</f>
        <v>0</v>
      </c>
      <c r="H25" s="58">
        <f>((0.01)*($N$11+SUM($C$11:C24)+SUM($K$11:K25)+SUM($L$11:L25))*3)</f>
        <v>0</v>
      </c>
      <c r="I25" s="58">
        <f t="shared" si="1"/>
        <v>0</v>
      </c>
      <c r="J25" s="7">
        <v>15</v>
      </c>
      <c r="K25" s="68"/>
      <c r="L25" s="38"/>
      <c r="M25" s="56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12"/>
    </row>
    <row r="26" spans="1:29" ht="15" customHeight="1" thickTop="1" thickBot="1" x14ac:dyDescent="0.3">
      <c r="A26" s="41"/>
      <c r="B26" s="7">
        <v>16</v>
      </c>
      <c r="C26" s="2"/>
      <c r="D26" s="6">
        <f t="shared" si="3"/>
        <v>0</v>
      </c>
      <c r="E26" s="19" t="str">
        <f t="shared" si="2"/>
        <v>Em Branco/Folga</v>
      </c>
      <c r="F26" s="26" t="str">
        <f t="shared" si="4"/>
        <v>Em Branco</v>
      </c>
      <c r="G26" s="58">
        <f>(($Z$11)*($N$11+SUM($C$11:C25)+SUM($K$11:K26)+SUM($L$11:L26)))</f>
        <v>0</v>
      </c>
      <c r="H26" s="58">
        <f>((0.01)*($N$11+SUM($C$11:C25)+SUM($K$11:K26)+SUM($L$11:L26))*3)</f>
        <v>0</v>
      </c>
      <c r="I26" s="58">
        <f t="shared" si="1"/>
        <v>0</v>
      </c>
      <c r="J26" s="7">
        <v>16</v>
      </c>
      <c r="K26" s="67"/>
      <c r="L26" s="37"/>
      <c r="M26" s="56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12"/>
    </row>
    <row r="27" spans="1:29" ht="15" customHeight="1" thickTop="1" thickBot="1" x14ac:dyDescent="0.3">
      <c r="A27" s="41"/>
      <c r="B27" s="7">
        <v>17</v>
      </c>
      <c r="C27" s="1"/>
      <c r="D27" s="6">
        <f t="shared" si="3"/>
        <v>0</v>
      </c>
      <c r="E27" s="19" t="str">
        <f t="shared" si="2"/>
        <v>Em Branco/Folga</v>
      </c>
      <c r="F27" s="26" t="str">
        <f t="shared" si="4"/>
        <v>Em Branco</v>
      </c>
      <c r="G27" s="58">
        <f>(($Z$11)*($N$11+SUM($C$11:C26)+SUM($K$11:K27)+SUM($L$11:L27)))</f>
        <v>0</v>
      </c>
      <c r="H27" s="58">
        <f>((0.01)*($N$11+SUM($C$11:C26)+SUM($K$11:K27)+SUM($L$11:L27))*3)</f>
        <v>0</v>
      </c>
      <c r="I27" s="58">
        <f t="shared" si="1"/>
        <v>0</v>
      </c>
      <c r="J27" s="7">
        <v>17</v>
      </c>
      <c r="K27" s="68"/>
      <c r="L27" s="38"/>
      <c r="M27" s="56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12"/>
    </row>
    <row r="28" spans="1:29" ht="15" customHeight="1" thickTop="1" thickBot="1" x14ac:dyDescent="0.3">
      <c r="A28" s="41"/>
      <c r="B28" s="7">
        <v>18</v>
      </c>
      <c r="C28" s="2"/>
      <c r="D28" s="6">
        <f t="shared" si="3"/>
        <v>0</v>
      </c>
      <c r="E28" s="19" t="str">
        <f t="shared" si="2"/>
        <v>Em Branco/Folga</v>
      </c>
      <c r="F28" s="26" t="str">
        <f t="shared" si="4"/>
        <v>Em Branco</v>
      </c>
      <c r="G28" s="58">
        <f>(($Z$11)*($N$11+SUM($C$11:C27)+SUM($K$11:K28)+SUM($L$11:L28)))</f>
        <v>0</v>
      </c>
      <c r="H28" s="58">
        <f>((0.01)*($N$11+SUM($C$11:C27)+SUM($K$11:K28)+SUM($L$11:L28))*3)</f>
        <v>0</v>
      </c>
      <c r="I28" s="58">
        <f t="shared" si="1"/>
        <v>0</v>
      </c>
      <c r="J28" s="7">
        <v>18</v>
      </c>
      <c r="K28" s="67"/>
      <c r="L28" s="37"/>
      <c r="M28" s="56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12"/>
    </row>
    <row r="29" spans="1:29" ht="15" customHeight="1" thickTop="1" thickBot="1" x14ac:dyDescent="0.3">
      <c r="A29" s="41"/>
      <c r="B29" s="7">
        <v>19</v>
      </c>
      <c r="C29" s="1"/>
      <c r="D29" s="6">
        <f t="shared" si="3"/>
        <v>0</v>
      </c>
      <c r="E29" s="19" t="str">
        <f t="shared" si="2"/>
        <v>Em Branco/Folga</v>
      </c>
      <c r="F29" s="26" t="str">
        <f t="shared" si="4"/>
        <v>Em Branco</v>
      </c>
      <c r="G29" s="58">
        <f>(($Z$11)*($N$11+SUM($C$11:C28)+SUM($K$11:K29)+SUM($L$11:L29)))</f>
        <v>0</v>
      </c>
      <c r="H29" s="58">
        <f>((0.01)*($N$11+SUM($C$11:C28)+SUM($K$11:K29)+SUM($L$11:L29))*3)</f>
        <v>0</v>
      </c>
      <c r="I29" s="58">
        <f t="shared" si="1"/>
        <v>0</v>
      </c>
      <c r="J29" s="7">
        <v>19</v>
      </c>
      <c r="K29" s="68"/>
      <c r="L29" s="38"/>
      <c r="M29" s="56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12"/>
    </row>
    <row r="30" spans="1:29" ht="15" customHeight="1" thickTop="1" thickBot="1" x14ac:dyDescent="0.3">
      <c r="A30" s="41"/>
      <c r="B30" s="7">
        <v>20</v>
      </c>
      <c r="C30" s="2"/>
      <c r="D30" s="6">
        <f t="shared" si="3"/>
        <v>0</v>
      </c>
      <c r="E30" s="19" t="str">
        <f t="shared" si="2"/>
        <v>Em Branco/Folga</v>
      </c>
      <c r="F30" s="26" t="str">
        <f t="shared" si="4"/>
        <v>Em Branco</v>
      </c>
      <c r="G30" s="58">
        <f>(($Z$11)*($N$11+SUM($C$11:C29)+SUM($K$11:K30)+SUM($L$11:L30)))</f>
        <v>0</v>
      </c>
      <c r="H30" s="58">
        <f>((0.01)*($N$11+SUM($C$11:C29)+SUM($K$11:K30)+SUM($L$11:L30))*3)</f>
        <v>0</v>
      </c>
      <c r="I30" s="58">
        <f t="shared" si="1"/>
        <v>0</v>
      </c>
      <c r="J30" s="7">
        <v>20</v>
      </c>
      <c r="K30" s="67"/>
      <c r="L30" s="37"/>
      <c r="M30" s="56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12"/>
    </row>
    <row r="31" spans="1:29" ht="15" customHeight="1" thickTop="1" thickBot="1" x14ac:dyDescent="0.3">
      <c r="A31" s="41"/>
      <c r="B31" s="7">
        <v>21</v>
      </c>
      <c r="C31" s="1"/>
      <c r="D31" s="6">
        <f t="shared" si="3"/>
        <v>0</v>
      </c>
      <c r="E31" s="19" t="str">
        <f t="shared" si="2"/>
        <v>Em Branco/Folga</v>
      </c>
      <c r="F31" s="26" t="str">
        <f t="shared" si="4"/>
        <v>Em Branco</v>
      </c>
      <c r="G31" s="58">
        <f>(($Z$11)*($N$11+SUM($C$11:C30)+SUM($K$11:K31)+SUM($L$11:L31)))</f>
        <v>0</v>
      </c>
      <c r="H31" s="58">
        <f>((0.01)*($N$11+SUM($C$11:C30)+SUM($K$11:K31)+SUM($L$11:L31))*3)</f>
        <v>0</v>
      </c>
      <c r="I31" s="58">
        <f t="shared" si="1"/>
        <v>0</v>
      </c>
      <c r="J31" s="7">
        <v>21</v>
      </c>
      <c r="K31" s="68"/>
      <c r="L31" s="38"/>
      <c r="M31" s="56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12"/>
    </row>
    <row r="32" spans="1:29" ht="15" customHeight="1" thickTop="1" thickBot="1" x14ac:dyDescent="0.3">
      <c r="A32" s="41"/>
      <c r="B32" s="7">
        <v>22</v>
      </c>
      <c r="C32" s="1"/>
      <c r="D32" s="6">
        <f t="shared" si="3"/>
        <v>0</v>
      </c>
      <c r="E32" s="19" t="str">
        <f t="shared" si="2"/>
        <v>Em Branco/Folga</v>
      </c>
      <c r="F32" s="26" t="str">
        <f t="shared" si="4"/>
        <v>Em Branco</v>
      </c>
      <c r="G32" s="58">
        <f>(($Z$11)*($N$11+SUM($C$11:C31)+SUM($K$11:K32)+SUM($L$11:L32)))</f>
        <v>0</v>
      </c>
      <c r="H32" s="58">
        <f>((0.01)*($N$11+SUM($C$11:C31)+SUM($K$11:K32)+SUM($L$11:L32))*3)</f>
        <v>0</v>
      </c>
      <c r="I32" s="58">
        <f t="shared" si="1"/>
        <v>0</v>
      </c>
      <c r="J32" s="7">
        <v>22</v>
      </c>
      <c r="K32" s="68"/>
      <c r="L32" s="38"/>
      <c r="M32" s="56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ht="15" customHeight="1" thickTop="1" thickBot="1" x14ac:dyDescent="0.3">
      <c r="A33" s="41"/>
      <c r="B33" s="7">
        <v>23</v>
      </c>
      <c r="C33" s="1"/>
      <c r="D33" s="6">
        <f t="shared" si="3"/>
        <v>0</v>
      </c>
      <c r="E33" s="19" t="str">
        <f t="shared" si="2"/>
        <v>Em Branco/Folga</v>
      </c>
      <c r="F33" s="26" t="str">
        <f t="shared" si="4"/>
        <v>Em Branco</v>
      </c>
      <c r="G33" s="58">
        <f>(($Z$11)*($N$11+SUM($C$11:C32)+SUM($K$11:K33)+SUM($L$11:L33)))</f>
        <v>0</v>
      </c>
      <c r="H33" s="58">
        <f>((0.01)*($N$11+SUM($C$11:C32)+SUM($K$11:K33)+SUM($L$11:L33))*3)</f>
        <v>0</v>
      </c>
      <c r="I33" s="58">
        <f t="shared" si="1"/>
        <v>0</v>
      </c>
      <c r="J33" s="7">
        <v>23</v>
      </c>
      <c r="K33" s="68"/>
      <c r="L33" s="38"/>
      <c r="M33" s="56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ht="15" customHeight="1" thickTop="1" thickBot="1" x14ac:dyDescent="0.3">
      <c r="A34" s="41"/>
      <c r="B34" s="7">
        <v>24</v>
      </c>
      <c r="C34" s="1"/>
      <c r="D34" s="6">
        <f t="shared" si="3"/>
        <v>0</v>
      </c>
      <c r="E34" s="19" t="str">
        <f t="shared" si="2"/>
        <v>Em Branco/Folga</v>
      </c>
      <c r="F34" s="26" t="str">
        <f t="shared" si="4"/>
        <v>Em Branco</v>
      </c>
      <c r="G34" s="58">
        <f>(($Z$11)*($N$11+SUM($C$11:C33)+SUM($K$11:K34)+SUM($L$11:L34)))</f>
        <v>0</v>
      </c>
      <c r="H34" s="58">
        <f>((0.01)*($N$11+SUM($C$11:C33)+SUM($K$11:K34)+SUM($L$11:L34))*3)</f>
        <v>0</v>
      </c>
      <c r="I34" s="58">
        <f t="shared" si="1"/>
        <v>0</v>
      </c>
      <c r="J34" s="7">
        <v>24</v>
      </c>
      <c r="K34" s="68"/>
      <c r="L34" s="38"/>
      <c r="M34" s="56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ht="15" customHeight="1" thickTop="1" thickBot="1" x14ac:dyDescent="0.3">
      <c r="A35" s="41"/>
      <c r="B35" s="7">
        <v>25</v>
      </c>
      <c r="C35" s="1"/>
      <c r="D35" s="6">
        <f t="shared" si="3"/>
        <v>0</v>
      </c>
      <c r="E35" s="19" t="str">
        <f t="shared" si="2"/>
        <v>Em Branco/Folga</v>
      </c>
      <c r="F35" s="26" t="str">
        <f t="shared" si="4"/>
        <v>Em Branco</v>
      </c>
      <c r="G35" s="58">
        <f>(($Z$11)*($N$11+SUM($C$11:C34)+SUM($K$11:K35)+SUM($L$11:L35)))</f>
        <v>0</v>
      </c>
      <c r="H35" s="58">
        <f>((0.01)*($N$11+SUM($C$11:C34)+SUM($K$11:K35)+SUM($L$11:L35))*3)</f>
        <v>0</v>
      </c>
      <c r="I35" s="58">
        <f t="shared" si="1"/>
        <v>0</v>
      </c>
      <c r="J35" s="7">
        <v>25</v>
      </c>
      <c r="K35" s="68"/>
      <c r="L35" s="38"/>
      <c r="M35" s="56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ht="15" customHeight="1" thickTop="1" thickBot="1" x14ac:dyDescent="0.3">
      <c r="A36" s="41"/>
      <c r="B36" s="7">
        <v>26</v>
      </c>
      <c r="C36" s="1"/>
      <c r="D36" s="6">
        <f t="shared" si="3"/>
        <v>0</v>
      </c>
      <c r="E36" s="19" t="str">
        <f t="shared" si="2"/>
        <v>Em Branco/Folga</v>
      </c>
      <c r="F36" s="26" t="str">
        <f t="shared" si="4"/>
        <v>Em Branco</v>
      </c>
      <c r="G36" s="58">
        <f>(($Z$11)*($N$11+SUM($C$11:C35)+SUM($K$11:K36)+SUM($L$11:L36)))</f>
        <v>0</v>
      </c>
      <c r="H36" s="58">
        <f>((0.01)*($N$11+SUM($C$11:C35)+SUM($K$11:K36)+SUM($L$11:L36))*3)</f>
        <v>0</v>
      </c>
      <c r="I36" s="58">
        <f t="shared" si="1"/>
        <v>0</v>
      </c>
      <c r="J36" s="7">
        <v>26</v>
      </c>
      <c r="K36" s="68"/>
      <c r="L36" s="38"/>
      <c r="M36" s="56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  <row r="37" spans="1:28" ht="15" customHeight="1" thickTop="1" thickBot="1" x14ac:dyDescent="0.3">
      <c r="A37" s="41"/>
      <c r="B37" s="7">
        <v>27</v>
      </c>
      <c r="C37" s="1"/>
      <c r="D37" s="6">
        <f t="shared" si="3"/>
        <v>0</v>
      </c>
      <c r="E37" s="19" t="str">
        <f t="shared" si="2"/>
        <v>Em Branco/Folga</v>
      </c>
      <c r="F37" s="26" t="str">
        <f t="shared" si="4"/>
        <v>Em Branco</v>
      </c>
      <c r="G37" s="58">
        <f>(($Z$11)*($N$11+SUM($C$11:C36)+SUM($K$11:K37)+SUM($L$11:L37)))</f>
        <v>0</v>
      </c>
      <c r="H37" s="58">
        <f>((0.01)*($N$11+SUM($C$11:C36)+SUM($K$11:K37)+SUM($L$11:L37))*3)</f>
        <v>0</v>
      </c>
      <c r="I37" s="58">
        <f t="shared" si="1"/>
        <v>0</v>
      </c>
      <c r="J37" s="7">
        <v>27</v>
      </c>
      <c r="K37" s="68"/>
      <c r="L37" s="38"/>
      <c r="M37" s="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</row>
    <row r="38" spans="1:28" ht="15" customHeight="1" thickTop="1" thickBot="1" x14ac:dyDescent="0.3">
      <c r="A38" s="41"/>
      <c r="B38" s="7">
        <v>28</v>
      </c>
      <c r="C38" s="1"/>
      <c r="D38" s="6">
        <f t="shared" si="3"/>
        <v>0</v>
      </c>
      <c r="E38" s="19" t="str">
        <f t="shared" si="2"/>
        <v>Em Branco/Folga</v>
      </c>
      <c r="F38" s="26" t="str">
        <f t="shared" si="4"/>
        <v>Em Branco</v>
      </c>
      <c r="G38" s="58">
        <f>(($Z$11)*($N$11+SUM($C$11:C37)+SUM($K$11:K38)+SUM($L$11:L38)))</f>
        <v>0</v>
      </c>
      <c r="H38" s="58">
        <f>((0.01)*($N$11+SUM($C$11:C37)+SUM($K$11:K38)+SUM($L$11:L38))*3)</f>
        <v>0</v>
      </c>
      <c r="I38" s="58">
        <f t="shared" si="1"/>
        <v>0</v>
      </c>
      <c r="J38" s="7">
        <v>28</v>
      </c>
      <c r="K38" s="68"/>
      <c r="L38" s="38"/>
      <c r="M38" s="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</row>
    <row r="39" spans="1:28" ht="15" customHeight="1" thickTop="1" thickBot="1" x14ac:dyDescent="0.3">
      <c r="A39" s="41"/>
      <c r="B39" s="7">
        <v>29</v>
      </c>
      <c r="C39" s="2"/>
      <c r="D39" s="6">
        <f t="shared" si="3"/>
        <v>0</v>
      </c>
      <c r="E39" s="19" t="str">
        <f t="shared" si="2"/>
        <v>Em Branco/Folga</v>
      </c>
      <c r="F39" s="26" t="str">
        <f t="shared" si="4"/>
        <v>Em Branco</v>
      </c>
      <c r="G39" s="58">
        <f>(($Z$11)*($N$11+SUM($C$11:C38)+SUM($K$11:K39)+SUM($L$11:L39)))</f>
        <v>0</v>
      </c>
      <c r="H39" s="58">
        <f>((0.01)*($N$11+SUM($C$11:C38)+SUM($K$11:K39)+SUM($L$11:L39))*3)</f>
        <v>0</v>
      </c>
      <c r="I39" s="58">
        <f t="shared" si="1"/>
        <v>0</v>
      </c>
      <c r="J39" s="7">
        <v>29</v>
      </c>
      <c r="K39" s="67"/>
      <c r="L39" s="37"/>
      <c r="M39" s="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</row>
    <row r="40" spans="1:28" ht="15" customHeight="1" thickTop="1" thickBot="1" x14ac:dyDescent="0.3">
      <c r="A40" s="41"/>
      <c r="B40" s="7">
        <v>30</v>
      </c>
      <c r="C40" s="1"/>
      <c r="D40" s="6">
        <f t="shared" si="3"/>
        <v>0</v>
      </c>
      <c r="E40" s="19" t="str">
        <f t="shared" si="2"/>
        <v>Em Branco/Folga</v>
      </c>
      <c r="F40" s="26" t="str">
        <f t="shared" si="4"/>
        <v>Em Branco</v>
      </c>
      <c r="G40" s="58">
        <f>(($Z$11)*($N$11+SUM($C$11:C39)+SUM($K$11:K40)+SUM($L$11:L40)))</f>
        <v>0</v>
      </c>
      <c r="H40" s="58">
        <f>((0.01)*($N$11+SUM($C$11:C39)+SUM($K$11:K40)+SUM($L$11:L40))*3)</f>
        <v>0</v>
      </c>
      <c r="I40" s="58">
        <f t="shared" si="1"/>
        <v>0</v>
      </c>
      <c r="J40" s="7">
        <v>30</v>
      </c>
      <c r="K40" s="68"/>
      <c r="L40" s="38"/>
      <c r="M40" s="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</row>
    <row r="41" spans="1:28" ht="15.75" customHeight="1" thickTop="1" thickBot="1" x14ac:dyDescent="0.3">
      <c r="A41" s="41"/>
      <c r="B41" s="8">
        <v>31</v>
      </c>
      <c r="C41" s="3"/>
      <c r="D41" s="9">
        <f t="shared" si="3"/>
        <v>0</v>
      </c>
      <c r="E41" s="20" t="str">
        <f t="shared" si="2"/>
        <v>Em Branco/Folga</v>
      </c>
      <c r="F41" s="27" t="str">
        <f t="shared" si="4"/>
        <v>Em Branco</v>
      </c>
      <c r="G41" s="58">
        <f>(($Z$11)*($N$11+SUM($C$11:C40)+SUM($K$11:K41)+SUM($L$11:L41)))</f>
        <v>0</v>
      </c>
      <c r="H41" s="58">
        <f>((0.01)*($N$11+SUM($C$11:C40)+SUM($K$11:K41)+SUM($L$11:L41))*3)</f>
        <v>0</v>
      </c>
      <c r="I41" s="58">
        <f t="shared" si="1"/>
        <v>0</v>
      </c>
      <c r="J41" s="8">
        <v>31</v>
      </c>
      <c r="K41" s="69"/>
      <c r="L41" s="39"/>
      <c r="M41" s="56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</row>
    <row r="42" spans="1:28" x14ac:dyDescent="0.25">
      <c r="A42" s="41"/>
      <c r="B42" s="41"/>
      <c r="C42" s="41"/>
      <c r="D42" s="51"/>
      <c r="E42" s="41"/>
      <c r="F42" s="42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</row>
  </sheetData>
  <sheetProtection algorithmName="SHA-512" hashValue="NczV4ZlqqAA5na/C28Kn5XmdaRzEuksqQZZPNpR0Qrky79UJSKQxHQ80g6nZkkN7TioAYxwYc9PtXN+9rzTjaw==" saltValue="pAhLE2HMkI0VzsCcX5vRVw==" spinCount="100000" sheet="1" selectLockedCells="1"/>
  <mergeCells count="11">
    <mergeCell ref="D2:E2"/>
    <mergeCell ref="B9:D9"/>
    <mergeCell ref="E9:F9"/>
    <mergeCell ref="J9:L9"/>
    <mergeCell ref="N10:O10"/>
    <mergeCell ref="R10:S10"/>
    <mergeCell ref="V10:W10"/>
    <mergeCell ref="N11:O11"/>
    <mergeCell ref="P11:Q11"/>
    <mergeCell ref="R11:S11"/>
    <mergeCell ref="P10:Q10"/>
  </mergeCells>
  <conditionalFormatting sqref="C11:C31 C41">
    <cfRule type="containsBlanks" dxfId="476" priority="40">
      <formula>LEN(TRIM(C11))=0</formula>
    </cfRule>
    <cfRule type="cellIs" dxfId="475" priority="41" operator="equal">
      <formula>0</formula>
    </cfRule>
    <cfRule type="cellIs" dxfId="474" priority="42" operator="greaterThan">
      <formula>0</formula>
    </cfRule>
    <cfRule type="cellIs" dxfId="473" priority="43" operator="lessThan">
      <formula>0</formula>
    </cfRule>
  </conditionalFormatting>
  <conditionalFormatting sqref="E11:F41">
    <cfRule type="containsText" dxfId="472" priority="37" operator="containsText" text="Não Atingiu">
      <formula>NOT(ISERROR(SEARCH("Não Atingiu",E11)))</formula>
    </cfRule>
    <cfRule type="containsText" dxfId="471" priority="38" operator="containsText" text="Prejuizo">
      <formula>NOT(ISERROR(SEARCH("Prejuizo",E11)))</formula>
    </cfRule>
    <cfRule type="containsText" dxfId="470" priority="39" operator="containsText" text="Atingiu">
      <formula>NOT(ISERROR(SEARCH("Atingiu",E11)))</formula>
    </cfRule>
  </conditionalFormatting>
  <conditionalFormatting sqref="E12:F12">
    <cfRule type="cellIs" dxfId="469" priority="36" operator="equal">
      <formula>"Em Branco/Folga"</formula>
    </cfRule>
  </conditionalFormatting>
  <conditionalFormatting sqref="E11:F11">
    <cfRule type="cellIs" dxfId="468" priority="35" operator="equal">
      <formula>"Em Branco/Folga"</formula>
    </cfRule>
  </conditionalFormatting>
  <conditionalFormatting sqref="E13:F41">
    <cfRule type="cellIs" dxfId="467" priority="34" operator="equal">
      <formula>"Em Branco/Folga"</formula>
    </cfRule>
  </conditionalFormatting>
  <conditionalFormatting sqref="F11">
    <cfRule type="cellIs" dxfId="466" priority="26" operator="equal">
      <formula>"Está Arriscando Sua Banca"</formula>
    </cfRule>
    <cfRule type="cellIs" dxfId="465" priority="31" operator="equal">
      <formula>"Está Se Arriscando Acima De 3%"</formula>
    </cfRule>
    <cfRule type="cellIs" dxfId="464" priority="32" operator="equal">
      <formula>"Parabéns Seguiu Gerenciamento"</formula>
    </cfRule>
    <cfRule type="cellIs" dxfId="463" priority="33" operator="equal">
      <formula>"Em Branco"</formula>
    </cfRule>
  </conditionalFormatting>
  <conditionalFormatting sqref="F12:F41">
    <cfRule type="cellIs" dxfId="462" priority="30" operator="equal">
      <formula>"Em Branco/Folga"</formula>
    </cfRule>
  </conditionalFormatting>
  <conditionalFormatting sqref="F12:F41">
    <cfRule type="cellIs" dxfId="461" priority="27" operator="equal">
      <formula>"Está Se Arriscando Acima De 3%"</formula>
    </cfRule>
    <cfRule type="cellIs" dxfId="460" priority="28" operator="equal">
      <formula>"Parabéns Seguiu Gerenciamento"</formula>
    </cfRule>
    <cfRule type="cellIs" dxfId="459" priority="29" operator="equal">
      <formula>"Em Branco"</formula>
    </cfRule>
  </conditionalFormatting>
  <conditionalFormatting sqref="F12:F41">
    <cfRule type="cellIs" dxfId="458" priority="25" operator="equal">
      <formula>"Em Branco/Folga"</formula>
    </cfRule>
  </conditionalFormatting>
  <conditionalFormatting sqref="F12:F41">
    <cfRule type="cellIs" dxfId="457" priority="21" operator="equal">
      <formula>"Está Arriscando Sua Banca"</formula>
    </cfRule>
    <cfRule type="cellIs" dxfId="456" priority="22" operator="equal">
      <formula>"Está Se Arriscando Acima De 3%"</formula>
    </cfRule>
    <cfRule type="cellIs" dxfId="455" priority="23" operator="equal">
      <formula>"Parabéns Seguiu Gerenciamento"</formula>
    </cfRule>
    <cfRule type="cellIs" dxfId="454" priority="24" operator="equal">
      <formula>"Em Branco"</formula>
    </cfRule>
  </conditionalFormatting>
  <conditionalFormatting sqref="C32:C40">
    <cfRule type="containsBlanks" dxfId="453" priority="17">
      <formula>LEN(TRIM(C32))=0</formula>
    </cfRule>
    <cfRule type="cellIs" dxfId="452" priority="18" operator="equal">
      <formula>0</formula>
    </cfRule>
    <cfRule type="cellIs" dxfId="451" priority="19" operator="greaterThan">
      <formula>0</formula>
    </cfRule>
    <cfRule type="cellIs" dxfId="450" priority="20" operator="lessThan">
      <formula>0</formula>
    </cfRule>
  </conditionalFormatting>
  <conditionalFormatting sqref="K11:K31 K41">
    <cfRule type="containsBlanks" dxfId="449" priority="13">
      <formula>LEN(TRIM(K11))=0</formula>
    </cfRule>
    <cfRule type="cellIs" dxfId="448" priority="14" operator="equal">
      <formula>0</formula>
    </cfRule>
    <cfRule type="cellIs" dxfId="447" priority="15" operator="greaterThan">
      <formula>0</formula>
    </cfRule>
    <cfRule type="cellIs" dxfId="446" priority="16" operator="lessThan">
      <formula>0</formula>
    </cfRule>
  </conditionalFormatting>
  <conditionalFormatting sqref="K32:K40">
    <cfRule type="containsBlanks" dxfId="445" priority="9">
      <formula>LEN(TRIM(K32))=0</formula>
    </cfRule>
    <cfRule type="cellIs" dxfId="444" priority="10" operator="equal">
      <formula>0</formula>
    </cfRule>
    <cfRule type="cellIs" dxfId="443" priority="11" operator="greaterThan">
      <formula>0</formula>
    </cfRule>
    <cfRule type="cellIs" dxfId="442" priority="12" operator="lessThan">
      <formula>0</formula>
    </cfRule>
  </conditionalFormatting>
  <conditionalFormatting sqref="L11:M31 L41:M41">
    <cfRule type="containsBlanks" dxfId="441" priority="5">
      <formula>LEN(TRIM(L11))=0</formula>
    </cfRule>
    <cfRule type="cellIs" dxfId="440" priority="6" operator="equal">
      <formula>0</formula>
    </cfRule>
    <cfRule type="cellIs" dxfId="439" priority="7" operator="greaterThan">
      <formula>0</formula>
    </cfRule>
    <cfRule type="cellIs" dxfId="438" priority="8" operator="lessThan">
      <formula>0</formula>
    </cfRule>
  </conditionalFormatting>
  <conditionalFormatting sqref="L32:M40">
    <cfRule type="containsBlanks" dxfId="437" priority="1">
      <formula>LEN(TRIM(L32))=0</formula>
    </cfRule>
    <cfRule type="cellIs" dxfId="436" priority="2" operator="equal">
      <formula>0</formula>
    </cfRule>
    <cfRule type="cellIs" dxfId="435" priority="3" operator="greaterThan">
      <formula>0</formula>
    </cfRule>
    <cfRule type="cellIs" dxfId="434" priority="4" operator="lessThan">
      <formula>0</formula>
    </cfRule>
  </conditionalFormatting>
  <dataValidations count="7">
    <dataValidation type="decimal" allowBlank="1" showErrorMessage="1" errorTitle="ATENÇÃO" error="APENAS NÚMEROS" sqref="K11:K41" xr:uid="{6E074A0E-8926-495D-89BA-0F8F54369DBE}">
      <formula1>-999999999999999000</formula1>
      <formula2>999999999999999000</formula2>
    </dataValidation>
    <dataValidation type="decimal" allowBlank="1" showInputMessage="1" showErrorMessage="1" errorTitle="ATENÇÃO" error="APENAS NÚMEROS" promptTitle="SAQUES" prompt="COLOCAR SINAL NEGATIVO" sqref="L11:L41" xr:uid="{39031A1E-3DBE-4C44-BA88-B719EAF730BC}">
      <formula1>-999999999999999000</formula1>
      <formula2>999999999999999000</formula2>
    </dataValidation>
    <dataValidation allowBlank="1" showInputMessage="1" showErrorMessage="1" errorTitle="ATENÇÃO" error="SELECIONE O MÊS DE REFERÊNCIA" sqref="J9 M9" xr:uid="{5F4E67FD-1410-4807-89D7-28E06A5F0FE9}"/>
    <dataValidation type="decimal" allowBlank="1" showInputMessage="1" showErrorMessage="1" errorTitle="ATENÇÃO" error="APENAS NÚMEROS" sqref="N11:O11 C11:C41 M11:M41" xr:uid="{E4753033-46FB-4498-BE6B-32B79087545E}">
      <formula1>-999999999999999000</formula1>
      <formula2>999999999999999000</formula2>
    </dataValidation>
    <dataValidation type="list" allowBlank="1" showInputMessage="1" showErrorMessage="1" errorTitle="ATENÇÃO" error="SELECIONE O MÊS DE REFERÊNCIA" sqref="E9" xr:uid="{F26CECC5-D683-46B1-80A9-C6B3A9C2A824}">
      <formula1>$AC$6:$AC$17</formula1>
    </dataValidation>
    <dataValidation type="decimal" allowBlank="1" showInputMessage="1" showErrorMessage="1" errorTitle="GERENCIAMENTO" error="SIGA O GERENCIAMENTO DE 1% A 3%" sqref="Z11" xr:uid="{29F02B5F-0C9B-487A-B6A2-F91798DE6F81}">
      <formula1>0.000001</formula1>
      <formula2>0.03</formula2>
    </dataValidation>
    <dataValidation type="list" allowBlank="1" showInputMessage="1" showErrorMessage="1" sqref="E13:E41" xr:uid="{B40822D9-F3BB-4CCA-B138-096AB76ED396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CBF39-F767-412F-AFFD-15BB673EFAAA}">
  <sheetPr codeName="Planilha10">
    <tabColor rgb="FFFFC000"/>
  </sheetPr>
  <dimension ref="A1:AC42"/>
  <sheetViews>
    <sheetView showGridLines="0" showRowColHeaders="0" zoomScale="85" zoomScaleNormal="85" workbookViewId="0">
      <selection activeCell="E9" sqref="E9:F9"/>
    </sheetView>
  </sheetViews>
  <sheetFormatPr defaultColWidth="0" defaultRowHeight="15" customHeight="1" zeroHeight="1" x14ac:dyDescent="0.25"/>
  <cols>
    <col min="1" max="1" width="3.7109375" style="4" customWidth="1"/>
    <col min="2" max="2" width="4.5703125" style="4" customWidth="1"/>
    <col min="3" max="3" width="12.7109375" style="4" customWidth="1"/>
    <col min="4" max="4" width="12.140625" style="4" customWidth="1"/>
    <col min="5" max="5" width="15.7109375" style="4" customWidth="1"/>
    <col min="6" max="6" width="30.7109375" style="25" customWidth="1"/>
    <col min="7" max="9" width="0.5703125" style="4" customWidth="1"/>
    <col min="10" max="10" width="4.5703125" style="4" customWidth="1"/>
    <col min="11" max="12" width="15.7109375" style="4" customWidth="1"/>
    <col min="13" max="13" width="1.7109375" style="4" customWidth="1"/>
    <col min="14" max="14" width="15.7109375" style="4" customWidth="1"/>
    <col min="15" max="15" width="9.5703125" style="4" bestFit="1" customWidth="1"/>
    <col min="16" max="20" width="9.140625" style="4" customWidth="1"/>
    <col min="21" max="21" width="12.140625" style="4" customWidth="1"/>
    <col min="22" max="22" width="12.85546875" style="4" customWidth="1"/>
    <col min="23" max="23" width="18" style="4" customWidth="1"/>
    <col min="24" max="24" width="13.85546875" style="4" customWidth="1"/>
    <col min="25" max="25" width="15.140625" style="4" customWidth="1"/>
    <col min="26" max="26" width="9.7109375" style="4" bestFit="1" customWidth="1"/>
    <col min="27" max="28" width="2.28515625" style="4" customWidth="1"/>
    <col min="29" max="16384" width="9.140625" style="4" hidden="1"/>
  </cols>
  <sheetData>
    <row r="1" spans="1:29" x14ac:dyDescent="0.25">
      <c r="A1" s="41"/>
      <c r="B1" s="41"/>
      <c r="C1" s="41"/>
      <c r="D1" s="41"/>
      <c r="E1" s="41"/>
      <c r="F1" s="42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3"/>
      <c r="AB1" s="41"/>
      <c r="AC1" s="10">
        <v>0.01</v>
      </c>
    </row>
    <row r="2" spans="1:29" x14ac:dyDescent="0.25">
      <c r="A2" s="41"/>
      <c r="B2" s="41"/>
      <c r="C2" s="44" t="s">
        <v>103</v>
      </c>
      <c r="D2" s="79">
        <f ca="1">TODAY()</f>
        <v>44422</v>
      </c>
      <c r="E2" s="80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59" t="s">
        <v>110</v>
      </c>
      <c r="Z2" s="41"/>
      <c r="AA2" s="43"/>
      <c r="AB2" s="41"/>
      <c r="AC2" s="10"/>
    </row>
    <row r="3" spans="1:29" x14ac:dyDescent="0.25">
      <c r="A3" s="41"/>
      <c r="B3" s="41"/>
      <c r="C3" s="41"/>
      <c r="D3" s="41"/>
      <c r="E3" s="41"/>
      <c r="F3" s="42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3"/>
      <c r="AB3" s="41"/>
      <c r="AC3" s="10"/>
    </row>
    <row r="4" spans="1:29" x14ac:dyDescent="0.25">
      <c r="A4" s="41"/>
      <c r="B4" s="41"/>
      <c r="C4" s="41"/>
      <c r="D4" s="41"/>
      <c r="E4" s="41"/>
      <c r="F4" s="42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3"/>
      <c r="AB4" s="41"/>
      <c r="AC4" s="10">
        <v>0.02</v>
      </c>
    </row>
    <row r="5" spans="1:29" x14ac:dyDescent="0.25">
      <c r="A5" s="41"/>
      <c r="B5" s="41"/>
      <c r="C5" s="41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3"/>
      <c r="AB5" s="41"/>
      <c r="AC5" s="10">
        <v>0.03</v>
      </c>
    </row>
    <row r="6" spans="1:29" x14ac:dyDescent="0.25">
      <c r="A6" s="41"/>
      <c r="B6" s="41"/>
      <c r="C6" s="41"/>
      <c r="D6" s="41"/>
      <c r="E6" s="41"/>
      <c r="F6" s="42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3"/>
      <c r="AB6" s="41"/>
      <c r="AC6" s="11" t="s">
        <v>26</v>
      </c>
    </row>
    <row r="7" spans="1:29" x14ac:dyDescent="0.25">
      <c r="A7" s="41"/>
      <c r="B7" s="41"/>
      <c r="C7" s="41"/>
      <c r="D7" s="41"/>
      <c r="E7" s="41"/>
      <c r="F7" s="42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3"/>
      <c r="AB7" s="41"/>
      <c r="AC7" s="11" t="s">
        <v>27</v>
      </c>
    </row>
    <row r="8" spans="1:29" ht="15.75" thickBot="1" x14ac:dyDescent="0.3">
      <c r="A8" s="41"/>
      <c r="B8" s="41"/>
      <c r="C8" s="41"/>
      <c r="D8" s="41"/>
      <c r="E8" s="41"/>
      <c r="F8" s="42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3"/>
      <c r="AB8" s="41"/>
      <c r="AC8" s="11" t="s">
        <v>28</v>
      </c>
    </row>
    <row r="9" spans="1:29" ht="19.5" thickBot="1" x14ac:dyDescent="0.3">
      <c r="A9" s="41"/>
      <c r="B9" s="81" t="s">
        <v>38</v>
      </c>
      <c r="C9" s="82"/>
      <c r="D9" s="83"/>
      <c r="E9" s="84" t="s">
        <v>28</v>
      </c>
      <c r="F9" s="85"/>
      <c r="G9" s="57"/>
      <c r="H9" s="57"/>
      <c r="I9" s="57"/>
      <c r="J9" s="81" t="s">
        <v>107</v>
      </c>
      <c r="K9" s="82"/>
      <c r="L9" s="88"/>
      <c r="M9" s="55"/>
      <c r="N9" s="5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3"/>
      <c r="AB9" s="41"/>
      <c r="AC9" s="11" t="s">
        <v>29</v>
      </c>
    </row>
    <row r="10" spans="1:29" ht="16.5" thickBot="1" x14ac:dyDescent="0.3">
      <c r="A10" s="41"/>
      <c r="B10" s="60" t="s">
        <v>0</v>
      </c>
      <c r="C10" s="61" t="s">
        <v>1</v>
      </c>
      <c r="D10" s="61" t="s">
        <v>3</v>
      </c>
      <c r="E10" s="61" t="s">
        <v>2</v>
      </c>
      <c r="F10" s="62" t="s">
        <v>105</v>
      </c>
      <c r="G10" s="57"/>
      <c r="H10" s="57"/>
      <c r="I10" s="57"/>
      <c r="J10" s="63" t="s">
        <v>0</v>
      </c>
      <c r="K10" s="64" t="s">
        <v>108</v>
      </c>
      <c r="L10" s="65" t="s">
        <v>109</v>
      </c>
      <c r="M10" s="40"/>
      <c r="N10" s="86" t="s">
        <v>5</v>
      </c>
      <c r="O10" s="87"/>
      <c r="P10" s="87" t="s">
        <v>4</v>
      </c>
      <c r="Q10" s="87"/>
      <c r="R10" s="87" t="s">
        <v>6</v>
      </c>
      <c r="S10" s="87"/>
      <c r="T10" s="53" t="s">
        <v>24</v>
      </c>
      <c r="U10" s="53" t="s">
        <v>23</v>
      </c>
      <c r="V10" s="75" t="s">
        <v>21</v>
      </c>
      <c r="W10" s="75"/>
      <c r="X10" s="53" t="s">
        <v>7</v>
      </c>
      <c r="Y10" s="53" t="s">
        <v>102</v>
      </c>
      <c r="Z10" s="5" t="s">
        <v>25</v>
      </c>
      <c r="AA10" s="43"/>
      <c r="AB10" s="41"/>
      <c r="AC10" s="11" t="s">
        <v>30</v>
      </c>
    </row>
    <row r="11" spans="1:29" ht="16.5" thickBot="1" x14ac:dyDescent="0.3">
      <c r="A11" s="41"/>
      <c r="B11" s="21">
        <v>1</v>
      </c>
      <c r="C11" s="22"/>
      <c r="D11" s="23">
        <f>N11+C11</f>
        <v>0</v>
      </c>
      <c r="E11" s="24" t="str">
        <f>IF(ISBLANK($C11),"Em Branco/Folga",IF($C11&gt;=$G11,"Atingiu",IF($C11&lt;0,"Prejuizo",IF($C11&lt;$G11,"Não Atingiu"))))</f>
        <v>Em Branco/Folga</v>
      </c>
      <c r="F11" s="26" t="str">
        <f t="shared" ref="F11:F15" si="0">IF(ISBLANK($C11),"Em Branco",IF($I11&gt;$C11,"Está Arriscando Sua Banca",IF($C11&lt;=$H11,"Parabéns Seguiu Gerenciamento","Está Se Arriscando Acima De 3%")))</f>
        <v>Em Branco</v>
      </c>
      <c r="G11" s="58">
        <f>(($Z$11)*($N$11+SUM($K$11:K11)+SUM($L$11:L11)))</f>
        <v>0</v>
      </c>
      <c r="H11" s="58">
        <f>((0.01)*($N$11+SUM($K$11:K11)+SUM($L$11:L11))*3)</f>
        <v>0</v>
      </c>
      <c r="I11" s="58">
        <f t="shared" ref="I11:I41" si="1">-$H11</f>
        <v>0</v>
      </c>
      <c r="J11" s="21">
        <v>1</v>
      </c>
      <c r="K11" s="66"/>
      <c r="L11" s="36"/>
      <c r="M11" s="56"/>
      <c r="N11" s="76">
        <v>0</v>
      </c>
      <c r="O11" s="77"/>
      <c r="P11" s="78">
        <f>Z11*R11</f>
        <v>0</v>
      </c>
      <c r="Q11" s="78"/>
      <c r="R11" s="78">
        <f>(SUM(N11+SUM(C11:C41)))+(SUM(K11:K41))+(SUM(L11:L41))</f>
        <v>0</v>
      </c>
      <c r="S11" s="78"/>
      <c r="T11" s="52">
        <f>P11*0.2</f>
        <v>0</v>
      </c>
      <c r="U11" s="46">
        <f>R11*0.03</f>
        <v>0</v>
      </c>
      <c r="V11" s="47">
        <f>(R11)-(N11)-(SUM(K11:K41))-(SUM(L11:L41))</f>
        <v>0</v>
      </c>
      <c r="W11" s="48">
        <f>V11*Y11</f>
        <v>0</v>
      </c>
      <c r="X11" s="49" t="e">
        <f>(($R$11-$N$11)/$N$11)</f>
        <v>#DIV/0!</v>
      </c>
      <c r="Y11" s="18">
        <f>COTAÇÃO!B6/1000000</f>
        <v>5.2</v>
      </c>
      <c r="Z11" s="73">
        <v>0.01</v>
      </c>
      <c r="AA11" s="43"/>
      <c r="AB11" s="41"/>
      <c r="AC11" s="11" t="s">
        <v>31</v>
      </c>
    </row>
    <row r="12" spans="1:29" ht="15" customHeight="1" thickTop="1" thickBot="1" x14ac:dyDescent="0.3">
      <c r="A12" s="41"/>
      <c r="B12" s="7">
        <v>2</v>
      </c>
      <c r="C12" s="2"/>
      <c r="D12" s="6">
        <f>D11+C12</f>
        <v>0</v>
      </c>
      <c r="E12" s="19" t="str">
        <f>IF(ISBLANK($C12),"Em Branco/Folga",IF($C12&gt;=$G12,"Atingiu",IF($C12&lt;0,"Prejuizo",IF($C12&lt;$G12,"Não Atingiu"))))</f>
        <v>Em Branco/Folga</v>
      </c>
      <c r="F12" s="26" t="str">
        <f t="shared" si="0"/>
        <v>Em Branco</v>
      </c>
      <c r="G12" s="58">
        <f>(($Z$11)*($N$11+SUM($C$11:C11)+SUM($K$11:K12)+SUM($L$11:L12)))</f>
        <v>0</v>
      </c>
      <c r="H12" s="58">
        <f>((0.01)*($N$11+SUM($C$11:C11)+SUM($K$11:K12)+SUM($L$11:L12))*3)</f>
        <v>0</v>
      </c>
      <c r="I12" s="58">
        <f t="shared" si="1"/>
        <v>0</v>
      </c>
      <c r="J12" s="7">
        <v>2</v>
      </c>
      <c r="K12" s="67"/>
      <c r="L12" s="37"/>
      <c r="M12" s="56"/>
      <c r="N12" s="50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3"/>
      <c r="AB12" s="41"/>
      <c r="AC12" s="11" t="s">
        <v>32</v>
      </c>
    </row>
    <row r="13" spans="1:29" ht="15" customHeight="1" thickTop="1" thickBot="1" x14ac:dyDescent="0.3">
      <c r="A13" s="41"/>
      <c r="B13" s="7">
        <v>3</v>
      </c>
      <c r="C13" s="1"/>
      <c r="D13" s="6">
        <f>D12+C13</f>
        <v>0</v>
      </c>
      <c r="E13" s="19" t="str">
        <f t="shared" ref="E13:E41" si="2">IF(ISBLANK($C13),"Em Branco/Folga",IF($C13&gt;=$G13,"Atingiu",IF($C13&lt;0,"Prejuizo",IF($C13&lt;$G13,"Não Atingiu"))))</f>
        <v>Em Branco/Folga</v>
      </c>
      <c r="F13" s="26" t="str">
        <f t="shared" si="0"/>
        <v>Em Branco</v>
      </c>
      <c r="G13" s="58">
        <f>(($Z$11)*($N$11+SUM($C$11:C12)+SUM($K$11:K13)+SUM($L$11:L13)))</f>
        <v>0</v>
      </c>
      <c r="H13" s="58">
        <f>((0.01)*($N$11+SUM($C$11:C12)+SUM($K$11:K13)+SUM($L$11:L13))*3)</f>
        <v>0</v>
      </c>
      <c r="I13" s="58">
        <f t="shared" si="1"/>
        <v>0</v>
      </c>
      <c r="J13" s="7">
        <v>3</v>
      </c>
      <c r="K13" s="68"/>
      <c r="L13" s="38"/>
      <c r="M13" s="56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3"/>
      <c r="AB13" s="41"/>
      <c r="AC13" s="11" t="s">
        <v>33</v>
      </c>
    </row>
    <row r="14" spans="1:29" ht="15" customHeight="1" thickTop="1" thickBot="1" x14ac:dyDescent="0.3">
      <c r="A14" s="41"/>
      <c r="B14" s="7">
        <v>4</v>
      </c>
      <c r="C14" s="2"/>
      <c r="D14" s="6">
        <f>D13+C14</f>
        <v>0</v>
      </c>
      <c r="E14" s="19" t="str">
        <f t="shared" si="2"/>
        <v>Em Branco/Folga</v>
      </c>
      <c r="F14" s="26" t="str">
        <f t="shared" si="0"/>
        <v>Em Branco</v>
      </c>
      <c r="G14" s="58">
        <f>(($Z$11)*($N$11+SUM($C$11:C13)+SUM($K$11:K14)+SUM($L$11:L14)))</f>
        <v>0</v>
      </c>
      <c r="H14" s="58">
        <f>((0.01)*($N$11+SUM($C$11:C13)+SUM($K$11:K14)+SUM($L$11:L14))*3)</f>
        <v>0</v>
      </c>
      <c r="I14" s="58">
        <f t="shared" si="1"/>
        <v>0</v>
      </c>
      <c r="J14" s="7">
        <v>4</v>
      </c>
      <c r="K14" s="67"/>
      <c r="L14" s="37"/>
      <c r="M14" s="56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3"/>
      <c r="AB14" s="41"/>
      <c r="AC14" s="11" t="s">
        <v>34</v>
      </c>
    </row>
    <row r="15" spans="1:29" ht="15" customHeight="1" thickTop="1" thickBot="1" x14ac:dyDescent="0.3">
      <c r="A15" s="41"/>
      <c r="B15" s="7">
        <v>5</v>
      </c>
      <c r="C15" s="1"/>
      <c r="D15" s="6">
        <f>D14+C15</f>
        <v>0</v>
      </c>
      <c r="E15" s="19" t="str">
        <f t="shared" si="2"/>
        <v>Em Branco/Folga</v>
      </c>
      <c r="F15" s="26" t="str">
        <f t="shared" si="0"/>
        <v>Em Branco</v>
      </c>
      <c r="G15" s="58">
        <f>(($Z$11)*($N$11+SUM($C$11:C14)+SUM($K$11:K15)+SUM($L$11:L15)))</f>
        <v>0</v>
      </c>
      <c r="H15" s="58">
        <f>((0.01)*($N$11+SUM($C$11:C14)+SUM($K$11:K15)+SUM($L$11:L15))*3)</f>
        <v>0</v>
      </c>
      <c r="I15" s="58">
        <f t="shared" si="1"/>
        <v>0</v>
      </c>
      <c r="J15" s="7">
        <v>5</v>
      </c>
      <c r="K15" s="68"/>
      <c r="L15" s="38"/>
      <c r="M15" s="56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3"/>
      <c r="AB15" s="41"/>
      <c r="AC15" s="11" t="s">
        <v>35</v>
      </c>
    </row>
    <row r="16" spans="1:29" ht="15" customHeight="1" thickTop="1" thickBot="1" x14ac:dyDescent="0.3">
      <c r="A16" s="41"/>
      <c r="B16" s="7">
        <v>6</v>
      </c>
      <c r="C16" s="2"/>
      <c r="D16" s="6">
        <f>D15+C16</f>
        <v>0</v>
      </c>
      <c r="E16" s="19" t="str">
        <f t="shared" si="2"/>
        <v>Em Branco/Folga</v>
      </c>
      <c r="F16" s="26" t="str">
        <f>IF(ISBLANK($C16),"Em Branco",IF($I16&gt;$C16,"Está Arriscando Sua Banca",IF($C16&lt;=$H16,"Parabéns Seguiu Gerenciamento","Está Se Arriscando Acima De 3%")))</f>
        <v>Em Branco</v>
      </c>
      <c r="G16" s="58">
        <f>(($Z$11)*($N$11+SUM($C$11:C15)+SUM($K$11:K16)+SUM($L$11:L16)))</f>
        <v>0</v>
      </c>
      <c r="H16" s="58">
        <f>((0.01)*($N$11+SUM($C$11:C15)+SUM($K$11:K16)+SUM($L$11:L16))*3)</f>
        <v>0</v>
      </c>
      <c r="I16" s="58">
        <f t="shared" si="1"/>
        <v>0</v>
      </c>
      <c r="J16" s="7">
        <v>6</v>
      </c>
      <c r="K16" s="67"/>
      <c r="L16" s="37"/>
      <c r="M16" s="56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3"/>
      <c r="AB16" s="41"/>
      <c r="AC16" s="11" t="s">
        <v>36</v>
      </c>
    </row>
    <row r="17" spans="1:29" ht="15" customHeight="1" thickTop="1" thickBot="1" x14ac:dyDescent="0.3">
      <c r="A17" s="41"/>
      <c r="B17" s="7">
        <v>7</v>
      </c>
      <c r="C17" s="1"/>
      <c r="D17" s="6">
        <f t="shared" ref="D17:D41" si="3">D16+C17</f>
        <v>0</v>
      </c>
      <c r="E17" s="19" t="str">
        <f t="shared" si="2"/>
        <v>Em Branco/Folga</v>
      </c>
      <c r="F17" s="26" t="str">
        <f t="shared" ref="F17:F41" si="4">IF(ISBLANK($C17),"Em Branco",IF(I17&gt;C17,"Está Arriscando Sua Banca",IF($C17&lt;=$H17,"Parabéns Seguiu Gerenciamento","Está Se Arriscando Acima De 3%")))</f>
        <v>Em Branco</v>
      </c>
      <c r="G17" s="58">
        <f>(($Z$11)*($N$11+SUM($C$11:C16)+SUM($K$11:K17)+SUM($L$11:L17)))</f>
        <v>0</v>
      </c>
      <c r="H17" s="58">
        <f>((0.01)*($N$11+SUM($C$11:C16)+SUM($K$11:K17)+SUM($L$11:L17))*3)</f>
        <v>0</v>
      </c>
      <c r="I17" s="58">
        <f t="shared" si="1"/>
        <v>0</v>
      </c>
      <c r="J17" s="7">
        <v>7</v>
      </c>
      <c r="K17" s="68"/>
      <c r="L17" s="38"/>
      <c r="M17" s="56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3"/>
      <c r="AB17" s="41"/>
      <c r="AC17" s="11" t="s">
        <v>37</v>
      </c>
    </row>
    <row r="18" spans="1:29" ht="15" customHeight="1" thickTop="1" thickBot="1" x14ac:dyDescent="0.3">
      <c r="A18" s="41"/>
      <c r="B18" s="7">
        <v>8</v>
      </c>
      <c r="C18" s="2"/>
      <c r="D18" s="6">
        <f t="shared" si="3"/>
        <v>0</v>
      </c>
      <c r="E18" s="19" t="str">
        <f t="shared" si="2"/>
        <v>Em Branco/Folga</v>
      </c>
      <c r="F18" s="26" t="str">
        <f t="shared" si="4"/>
        <v>Em Branco</v>
      </c>
      <c r="G18" s="58">
        <f>(($Z$11)*($N$11+SUM($C$11:C17)+SUM($K$11:K18)+SUM($L$11:L18)))</f>
        <v>0</v>
      </c>
      <c r="H18" s="58">
        <f>((0.01)*($N$11+SUM($C$11:C17)+SUM($K$11:K18)+SUM($L$11:L18))*3)</f>
        <v>0</v>
      </c>
      <c r="I18" s="58">
        <f t="shared" si="1"/>
        <v>0</v>
      </c>
      <c r="J18" s="7">
        <v>8</v>
      </c>
      <c r="K18" s="67"/>
      <c r="L18" s="37"/>
      <c r="M18" s="56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3"/>
      <c r="AB18" s="41"/>
      <c r="AC18" s="12"/>
    </row>
    <row r="19" spans="1:29" ht="15" customHeight="1" thickTop="1" thickBot="1" x14ac:dyDescent="0.3">
      <c r="A19" s="41"/>
      <c r="B19" s="7">
        <v>9</v>
      </c>
      <c r="C19" s="1"/>
      <c r="D19" s="6">
        <f t="shared" si="3"/>
        <v>0</v>
      </c>
      <c r="E19" s="19" t="str">
        <f t="shared" si="2"/>
        <v>Em Branco/Folga</v>
      </c>
      <c r="F19" s="26" t="str">
        <f t="shared" si="4"/>
        <v>Em Branco</v>
      </c>
      <c r="G19" s="58">
        <f>(($Z$11)*($N$11+SUM($C$11:C18)+SUM($K$11:K19)+SUM($L$11:L19)))</f>
        <v>0</v>
      </c>
      <c r="H19" s="58">
        <f>((0.01)*($N$11+SUM($C$11:C18)+SUM($K$11:K19)+SUM($L$11:L19))*3)</f>
        <v>0</v>
      </c>
      <c r="I19" s="58">
        <f t="shared" si="1"/>
        <v>0</v>
      </c>
      <c r="J19" s="7">
        <v>9</v>
      </c>
      <c r="K19" s="68"/>
      <c r="L19" s="38"/>
      <c r="M19" s="56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3"/>
      <c r="AB19" s="41"/>
      <c r="AC19" s="12"/>
    </row>
    <row r="20" spans="1:29" ht="15" customHeight="1" thickTop="1" thickBot="1" x14ac:dyDescent="0.3">
      <c r="A20" s="41"/>
      <c r="B20" s="7">
        <v>10</v>
      </c>
      <c r="C20" s="2"/>
      <c r="D20" s="6">
        <f t="shared" si="3"/>
        <v>0</v>
      </c>
      <c r="E20" s="19" t="str">
        <f t="shared" si="2"/>
        <v>Em Branco/Folga</v>
      </c>
      <c r="F20" s="26" t="str">
        <f t="shared" si="4"/>
        <v>Em Branco</v>
      </c>
      <c r="G20" s="58">
        <f>(($Z$11)*($N$11+SUM($C$11:C19)+SUM($K$11:K20)+SUM($L$11:L20)))</f>
        <v>0</v>
      </c>
      <c r="H20" s="58">
        <f>((0.01)*($N$11+SUM($C$11:C19)+SUM($K$11:K20)+SUM($L$11:L20))*3)</f>
        <v>0</v>
      </c>
      <c r="I20" s="58">
        <f t="shared" si="1"/>
        <v>0</v>
      </c>
      <c r="J20" s="7">
        <v>10</v>
      </c>
      <c r="K20" s="67"/>
      <c r="L20" s="37"/>
      <c r="M20" s="56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3"/>
      <c r="AB20" s="41"/>
      <c r="AC20" s="12"/>
    </row>
    <row r="21" spans="1:29" ht="15" customHeight="1" thickTop="1" thickBot="1" x14ac:dyDescent="0.3">
      <c r="A21" s="41"/>
      <c r="B21" s="7">
        <v>11</v>
      </c>
      <c r="C21" s="1"/>
      <c r="D21" s="6">
        <f t="shared" si="3"/>
        <v>0</v>
      </c>
      <c r="E21" s="19" t="str">
        <f t="shared" si="2"/>
        <v>Em Branco/Folga</v>
      </c>
      <c r="F21" s="26" t="str">
        <f t="shared" si="4"/>
        <v>Em Branco</v>
      </c>
      <c r="G21" s="58">
        <f>(($Z$11)*($N$11+SUM($C$11:C20)+SUM($K$11:K21)+SUM($L$11:L21)))</f>
        <v>0</v>
      </c>
      <c r="H21" s="58">
        <f>((0.01)*($N$11+SUM($C$11:C20)+SUM($K$11:K21)+SUM($L$11:L21))*3)</f>
        <v>0</v>
      </c>
      <c r="I21" s="58">
        <f t="shared" si="1"/>
        <v>0</v>
      </c>
      <c r="J21" s="7">
        <v>11</v>
      </c>
      <c r="K21" s="68"/>
      <c r="L21" s="38"/>
      <c r="M21" s="56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12"/>
    </row>
    <row r="22" spans="1:29" ht="15" customHeight="1" thickTop="1" thickBot="1" x14ac:dyDescent="0.3">
      <c r="A22" s="41"/>
      <c r="B22" s="7">
        <v>12</v>
      </c>
      <c r="C22" s="2"/>
      <c r="D22" s="6">
        <f t="shared" si="3"/>
        <v>0</v>
      </c>
      <c r="E22" s="19" t="str">
        <f t="shared" si="2"/>
        <v>Em Branco/Folga</v>
      </c>
      <c r="F22" s="26" t="str">
        <f t="shared" si="4"/>
        <v>Em Branco</v>
      </c>
      <c r="G22" s="58">
        <f>(($Z$11)*($N$11+SUM($C$11:C21)+SUM($K$11:K22)+SUM($L$11:L22)))</f>
        <v>0</v>
      </c>
      <c r="H22" s="58">
        <f>((0.01)*($N$11+SUM($C$11:C21)+SUM($K$11:K22)+SUM($L$11:L22))*3)</f>
        <v>0</v>
      </c>
      <c r="I22" s="58">
        <f t="shared" si="1"/>
        <v>0</v>
      </c>
      <c r="J22" s="7">
        <v>12</v>
      </c>
      <c r="K22" s="67"/>
      <c r="L22" s="37"/>
      <c r="M22" s="56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12"/>
    </row>
    <row r="23" spans="1:29" ht="15" customHeight="1" thickTop="1" thickBot="1" x14ac:dyDescent="0.3">
      <c r="A23" s="41"/>
      <c r="B23" s="7">
        <v>13</v>
      </c>
      <c r="C23" s="1"/>
      <c r="D23" s="6">
        <f t="shared" si="3"/>
        <v>0</v>
      </c>
      <c r="E23" s="19" t="str">
        <f t="shared" si="2"/>
        <v>Em Branco/Folga</v>
      </c>
      <c r="F23" s="26" t="str">
        <f t="shared" si="4"/>
        <v>Em Branco</v>
      </c>
      <c r="G23" s="58">
        <f>(($Z$11)*($N$11+SUM($C$11:C22)+SUM($K$11:K23)+SUM($L$11:L23)))</f>
        <v>0</v>
      </c>
      <c r="H23" s="58">
        <f>((0.01)*($N$11+SUM($C$11:C22)+SUM($K$11:K23)+SUM($L$11:L23))*3)</f>
        <v>0</v>
      </c>
      <c r="I23" s="58">
        <f t="shared" si="1"/>
        <v>0</v>
      </c>
      <c r="J23" s="7">
        <v>13</v>
      </c>
      <c r="K23" s="68"/>
      <c r="L23" s="38"/>
      <c r="M23" s="56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12"/>
    </row>
    <row r="24" spans="1:29" ht="15" customHeight="1" thickTop="1" thickBot="1" x14ac:dyDescent="0.3">
      <c r="A24" s="41"/>
      <c r="B24" s="7">
        <v>14</v>
      </c>
      <c r="C24" s="2"/>
      <c r="D24" s="6">
        <f t="shared" si="3"/>
        <v>0</v>
      </c>
      <c r="E24" s="19" t="str">
        <f t="shared" si="2"/>
        <v>Em Branco/Folga</v>
      </c>
      <c r="F24" s="26" t="str">
        <f t="shared" si="4"/>
        <v>Em Branco</v>
      </c>
      <c r="G24" s="58">
        <f>(($Z$11)*($N$11+SUM($C$11:C23)+SUM($K$11:K24)+SUM($L$11:L24)))</f>
        <v>0</v>
      </c>
      <c r="H24" s="58">
        <f>((0.01)*($N$11+SUM($C$11:C23)+SUM($K$11:K24)+SUM($L$11:L24))*3)</f>
        <v>0</v>
      </c>
      <c r="I24" s="58">
        <f t="shared" si="1"/>
        <v>0</v>
      </c>
      <c r="J24" s="7">
        <v>14</v>
      </c>
      <c r="K24" s="67"/>
      <c r="L24" s="37"/>
      <c r="M24" s="56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12"/>
    </row>
    <row r="25" spans="1:29" ht="15" customHeight="1" thickTop="1" thickBot="1" x14ac:dyDescent="0.3">
      <c r="A25" s="41"/>
      <c r="B25" s="7">
        <v>15</v>
      </c>
      <c r="C25" s="1"/>
      <c r="D25" s="6">
        <f t="shared" si="3"/>
        <v>0</v>
      </c>
      <c r="E25" s="19" t="str">
        <f t="shared" si="2"/>
        <v>Em Branco/Folga</v>
      </c>
      <c r="F25" s="26" t="str">
        <f t="shared" si="4"/>
        <v>Em Branco</v>
      </c>
      <c r="G25" s="58">
        <f>(($Z$11)*($N$11+SUM($C$11:C24)+SUM($K$11:K25)+SUM($L$11:L25)))</f>
        <v>0</v>
      </c>
      <c r="H25" s="58">
        <f>((0.01)*($N$11+SUM($C$11:C24)+SUM($K$11:K25)+SUM($L$11:L25))*3)</f>
        <v>0</v>
      </c>
      <c r="I25" s="58">
        <f t="shared" si="1"/>
        <v>0</v>
      </c>
      <c r="J25" s="7">
        <v>15</v>
      </c>
      <c r="K25" s="68"/>
      <c r="L25" s="38"/>
      <c r="M25" s="56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12"/>
    </row>
    <row r="26" spans="1:29" ht="15" customHeight="1" thickTop="1" thickBot="1" x14ac:dyDescent="0.3">
      <c r="A26" s="41"/>
      <c r="B26" s="7">
        <v>16</v>
      </c>
      <c r="C26" s="2"/>
      <c r="D26" s="6">
        <f t="shared" si="3"/>
        <v>0</v>
      </c>
      <c r="E26" s="19" t="str">
        <f t="shared" si="2"/>
        <v>Em Branco/Folga</v>
      </c>
      <c r="F26" s="26" t="str">
        <f t="shared" si="4"/>
        <v>Em Branco</v>
      </c>
      <c r="G26" s="58">
        <f>(($Z$11)*($N$11+SUM($C$11:C25)+SUM($K$11:K26)+SUM($L$11:L26)))</f>
        <v>0</v>
      </c>
      <c r="H26" s="58">
        <f>((0.01)*($N$11+SUM($C$11:C25)+SUM($K$11:K26)+SUM($L$11:L26))*3)</f>
        <v>0</v>
      </c>
      <c r="I26" s="58">
        <f t="shared" si="1"/>
        <v>0</v>
      </c>
      <c r="J26" s="7">
        <v>16</v>
      </c>
      <c r="K26" s="67"/>
      <c r="L26" s="37"/>
      <c r="M26" s="56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12"/>
    </row>
    <row r="27" spans="1:29" ht="15" customHeight="1" thickTop="1" thickBot="1" x14ac:dyDescent="0.3">
      <c r="A27" s="41"/>
      <c r="B27" s="7">
        <v>17</v>
      </c>
      <c r="C27" s="1"/>
      <c r="D27" s="6">
        <f t="shared" si="3"/>
        <v>0</v>
      </c>
      <c r="E27" s="19" t="str">
        <f t="shared" si="2"/>
        <v>Em Branco/Folga</v>
      </c>
      <c r="F27" s="26" t="str">
        <f t="shared" si="4"/>
        <v>Em Branco</v>
      </c>
      <c r="G27" s="58">
        <f>(($Z$11)*($N$11+SUM($C$11:C26)+SUM($K$11:K27)+SUM($L$11:L27)))</f>
        <v>0</v>
      </c>
      <c r="H27" s="58">
        <f>((0.01)*($N$11+SUM($C$11:C26)+SUM($K$11:K27)+SUM($L$11:L27))*3)</f>
        <v>0</v>
      </c>
      <c r="I27" s="58">
        <f t="shared" si="1"/>
        <v>0</v>
      </c>
      <c r="J27" s="7">
        <v>17</v>
      </c>
      <c r="K27" s="68"/>
      <c r="L27" s="38"/>
      <c r="M27" s="56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12"/>
    </row>
    <row r="28" spans="1:29" ht="15" customHeight="1" thickTop="1" thickBot="1" x14ac:dyDescent="0.3">
      <c r="A28" s="41"/>
      <c r="B28" s="7">
        <v>18</v>
      </c>
      <c r="C28" s="2"/>
      <c r="D28" s="6">
        <f t="shared" si="3"/>
        <v>0</v>
      </c>
      <c r="E28" s="19" t="str">
        <f t="shared" si="2"/>
        <v>Em Branco/Folga</v>
      </c>
      <c r="F28" s="26" t="str">
        <f t="shared" si="4"/>
        <v>Em Branco</v>
      </c>
      <c r="G28" s="58">
        <f>(($Z$11)*($N$11+SUM($C$11:C27)+SUM($K$11:K28)+SUM($L$11:L28)))</f>
        <v>0</v>
      </c>
      <c r="H28" s="58">
        <f>((0.01)*($N$11+SUM($C$11:C27)+SUM($K$11:K28)+SUM($L$11:L28))*3)</f>
        <v>0</v>
      </c>
      <c r="I28" s="58">
        <f t="shared" si="1"/>
        <v>0</v>
      </c>
      <c r="J28" s="7">
        <v>18</v>
      </c>
      <c r="K28" s="67"/>
      <c r="L28" s="37"/>
      <c r="M28" s="56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12"/>
    </row>
    <row r="29" spans="1:29" ht="15" customHeight="1" thickTop="1" thickBot="1" x14ac:dyDescent="0.3">
      <c r="A29" s="41"/>
      <c r="B29" s="7">
        <v>19</v>
      </c>
      <c r="C29" s="1"/>
      <c r="D29" s="6">
        <f t="shared" si="3"/>
        <v>0</v>
      </c>
      <c r="E29" s="19" t="str">
        <f t="shared" si="2"/>
        <v>Em Branco/Folga</v>
      </c>
      <c r="F29" s="26" t="str">
        <f t="shared" si="4"/>
        <v>Em Branco</v>
      </c>
      <c r="G29" s="58">
        <f>(($Z$11)*($N$11+SUM($C$11:C28)+SUM($K$11:K29)+SUM($L$11:L29)))</f>
        <v>0</v>
      </c>
      <c r="H29" s="58">
        <f>((0.01)*($N$11+SUM($C$11:C28)+SUM($K$11:K29)+SUM($L$11:L29))*3)</f>
        <v>0</v>
      </c>
      <c r="I29" s="58">
        <f t="shared" si="1"/>
        <v>0</v>
      </c>
      <c r="J29" s="7">
        <v>19</v>
      </c>
      <c r="K29" s="68"/>
      <c r="L29" s="38"/>
      <c r="M29" s="56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12"/>
    </row>
    <row r="30" spans="1:29" ht="15" customHeight="1" thickTop="1" thickBot="1" x14ac:dyDescent="0.3">
      <c r="A30" s="41"/>
      <c r="B30" s="7">
        <v>20</v>
      </c>
      <c r="C30" s="2"/>
      <c r="D30" s="6">
        <f t="shared" si="3"/>
        <v>0</v>
      </c>
      <c r="E30" s="19" t="str">
        <f t="shared" si="2"/>
        <v>Em Branco/Folga</v>
      </c>
      <c r="F30" s="26" t="str">
        <f t="shared" si="4"/>
        <v>Em Branco</v>
      </c>
      <c r="G30" s="58">
        <f>(($Z$11)*($N$11+SUM($C$11:C29)+SUM($K$11:K30)+SUM($L$11:L30)))</f>
        <v>0</v>
      </c>
      <c r="H30" s="58">
        <f>((0.01)*($N$11+SUM($C$11:C29)+SUM($K$11:K30)+SUM($L$11:L30))*3)</f>
        <v>0</v>
      </c>
      <c r="I30" s="58">
        <f t="shared" si="1"/>
        <v>0</v>
      </c>
      <c r="J30" s="7">
        <v>20</v>
      </c>
      <c r="K30" s="67"/>
      <c r="L30" s="37"/>
      <c r="M30" s="56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12"/>
    </row>
    <row r="31" spans="1:29" ht="15" customHeight="1" thickTop="1" thickBot="1" x14ac:dyDescent="0.3">
      <c r="A31" s="41"/>
      <c r="B31" s="7">
        <v>21</v>
      </c>
      <c r="C31" s="1"/>
      <c r="D31" s="6">
        <f t="shared" si="3"/>
        <v>0</v>
      </c>
      <c r="E31" s="19" t="str">
        <f t="shared" si="2"/>
        <v>Em Branco/Folga</v>
      </c>
      <c r="F31" s="26" t="str">
        <f t="shared" si="4"/>
        <v>Em Branco</v>
      </c>
      <c r="G31" s="58">
        <f>(($Z$11)*($N$11+SUM($C$11:C30)+SUM($K$11:K31)+SUM($L$11:L31)))</f>
        <v>0</v>
      </c>
      <c r="H31" s="58">
        <f>((0.01)*($N$11+SUM($C$11:C30)+SUM($K$11:K31)+SUM($L$11:L31))*3)</f>
        <v>0</v>
      </c>
      <c r="I31" s="58">
        <f t="shared" si="1"/>
        <v>0</v>
      </c>
      <c r="J31" s="7">
        <v>21</v>
      </c>
      <c r="K31" s="68"/>
      <c r="L31" s="38"/>
      <c r="M31" s="56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12"/>
    </row>
    <row r="32" spans="1:29" ht="15" customHeight="1" thickTop="1" thickBot="1" x14ac:dyDescent="0.3">
      <c r="A32" s="41"/>
      <c r="B32" s="7">
        <v>22</v>
      </c>
      <c r="C32" s="1"/>
      <c r="D32" s="6">
        <f t="shared" si="3"/>
        <v>0</v>
      </c>
      <c r="E32" s="19" t="str">
        <f t="shared" si="2"/>
        <v>Em Branco/Folga</v>
      </c>
      <c r="F32" s="26" t="str">
        <f t="shared" si="4"/>
        <v>Em Branco</v>
      </c>
      <c r="G32" s="58">
        <f>(($Z$11)*($N$11+SUM($C$11:C31)+SUM($K$11:K32)+SUM($L$11:L32)))</f>
        <v>0</v>
      </c>
      <c r="H32" s="58">
        <f>((0.01)*($N$11+SUM($C$11:C31)+SUM($K$11:K32)+SUM($L$11:L32))*3)</f>
        <v>0</v>
      </c>
      <c r="I32" s="58">
        <f t="shared" si="1"/>
        <v>0</v>
      </c>
      <c r="J32" s="7">
        <v>22</v>
      </c>
      <c r="K32" s="68"/>
      <c r="L32" s="38"/>
      <c r="M32" s="56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ht="15" customHeight="1" thickTop="1" thickBot="1" x14ac:dyDescent="0.3">
      <c r="A33" s="41"/>
      <c r="B33" s="7">
        <v>23</v>
      </c>
      <c r="C33" s="1"/>
      <c r="D33" s="6">
        <f t="shared" si="3"/>
        <v>0</v>
      </c>
      <c r="E33" s="19" t="str">
        <f t="shared" si="2"/>
        <v>Em Branco/Folga</v>
      </c>
      <c r="F33" s="26" t="str">
        <f t="shared" si="4"/>
        <v>Em Branco</v>
      </c>
      <c r="G33" s="58">
        <f>(($Z$11)*($N$11+SUM($C$11:C32)+SUM($K$11:K33)+SUM($L$11:L33)))</f>
        <v>0</v>
      </c>
      <c r="H33" s="58">
        <f>((0.01)*($N$11+SUM($C$11:C32)+SUM($K$11:K33)+SUM($L$11:L33))*3)</f>
        <v>0</v>
      </c>
      <c r="I33" s="58">
        <f t="shared" si="1"/>
        <v>0</v>
      </c>
      <c r="J33" s="7">
        <v>23</v>
      </c>
      <c r="K33" s="68"/>
      <c r="L33" s="38"/>
      <c r="M33" s="56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ht="15" customHeight="1" thickTop="1" thickBot="1" x14ac:dyDescent="0.3">
      <c r="A34" s="41"/>
      <c r="B34" s="7">
        <v>24</v>
      </c>
      <c r="C34" s="1"/>
      <c r="D34" s="6">
        <f t="shared" si="3"/>
        <v>0</v>
      </c>
      <c r="E34" s="19" t="str">
        <f t="shared" si="2"/>
        <v>Em Branco/Folga</v>
      </c>
      <c r="F34" s="26" t="str">
        <f t="shared" si="4"/>
        <v>Em Branco</v>
      </c>
      <c r="G34" s="58">
        <f>(($Z$11)*($N$11+SUM($C$11:C33)+SUM($K$11:K34)+SUM($L$11:L34)))</f>
        <v>0</v>
      </c>
      <c r="H34" s="58">
        <f>((0.01)*($N$11+SUM($C$11:C33)+SUM($K$11:K34)+SUM($L$11:L34))*3)</f>
        <v>0</v>
      </c>
      <c r="I34" s="58">
        <f t="shared" si="1"/>
        <v>0</v>
      </c>
      <c r="J34" s="7">
        <v>24</v>
      </c>
      <c r="K34" s="68"/>
      <c r="L34" s="38"/>
      <c r="M34" s="56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ht="15" customHeight="1" thickTop="1" thickBot="1" x14ac:dyDescent="0.3">
      <c r="A35" s="41"/>
      <c r="B35" s="7">
        <v>25</v>
      </c>
      <c r="C35" s="1"/>
      <c r="D35" s="6">
        <f t="shared" si="3"/>
        <v>0</v>
      </c>
      <c r="E35" s="19" t="str">
        <f t="shared" si="2"/>
        <v>Em Branco/Folga</v>
      </c>
      <c r="F35" s="26" t="str">
        <f t="shared" si="4"/>
        <v>Em Branco</v>
      </c>
      <c r="G35" s="58">
        <f>(($Z$11)*($N$11+SUM($C$11:C34)+SUM($K$11:K35)+SUM($L$11:L35)))</f>
        <v>0</v>
      </c>
      <c r="H35" s="58">
        <f>((0.01)*($N$11+SUM($C$11:C34)+SUM($K$11:K35)+SUM($L$11:L35))*3)</f>
        <v>0</v>
      </c>
      <c r="I35" s="58">
        <f t="shared" si="1"/>
        <v>0</v>
      </c>
      <c r="J35" s="7">
        <v>25</v>
      </c>
      <c r="K35" s="68"/>
      <c r="L35" s="38"/>
      <c r="M35" s="56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ht="15" customHeight="1" thickTop="1" thickBot="1" x14ac:dyDescent="0.3">
      <c r="A36" s="41"/>
      <c r="B36" s="7">
        <v>26</v>
      </c>
      <c r="C36" s="1"/>
      <c r="D36" s="6">
        <f t="shared" si="3"/>
        <v>0</v>
      </c>
      <c r="E36" s="19" t="str">
        <f t="shared" si="2"/>
        <v>Em Branco/Folga</v>
      </c>
      <c r="F36" s="26" t="str">
        <f t="shared" si="4"/>
        <v>Em Branco</v>
      </c>
      <c r="G36" s="58">
        <f>(($Z$11)*($N$11+SUM($C$11:C35)+SUM($K$11:K36)+SUM($L$11:L36)))</f>
        <v>0</v>
      </c>
      <c r="H36" s="58">
        <f>((0.01)*($N$11+SUM($C$11:C35)+SUM($K$11:K36)+SUM($L$11:L36))*3)</f>
        <v>0</v>
      </c>
      <c r="I36" s="58">
        <f t="shared" si="1"/>
        <v>0</v>
      </c>
      <c r="J36" s="7">
        <v>26</v>
      </c>
      <c r="K36" s="68"/>
      <c r="L36" s="38"/>
      <c r="M36" s="56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  <row r="37" spans="1:28" ht="15" customHeight="1" thickTop="1" thickBot="1" x14ac:dyDescent="0.3">
      <c r="A37" s="41"/>
      <c r="B37" s="7">
        <v>27</v>
      </c>
      <c r="C37" s="1"/>
      <c r="D37" s="6">
        <f t="shared" si="3"/>
        <v>0</v>
      </c>
      <c r="E37" s="19" t="str">
        <f t="shared" si="2"/>
        <v>Em Branco/Folga</v>
      </c>
      <c r="F37" s="26" t="str">
        <f t="shared" si="4"/>
        <v>Em Branco</v>
      </c>
      <c r="G37" s="58">
        <f>(($Z$11)*($N$11+SUM($C$11:C36)+SUM($K$11:K37)+SUM($L$11:L37)))</f>
        <v>0</v>
      </c>
      <c r="H37" s="58">
        <f>((0.01)*($N$11+SUM($C$11:C36)+SUM($K$11:K37)+SUM($L$11:L37))*3)</f>
        <v>0</v>
      </c>
      <c r="I37" s="58">
        <f t="shared" si="1"/>
        <v>0</v>
      </c>
      <c r="J37" s="7">
        <v>27</v>
      </c>
      <c r="K37" s="68"/>
      <c r="L37" s="38"/>
      <c r="M37" s="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</row>
    <row r="38" spans="1:28" ht="15" customHeight="1" thickTop="1" thickBot="1" x14ac:dyDescent="0.3">
      <c r="A38" s="41"/>
      <c r="B38" s="7">
        <v>28</v>
      </c>
      <c r="C38" s="1"/>
      <c r="D38" s="6">
        <f t="shared" si="3"/>
        <v>0</v>
      </c>
      <c r="E38" s="19" t="str">
        <f t="shared" si="2"/>
        <v>Em Branco/Folga</v>
      </c>
      <c r="F38" s="26" t="str">
        <f t="shared" si="4"/>
        <v>Em Branco</v>
      </c>
      <c r="G38" s="58">
        <f>(($Z$11)*($N$11+SUM($C$11:C37)+SUM($K$11:K38)+SUM($L$11:L38)))</f>
        <v>0</v>
      </c>
      <c r="H38" s="58">
        <f>((0.01)*($N$11+SUM($C$11:C37)+SUM($K$11:K38)+SUM($L$11:L38))*3)</f>
        <v>0</v>
      </c>
      <c r="I38" s="58">
        <f t="shared" si="1"/>
        <v>0</v>
      </c>
      <c r="J38" s="7">
        <v>28</v>
      </c>
      <c r="K38" s="68"/>
      <c r="L38" s="38"/>
      <c r="M38" s="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</row>
    <row r="39" spans="1:28" ht="15" customHeight="1" thickTop="1" thickBot="1" x14ac:dyDescent="0.3">
      <c r="A39" s="41"/>
      <c r="B39" s="7">
        <v>29</v>
      </c>
      <c r="C39" s="2"/>
      <c r="D39" s="6">
        <f t="shared" si="3"/>
        <v>0</v>
      </c>
      <c r="E39" s="19" t="str">
        <f t="shared" si="2"/>
        <v>Em Branco/Folga</v>
      </c>
      <c r="F39" s="26" t="str">
        <f t="shared" si="4"/>
        <v>Em Branco</v>
      </c>
      <c r="G39" s="58">
        <f>(($Z$11)*($N$11+SUM($C$11:C38)+SUM($K$11:K39)+SUM($L$11:L39)))</f>
        <v>0</v>
      </c>
      <c r="H39" s="58">
        <f>((0.01)*($N$11+SUM($C$11:C38)+SUM($K$11:K39)+SUM($L$11:L39))*3)</f>
        <v>0</v>
      </c>
      <c r="I39" s="58">
        <f t="shared" si="1"/>
        <v>0</v>
      </c>
      <c r="J39" s="7">
        <v>29</v>
      </c>
      <c r="K39" s="67"/>
      <c r="L39" s="37"/>
      <c r="M39" s="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</row>
    <row r="40" spans="1:28" ht="15" customHeight="1" thickTop="1" thickBot="1" x14ac:dyDescent="0.3">
      <c r="A40" s="41"/>
      <c r="B40" s="7">
        <v>30</v>
      </c>
      <c r="C40" s="1"/>
      <c r="D40" s="6">
        <f t="shared" si="3"/>
        <v>0</v>
      </c>
      <c r="E40" s="19" t="str">
        <f t="shared" si="2"/>
        <v>Em Branco/Folga</v>
      </c>
      <c r="F40" s="26" t="str">
        <f t="shared" si="4"/>
        <v>Em Branco</v>
      </c>
      <c r="G40" s="58">
        <f>(($Z$11)*($N$11+SUM($C$11:C39)+SUM($K$11:K40)+SUM($L$11:L40)))</f>
        <v>0</v>
      </c>
      <c r="H40" s="58">
        <f>((0.01)*($N$11+SUM($C$11:C39)+SUM($K$11:K40)+SUM($L$11:L40))*3)</f>
        <v>0</v>
      </c>
      <c r="I40" s="58">
        <f t="shared" si="1"/>
        <v>0</v>
      </c>
      <c r="J40" s="7">
        <v>30</v>
      </c>
      <c r="K40" s="68"/>
      <c r="L40" s="38"/>
      <c r="M40" s="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</row>
    <row r="41" spans="1:28" ht="15.75" customHeight="1" thickTop="1" thickBot="1" x14ac:dyDescent="0.3">
      <c r="A41" s="41"/>
      <c r="B41" s="8">
        <v>31</v>
      </c>
      <c r="C41" s="3"/>
      <c r="D41" s="9">
        <f t="shared" si="3"/>
        <v>0</v>
      </c>
      <c r="E41" s="20" t="str">
        <f t="shared" si="2"/>
        <v>Em Branco/Folga</v>
      </c>
      <c r="F41" s="27" t="str">
        <f t="shared" si="4"/>
        <v>Em Branco</v>
      </c>
      <c r="G41" s="58">
        <f>(($Z$11)*($N$11+SUM($C$11:C40)+SUM($K$11:K41)+SUM($L$11:L41)))</f>
        <v>0</v>
      </c>
      <c r="H41" s="58">
        <f>((0.01)*($N$11+SUM($C$11:C40)+SUM($K$11:K41)+SUM($L$11:L41))*3)</f>
        <v>0</v>
      </c>
      <c r="I41" s="58">
        <f t="shared" si="1"/>
        <v>0</v>
      </c>
      <c r="J41" s="8">
        <v>31</v>
      </c>
      <c r="K41" s="69"/>
      <c r="L41" s="39"/>
      <c r="M41" s="56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</row>
    <row r="42" spans="1:28" x14ac:dyDescent="0.25">
      <c r="A42" s="41"/>
      <c r="B42" s="41"/>
      <c r="C42" s="41"/>
      <c r="D42" s="51"/>
      <c r="E42" s="41"/>
      <c r="F42" s="42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</row>
  </sheetData>
  <sheetProtection algorithmName="SHA-512" hashValue="TJoqTkNTPodtqljXchUvmkq1qYfKyZ+5+s70t6EXE/aKb7ngC2JYefxcbzTiFlOpOBysJnY+z7lnrQJTghlWRw==" saltValue="lrcmLRkRy1m1nICAOuUEEQ==" spinCount="100000" sheet="1" selectLockedCells="1"/>
  <mergeCells count="11">
    <mergeCell ref="D2:E2"/>
    <mergeCell ref="B9:D9"/>
    <mergeCell ref="E9:F9"/>
    <mergeCell ref="J9:L9"/>
    <mergeCell ref="N10:O10"/>
    <mergeCell ref="R10:S10"/>
    <mergeCell ref="V10:W10"/>
    <mergeCell ref="N11:O11"/>
    <mergeCell ref="P11:Q11"/>
    <mergeCell ref="R11:S11"/>
    <mergeCell ref="P10:Q10"/>
  </mergeCells>
  <conditionalFormatting sqref="C11:C31 C41">
    <cfRule type="containsBlanks" dxfId="433" priority="40">
      <formula>LEN(TRIM(C11))=0</formula>
    </cfRule>
    <cfRule type="cellIs" dxfId="432" priority="41" operator="equal">
      <formula>0</formula>
    </cfRule>
    <cfRule type="cellIs" dxfId="431" priority="42" operator="greaterThan">
      <formula>0</formula>
    </cfRule>
    <cfRule type="cellIs" dxfId="430" priority="43" operator="lessThan">
      <formula>0</formula>
    </cfRule>
  </conditionalFormatting>
  <conditionalFormatting sqref="E11:F41">
    <cfRule type="containsText" dxfId="429" priority="37" operator="containsText" text="Não Atingiu">
      <formula>NOT(ISERROR(SEARCH("Não Atingiu",E11)))</formula>
    </cfRule>
    <cfRule type="containsText" dxfId="428" priority="38" operator="containsText" text="Prejuizo">
      <formula>NOT(ISERROR(SEARCH("Prejuizo",E11)))</formula>
    </cfRule>
    <cfRule type="containsText" dxfId="427" priority="39" operator="containsText" text="Atingiu">
      <formula>NOT(ISERROR(SEARCH("Atingiu",E11)))</formula>
    </cfRule>
  </conditionalFormatting>
  <conditionalFormatting sqref="E12:F12">
    <cfRule type="cellIs" dxfId="426" priority="36" operator="equal">
      <formula>"Em Branco/Folga"</formula>
    </cfRule>
  </conditionalFormatting>
  <conditionalFormatting sqref="E11:F11">
    <cfRule type="cellIs" dxfId="425" priority="35" operator="equal">
      <formula>"Em Branco/Folga"</formula>
    </cfRule>
  </conditionalFormatting>
  <conditionalFormatting sqref="E13:F41">
    <cfRule type="cellIs" dxfId="424" priority="34" operator="equal">
      <formula>"Em Branco/Folga"</formula>
    </cfRule>
  </conditionalFormatting>
  <conditionalFormatting sqref="F11">
    <cfRule type="cellIs" dxfId="423" priority="26" operator="equal">
      <formula>"Está Arriscando Sua Banca"</formula>
    </cfRule>
    <cfRule type="cellIs" dxfId="422" priority="31" operator="equal">
      <formula>"Está Se Arriscando Acima De 3%"</formula>
    </cfRule>
    <cfRule type="cellIs" dxfId="421" priority="32" operator="equal">
      <formula>"Parabéns Seguiu Gerenciamento"</formula>
    </cfRule>
    <cfRule type="cellIs" dxfId="420" priority="33" operator="equal">
      <formula>"Em Branco"</formula>
    </cfRule>
  </conditionalFormatting>
  <conditionalFormatting sqref="F12:F41">
    <cfRule type="cellIs" dxfId="419" priority="30" operator="equal">
      <formula>"Em Branco/Folga"</formula>
    </cfRule>
  </conditionalFormatting>
  <conditionalFormatting sqref="F12:F41">
    <cfRule type="cellIs" dxfId="418" priority="27" operator="equal">
      <formula>"Está Se Arriscando Acima De 3%"</formula>
    </cfRule>
    <cfRule type="cellIs" dxfId="417" priority="28" operator="equal">
      <formula>"Parabéns Seguiu Gerenciamento"</formula>
    </cfRule>
    <cfRule type="cellIs" dxfId="416" priority="29" operator="equal">
      <formula>"Em Branco"</formula>
    </cfRule>
  </conditionalFormatting>
  <conditionalFormatting sqref="F12:F41">
    <cfRule type="cellIs" dxfId="415" priority="25" operator="equal">
      <formula>"Em Branco/Folga"</formula>
    </cfRule>
  </conditionalFormatting>
  <conditionalFormatting sqref="F12:F41">
    <cfRule type="cellIs" dxfId="414" priority="21" operator="equal">
      <formula>"Está Arriscando Sua Banca"</formula>
    </cfRule>
    <cfRule type="cellIs" dxfId="413" priority="22" operator="equal">
      <formula>"Está Se Arriscando Acima De 3%"</formula>
    </cfRule>
    <cfRule type="cellIs" dxfId="412" priority="23" operator="equal">
      <formula>"Parabéns Seguiu Gerenciamento"</formula>
    </cfRule>
    <cfRule type="cellIs" dxfId="411" priority="24" operator="equal">
      <formula>"Em Branco"</formula>
    </cfRule>
  </conditionalFormatting>
  <conditionalFormatting sqref="C32:C40">
    <cfRule type="containsBlanks" dxfId="410" priority="17">
      <formula>LEN(TRIM(C32))=0</formula>
    </cfRule>
    <cfRule type="cellIs" dxfId="409" priority="18" operator="equal">
      <formula>0</formula>
    </cfRule>
    <cfRule type="cellIs" dxfId="408" priority="19" operator="greaterThan">
      <formula>0</formula>
    </cfRule>
    <cfRule type="cellIs" dxfId="407" priority="20" operator="lessThan">
      <formula>0</formula>
    </cfRule>
  </conditionalFormatting>
  <conditionalFormatting sqref="K11:K31 K41">
    <cfRule type="containsBlanks" dxfId="406" priority="13">
      <formula>LEN(TRIM(K11))=0</formula>
    </cfRule>
    <cfRule type="cellIs" dxfId="405" priority="14" operator="equal">
      <formula>0</formula>
    </cfRule>
    <cfRule type="cellIs" dxfId="404" priority="15" operator="greaterThan">
      <formula>0</formula>
    </cfRule>
    <cfRule type="cellIs" dxfId="403" priority="16" operator="lessThan">
      <formula>0</formula>
    </cfRule>
  </conditionalFormatting>
  <conditionalFormatting sqref="K32:K40">
    <cfRule type="containsBlanks" dxfId="402" priority="9">
      <formula>LEN(TRIM(K32))=0</formula>
    </cfRule>
    <cfRule type="cellIs" dxfId="401" priority="10" operator="equal">
      <formula>0</formula>
    </cfRule>
    <cfRule type="cellIs" dxfId="400" priority="11" operator="greaterThan">
      <formula>0</formula>
    </cfRule>
    <cfRule type="cellIs" dxfId="399" priority="12" operator="lessThan">
      <formula>0</formula>
    </cfRule>
  </conditionalFormatting>
  <conditionalFormatting sqref="L11:M31 L41:M41">
    <cfRule type="containsBlanks" dxfId="398" priority="5">
      <formula>LEN(TRIM(L11))=0</formula>
    </cfRule>
    <cfRule type="cellIs" dxfId="397" priority="6" operator="equal">
      <formula>0</formula>
    </cfRule>
    <cfRule type="cellIs" dxfId="396" priority="7" operator="greaterThan">
      <formula>0</formula>
    </cfRule>
    <cfRule type="cellIs" dxfId="395" priority="8" operator="lessThan">
      <formula>0</formula>
    </cfRule>
  </conditionalFormatting>
  <conditionalFormatting sqref="L32:M40">
    <cfRule type="containsBlanks" dxfId="394" priority="1">
      <formula>LEN(TRIM(L32))=0</formula>
    </cfRule>
    <cfRule type="cellIs" dxfId="393" priority="2" operator="equal">
      <formula>0</formula>
    </cfRule>
    <cfRule type="cellIs" dxfId="392" priority="3" operator="greaterThan">
      <formula>0</formula>
    </cfRule>
    <cfRule type="cellIs" dxfId="391" priority="4" operator="lessThan">
      <formula>0</formula>
    </cfRule>
  </conditionalFormatting>
  <dataValidations count="7">
    <dataValidation type="list" allowBlank="1" showInputMessage="1" showErrorMessage="1" sqref="E13:E41" xr:uid="{B7D94816-4ED8-47BC-80C3-64F513E203EA}">
      <formula1>#REF!</formula1>
    </dataValidation>
    <dataValidation type="decimal" allowBlank="1" showInputMessage="1" showErrorMessage="1" errorTitle="GERENCIAMENTO" error="SIGA O GERENCIAMENTO DE 1% A 3%" sqref="Z11" xr:uid="{8574F612-E2A2-42FB-A0BA-6A464BBB152C}">
      <formula1>0.000001</formula1>
      <formula2>0.03</formula2>
    </dataValidation>
    <dataValidation type="list" allowBlank="1" showInputMessage="1" showErrorMessage="1" errorTitle="ATENÇÃO" error="SELECIONE O MÊS DE REFERÊNCIA" sqref="E9" xr:uid="{08430B8C-81F5-4D81-A88C-10F2D0C130B9}">
      <formula1>$AC$6:$AC$17</formula1>
    </dataValidation>
    <dataValidation type="decimal" allowBlank="1" showInputMessage="1" showErrorMessage="1" errorTitle="ATENÇÃO" error="APENAS NÚMEROS" sqref="N11:O11 C11:C41 M11:M41" xr:uid="{EE28CE91-3AFC-47CA-866B-237F14C8F960}">
      <formula1>-999999999999999000</formula1>
      <formula2>999999999999999000</formula2>
    </dataValidation>
    <dataValidation allowBlank="1" showInputMessage="1" showErrorMessage="1" errorTitle="ATENÇÃO" error="SELECIONE O MÊS DE REFERÊNCIA" sqref="J9 M9" xr:uid="{CEA0CAF7-7141-4826-B21E-063CD22B602C}"/>
    <dataValidation type="decimal" allowBlank="1" showInputMessage="1" showErrorMessage="1" errorTitle="ATENÇÃO" error="APENAS NÚMEROS" promptTitle="SAQUES" prompt="COLOCAR SINAL NEGATIVO" sqref="L11:L41" xr:uid="{D52FF1D1-CA42-4481-A1A9-0E52DFFFB64C}">
      <formula1>-999999999999999000</formula1>
      <formula2>999999999999999000</formula2>
    </dataValidation>
    <dataValidation type="decimal" allowBlank="1" showErrorMessage="1" errorTitle="ATENÇÃO" error="APENAS NÚMEROS" sqref="K11:K41" xr:uid="{76C30567-5028-4777-8736-5E57B4BC3704}">
      <formula1>-999999999999999000</formula1>
      <formula2>999999999999999000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B745A-67F3-4548-8B01-31793BA1CA1D}">
  <sheetPr codeName="Planilha11">
    <tabColor rgb="FFFFC000"/>
  </sheetPr>
  <dimension ref="A1:AC42"/>
  <sheetViews>
    <sheetView showGridLines="0" showRowColHeaders="0" zoomScale="85" zoomScaleNormal="85" workbookViewId="0">
      <selection activeCell="E9" sqref="E9:F9"/>
    </sheetView>
  </sheetViews>
  <sheetFormatPr defaultColWidth="0" defaultRowHeight="15" customHeight="1" zeroHeight="1" x14ac:dyDescent="0.25"/>
  <cols>
    <col min="1" max="1" width="3.7109375" style="4" customWidth="1"/>
    <col min="2" max="2" width="4.5703125" style="4" customWidth="1"/>
    <col min="3" max="3" width="12.7109375" style="4" customWidth="1"/>
    <col min="4" max="4" width="12.140625" style="4" customWidth="1"/>
    <col min="5" max="5" width="15.7109375" style="4" customWidth="1"/>
    <col min="6" max="6" width="30.7109375" style="25" customWidth="1"/>
    <col min="7" max="9" width="0.5703125" style="4" customWidth="1"/>
    <col min="10" max="10" width="4.5703125" style="4" customWidth="1"/>
    <col min="11" max="12" width="15.7109375" style="4" customWidth="1"/>
    <col min="13" max="13" width="1.7109375" style="4" customWidth="1"/>
    <col min="14" max="14" width="15.7109375" style="4" customWidth="1"/>
    <col min="15" max="15" width="9.5703125" style="4" bestFit="1" customWidth="1"/>
    <col min="16" max="20" width="9.140625" style="4" customWidth="1"/>
    <col min="21" max="21" width="12.140625" style="4" customWidth="1"/>
    <col min="22" max="22" width="12.85546875" style="4" customWidth="1"/>
    <col min="23" max="23" width="18" style="4" customWidth="1"/>
    <col min="24" max="24" width="13.85546875" style="4" customWidth="1"/>
    <col min="25" max="25" width="15.140625" style="4" customWidth="1"/>
    <col min="26" max="26" width="9.7109375" style="4" bestFit="1" customWidth="1"/>
    <col min="27" max="28" width="2.28515625" style="4" customWidth="1"/>
    <col min="29" max="16384" width="9.140625" style="4" hidden="1"/>
  </cols>
  <sheetData>
    <row r="1" spans="1:29" x14ac:dyDescent="0.25">
      <c r="A1" s="41"/>
      <c r="B1" s="41"/>
      <c r="C1" s="41"/>
      <c r="D1" s="41"/>
      <c r="E1" s="41"/>
      <c r="F1" s="42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3"/>
      <c r="AB1" s="41"/>
      <c r="AC1" s="10">
        <v>0.01</v>
      </c>
    </row>
    <row r="2" spans="1:29" x14ac:dyDescent="0.25">
      <c r="A2" s="41"/>
      <c r="B2" s="41"/>
      <c r="C2" s="44" t="s">
        <v>103</v>
      </c>
      <c r="D2" s="79">
        <f ca="1">TODAY()</f>
        <v>44422</v>
      </c>
      <c r="E2" s="80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59" t="s">
        <v>110</v>
      </c>
      <c r="Z2" s="41"/>
      <c r="AA2" s="43"/>
      <c r="AB2" s="41"/>
      <c r="AC2" s="10"/>
    </row>
    <row r="3" spans="1:29" x14ac:dyDescent="0.25">
      <c r="A3" s="41"/>
      <c r="B3" s="41"/>
      <c r="C3" s="41"/>
      <c r="D3" s="41"/>
      <c r="E3" s="41"/>
      <c r="F3" s="42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3"/>
      <c r="AB3" s="41"/>
      <c r="AC3" s="10"/>
    </row>
    <row r="4" spans="1:29" x14ac:dyDescent="0.25">
      <c r="A4" s="41"/>
      <c r="B4" s="41"/>
      <c r="C4" s="41"/>
      <c r="D4" s="41"/>
      <c r="E4" s="41"/>
      <c r="F4" s="42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3"/>
      <c r="AB4" s="41"/>
      <c r="AC4" s="10">
        <v>0.02</v>
      </c>
    </row>
    <row r="5" spans="1:29" x14ac:dyDescent="0.25">
      <c r="A5" s="41"/>
      <c r="B5" s="41"/>
      <c r="C5" s="41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3"/>
      <c r="AB5" s="41"/>
      <c r="AC5" s="10">
        <v>0.03</v>
      </c>
    </row>
    <row r="6" spans="1:29" x14ac:dyDescent="0.25">
      <c r="A6" s="41"/>
      <c r="B6" s="41"/>
      <c r="C6" s="41"/>
      <c r="D6" s="41"/>
      <c r="E6" s="41"/>
      <c r="F6" s="42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3"/>
      <c r="AB6" s="41"/>
      <c r="AC6" s="11" t="s">
        <v>26</v>
      </c>
    </row>
    <row r="7" spans="1:29" x14ac:dyDescent="0.25">
      <c r="A7" s="41"/>
      <c r="B7" s="41"/>
      <c r="C7" s="41"/>
      <c r="D7" s="41"/>
      <c r="E7" s="41"/>
      <c r="F7" s="42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3"/>
      <c r="AB7" s="41"/>
      <c r="AC7" s="11" t="s">
        <v>27</v>
      </c>
    </row>
    <row r="8" spans="1:29" ht="15.75" thickBot="1" x14ac:dyDescent="0.3">
      <c r="A8" s="41"/>
      <c r="B8" s="41"/>
      <c r="C8" s="41"/>
      <c r="D8" s="41"/>
      <c r="E8" s="41"/>
      <c r="F8" s="42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3"/>
      <c r="AB8" s="41"/>
      <c r="AC8" s="11" t="s">
        <v>28</v>
      </c>
    </row>
    <row r="9" spans="1:29" ht="19.5" thickBot="1" x14ac:dyDescent="0.3">
      <c r="A9" s="41"/>
      <c r="B9" s="81" t="s">
        <v>38</v>
      </c>
      <c r="C9" s="82"/>
      <c r="D9" s="83"/>
      <c r="E9" s="84" t="s">
        <v>29</v>
      </c>
      <c r="F9" s="85"/>
      <c r="G9" s="57"/>
      <c r="H9" s="57"/>
      <c r="I9" s="57"/>
      <c r="J9" s="81" t="s">
        <v>107</v>
      </c>
      <c r="K9" s="82"/>
      <c r="L9" s="88"/>
      <c r="M9" s="55"/>
      <c r="N9" s="5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3"/>
      <c r="AB9" s="41"/>
      <c r="AC9" s="11" t="s">
        <v>29</v>
      </c>
    </row>
    <row r="10" spans="1:29" ht="16.5" thickBot="1" x14ac:dyDescent="0.3">
      <c r="A10" s="41"/>
      <c r="B10" s="60" t="s">
        <v>0</v>
      </c>
      <c r="C10" s="61" t="s">
        <v>1</v>
      </c>
      <c r="D10" s="61" t="s">
        <v>3</v>
      </c>
      <c r="E10" s="61" t="s">
        <v>2</v>
      </c>
      <c r="F10" s="62" t="s">
        <v>105</v>
      </c>
      <c r="G10" s="57"/>
      <c r="H10" s="57"/>
      <c r="I10" s="57"/>
      <c r="J10" s="63" t="s">
        <v>0</v>
      </c>
      <c r="K10" s="64" t="s">
        <v>108</v>
      </c>
      <c r="L10" s="65" t="s">
        <v>109</v>
      </c>
      <c r="M10" s="40"/>
      <c r="N10" s="86" t="s">
        <v>5</v>
      </c>
      <c r="O10" s="87"/>
      <c r="P10" s="87" t="s">
        <v>4</v>
      </c>
      <c r="Q10" s="87"/>
      <c r="R10" s="87" t="s">
        <v>6</v>
      </c>
      <c r="S10" s="87"/>
      <c r="T10" s="53" t="s">
        <v>24</v>
      </c>
      <c r="U10" s="53" t="s">
        <v>23</v>
      </c>
      <c r="V10" s="75" t="s">
        <v>21</v>
      </c>
      <c r="W10" s="75"/>
      <c r="X10" s="53" t="s">
        <v>7</v>
      </c>
      <c r="Y10" s="53" t="s">
        <v>102</v>
      </c>
      <c r="Z10" s="5" t="s">
        <v>25</v>
      </c>
      <c r="AA10" s="43"/>
      <c r="AB10" s="41"/>
      <c r="AC10" s="11" t="s">
        <v>30</v>
      </c>
    </row>
    <row r="11" spans="1:29" ht="16.5" thickBot="1" x14ac:dyDescent="0.3">
      <c r="A11" s="41"/>
      <c r="B11" s="21">
        <v>1</v>
      </c>
      <c r="C11" s="22"/>
      <c r="D11" s="23">
        <f>N11+C11</f>
        <v>0</v>
      </c>
      <c r="E11" s="24" t="str">
        <f>IF(ISBLANK($C11),"Em Branco/Folga",IF($C11&gt;=$G11,"Atingiu",IF($C11&lt;0,"Prejuizo",IF($C11&lt;$G11,"Não Atingiu"))))</f>
        <v>Em Branco/Folga</v>
      </c>
      <c r="F11" s="26" t="str">
        <f t="shared" ref="F11:F15" si="0">IF(ISBLANK($C11),"Em Branco",IF($I11&gt;$C11,"Está Arriscando Sua Banca",IF($C11&lt;=$H11,"Parabéns Seguiu Gerenciamento","Está Se Arriscando Acima De 3%")))</f>
        <v>Em Branco</v>
      </c>
      <c r="G11" s="58">
        <f>(($Z$11)*($N$11+SUM($K$11:K11)+SUM($L$11:L11)))</f>
        <v>0</v>
      </c>
      <c r="H11" s="58">
        <f>((0.01)*($N$11+SUM($K$11:K11)+SUM($L$11:L11))*3)</f>
        <v>0</v>
      </c>
      <c r="I11" s="58">
        <f t="shared" ref="I11:I41" si="1">-$H11</f>
        <v>0</v>
      </c>
      <c r="J11" s="21">
        <v>1</v>
      </c>
      <c r="K11" s="66"/>
      <c r="L11" s="36"/>
      <c r="M11" s="56"/>
      <c r="N11" s="76">
        <v>0</v>
      </c>
      <c r="O11" s="77"/>
      <c r="P11" s="78">
        <f>Z11*R11</f>
        <v>0</v>
      </c>
      <c r="Q11" s="78"/>
      <c r="R11" s="78">
        <f>(SUM(N11+SUM(C11:C41)))+(SUM(K11:K41))+(SUM(L11:L41))</f>
        <v>0</v>
      </c>
      <c r="S11" s="78"/>
      <c r="T11" s="52">
        <f>P11*0.2</f>
        <v>0</v>
      </c>
      <c r="U11" s="46">
        <f>R11*0.03</f>
        <v>0</v>
      </c>
      <c r="V11" s="47">
        <f>(R11)-(N11)-(SUM(K11:K41))-(SUM(L11:L41))</f>
        <v>0</v>
      </c>
      <c r="W11" s="48">
        <f>V11*Y11</f>
        <v>0</v>
      </c>
      <c r="X11" s="49" t="e">
        <f>(($R$11-$N$11)/$N$11)</f>
        <v>#DIV/0!</v>
      </c>
      <c r="Y11" s="18">
        <f>COTAÇÃO!B6/1000000</f>
        <v>5.2</v>
      </c>
      <c r="Z11" s="73">
        <v>0.01</v>
      </c>
      <c r="AA11" s="43"/>
      <c r="AB11" s="41"/>
      <c r="AC11" s="11" t="s">
        <v>31</v>
      </c>
    </row>
    <row r="12" spans="1:29" ht="15" customHeight="1" thickTop="1" thickBot="1" x14ac:dyDescent="0.3">
      <c r="A12" s="41"/>
      <c r="B12" s="7">
        <v>2</v>
      </c>
      <c r="C12" s="2"/>
      <c r="D12" s="6">
        <f>D11+C12</f>
        <v>0</v>
      </c>
      <c r="E12" s="19" t="str">
        <f>IF(ISBLANK($C12),"Em Branco/Folga",IF($C12&gt;=$G12,"Atingiu",IF($C12&lt;0,"Prejuizo",IF($C12&lt;$G12,"Não Atingiu"))))</f>
        <v>Em Branco/Folga</v>
      </c>
      <c r="F12" s="26" t="str">
        <f t="shared" si="0"/>
        <v>Em Branco</v>
      </c>
      <c r="G12" s="58">
        <f>(($Z$11)*($N$11+SUM($C$11:C11)+SUM($K$11:K12)+SUM($L$11:L12)))</f>
        <v>0</v>
      </c>
      <c r="H12" s="58">
        <f>((0.01)*($N$11+SUM($C$11:C11)+SUM($K$11:K12)+SUM($L$11:L12))*3)</f>
        <v>0</v>
      </c>
      <c r="I12" s="58">
        <f t="shared" si="1"/>
        <v>0</v>
      </c>
      <c r="J12" s="7">
        <v>2</v>
      </c>
      <c r="K12" s="67"/>
      <c r="L12" s="37"/>
      <c r="M12" s="56"/>
      <c r="N12" s="50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3"/>
      <c r="AB12" s="41"/>
      <c r="AC12" s="11" t="s">
        <v>32</v>
      </c>
    </row>
    <row r="13" spans="1:29" ht="15" customHeight="1" thickTop="1" thickBot="1" x14ac:dyDescent="0.3">
      <c r="A13" s="41"/>
      <c r="B13" s="7">
        <v>3</v>
      </c>
      <c r="C13" s="1"/>
      <c r="D13" s="6">
        <f>D12+C13</f>
        <v>0</v>
      </c>
      <c r="E13" s="19" t="str">
        <f t="shared" ref="E13:E41" si="2">IF(ISBLANK($C13),"Em Branco/Folga",IF($C13&gt;=$G13,"Atingiu",IF($C13&lt;0,"Prejuizo",IF($C13&lt;$G13,"Não Atingiu"))))</f>
        <v>Em Branco/Folga</v>
      </c>
      <c r="F13" s="26" t="str">
        <f t="shared" si="0"/>
        <v>Em Branco</v>
      </c>
      <c r="G13" s="58">
        <f>(($Z$11)*($N$11+SUM($C$11:C12)+SUM($K$11:K13)+SUM($L$11:L13)))</f>
        <v>0</v>
      </c>
      <c r="H13" s="58">
        <f>((0.01)*($N$11+SUM($C$11:C12)+SUM($K$11:K13)+SUM($L$11:L13))*3)</f>
        <v>0</v>
      </c>
      <c r="I13" s="58">
        <f t="shared" si="1"/>
        <v>0</v>
      </c>
      <c r="J13" s="7">
        <v>3</v>
      </c>
      <c r="K13" s="68"/>
      <c r="L13" s="38"/>
      <c r="M13" s="56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3"/>
      <c r="AB13" s="41"/>
      <c r="AC13" s="11" t="s">
        <v>33</v>
      </c>
    </row>
    <row r="14" spans="1:29" ht="15" customHeight="1" thickTop="1" thickBot="1" x14ac:dyDescent="0.3">
      <c r="A14" s="41"/>
      <c r="B14" s="7">
        <v>4</v>
      </c>
      <c r="C14" s="2"/>
      <c r="D14" s="6">
        <f>D13+C14</f>
        <v>0</v>
      </c>
      <c r="E14" s="19" t="str">
        <f t="shared" si="2"/>
        <v>Em Branco/Folga</v>
      </c>
      <c r="F14" s="26" t="str">
        <f t="shared" si="0"/>
        <v>Em Branco</v>
      </c>
      <c r="G14" s="58">
        <f>(($Z$11)*($N$11+SUM($C$11:C13)+SUM($K$11:K14)+SUM($L$11:L14)))</f>
        <v>0</v>
      </c>
      <c r="H14" s="58">
        <f>((0.01)*($N$11+SUM($C$11:C13)+SUM($K$11:K14)+SUM($L$11:L14))*3)</f>
        <v>0</v>
      </c>
      <c r="I14" s="58">
        <f t="shared" si="1"/>
        <v>0</v>
      </c>
      <c r="J14" s="7">
        <v>4</v>
      </c>
      <c r="K14" s="67"/>
      <c r="L14" s="37"/>
      <c r="M14" s="56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3"/>
      <c r="AB14" s="41"/>
      <c r="AC14" s="11" t="s">
        <v>34</v>
      </c>
    </row>
    <row r="15" spans="1:29" ht="15" customHeight="1" thickTop="1" thickBot="1" x14ac:dyDescent="0.3">
      <c r="A15" s="41"/>
      <c r="B15" s="7">
        <v>5</v>
      </c>
      <c r="C15" s="1"/>
      <c r="D15" s="6">
        <f>D14+C15</f>
        <v>0</v>
      </c>
      <c r="E15" s="19" t="str">
        <f t="shared" si="2"/>
        <v>Em Branco/Folga</v>
      </c>
      <c r="F15" s="26" t="str">
        <f t="shared" si="0"/>
        <v>Em Branco</v>
      </c>
      <c r="G15" s="58">
        <f>(($Z$11)*($N$11+SUM($C$11:C14)+SUM($K$11:K15)+SUM($L$11:L15)))</f>
        <v>0</v>
      </c>
      <c r="H15" s="58">
        <f>((0.01)*($N$11+SUM($C$11:C14)+SUM($K$11:K15)+SUM($L$11:L15))*3)</f>
        <v>0</v>
      </c>
      <c r="I15" s="58">
        <f t="shared" si="1"/>
        <v>0</v>
      </c>
      <c r="J15" s="7">
        <v>5</v>
      </c>
      <c r="K15" s="68"/>
      <c r="L15" s="38"/>
      <c r="M15" s="56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3"/>
      <c r="AB15" s="41"/>
      <c r="AC15" s="11" t="s">
        <v>35</v>
      </c>
    </row>
    <row r="16" spans="1:29" ht="15" customHeight="1" thickTop="1" thickBot="1" x14ac:dyDescent="0.3">
      <c r="A16" s="41"/>
      <c r="B16" s="7">
        <v>6</v>
      </c>
      <c r="C16" s="2"/>
      <c r="D16" s="6">
        <f>D15+C16</f>
        <v>0</v>
      </c>
      <c r="E16" s="19" t="str">
        <f t="shared" si="2"/>
        <v>Em Branco/Folga</v>
      </c>
      <c r="F16" s="26" t="str">
        <f>IF(ISBLANK($C16),"Em Branco",IF($I16&gt;$C16,"Está Arriscando Sua Banca",IF($C16&lt;=$H16,"Parabéns Seguiu Gerenciamento","Está Se Arriscando Acima De 3%")))</f>
        <v>Em Branco</v>
      </c>
      <c r="G16" s="58">
        <f>(($Z$11)*($N$11+SUM($C$11:C15)+SUM($K$11:K16)+SUM($L$11:L16)))</f>
        <v>0</v>
      </c>
      <c r="H16" s="58">
        <f>((0.01)*($N$11+SUM($C$11:C15)+SUM($K$11:K16)+SUM($L$11:L16))*3)</f>
        <v>0</v>
      </c>
      <c r="I16" s="58">
        <f t="shared" si="1"/>
        <v>0</v>
      </c>
      <c r="J16" s="7">
        <v>6</v>
      </c>
      <c r="K16" s="67"/>
      <c r="L16" s="37"/>
      <c r="M16" s="56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3"/>
      <c r="AB16" s="41"/>
      <c r="AC16" s="11" t="s">
        <v>36</v>
      </c>
    </row>
    <row r="17" spans="1:29" ht="15" customHeight="1" thickTop="1" thickBot="1" x14ac:dyDescent="0.3">
      <c r="A17" s="41"/>
      <c r="B17" s="7">
        <v>7</v>
      </c>
      <c r="C17" s="1"/>
      <c r="D17" s="6">
        <f t="shared" ref="D17:D41" si="3">D16+C17</f>
        <v>0</v>
      </c>
      <c r="E17" s="19" t="str">
        <f t="shared" si="2"/>
        <v>Em Branco/Folga</v>
      </c>
      <c r="F17" s="26" t="str">
        <f t="shared" ref="F17:F41" si="4">IF(ISBLANK($C17),"Em Branco",IF(I17&gt;C17,"Está Arriscando Sua Banca",IF($C17&lt;=$H17,"Parabéns Seguiu Gerenciamento","Está Se Arriscando Acima De 3%")))</f>
        <v>Em Branco</v>
      </c>
      <c r="G17" s="58">
        <f>(($Z$11)*($N$11+SUM($C$11:C16)+SUM($K$11:K17)+SUM($L$11:L17)))</f>
        <v>0</v>
      </c>
      <c r="H17" s="58">
        <f>((0.01)*($N$11+SUM($C$11:C16)+SUM($K$11:K17)+SUM($L$11:L17))*3)</f>
        <v>0</v>
      </c>
      <c r="I17" s="58">
        <f t="shared" si="1"/>
        <v>0</v>
      </c>
      <c r="J17" s="7">
        <v>7</v>
      </c>
      <c r="K17" s="68"/>
      <c r="L17" s="38"/>
      <c r="M17" s="56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3"/>
      <c r="AB17" s="41"/>
      <c r="AC17" s="11" t="s">
        <v>37</v>
      </c>
    </row>
    <row r="18" spans="1:29" ht="15" customHeight="1" thickTop="1" thickBot="1" x14ac:dyDescent="0.3">
      <c r="A18" s="41"/>
      <c r="B18" s="7">
        <v>8</v>
      </c>
      <c r="C18" s="2"/>
      <c r="D18" s="6">
        <f t="shared" si="3"/>
        <v>0</v>
      </c>
      <c r="E18" s="19" t="str">
        <f t="shared" si="2"/>
        <v>Em Branco/Folga</v>
      </c>
      <c r="F18" s="26" t="str">
        <f t="shared" si="4"/>
        <v>Em Branco</v>
      </c>
      <c r="G18" s="58">
        <f>(($Z$11)*($N$11+SUM($C$11:C17)+SUM($K$11:K18)+SUM($L$11:L18)))</f>
        <v>0</v>
      </c>
      <c r="H18" s="58">
        <f>((0.01)*($N$11+SUM($C$11:C17)+SUM($K$11:K18)+SUM($L$11:L18))*3)</f>
        <v>0</v>
      </c>
      <c r="I18" s="58">
        <f t="shared" si="1"/>
        <v>0</v>
      </c>
      <c r="J18" s="7">
        <v>8</v>
      </c>
      <c r="K18" s="67"/>
      <c r="L18" s="37"/>
      <c r="M18" s="56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3"/>
      <c r="AB18" s="41"/>
      <c r="AC18" s="12"/>
    </row>
    <row r="19" spans="1:29" ht="15" customHeight="1" thickTop="1" thickBot="1" x14ac:dyDescent="0.3">
      <c r="A19" s="41"/>
      <c r="B19" s="7">
        <v>9</v>
      </c>
      <c r="C19" s="1"/>
      <c r="D19" s="6">
        <f t="shared" si="3"/>
        <v>0</v>
      </c>
      <c r="E19" s="19" t="str">
        <f t="shared" si="2"/>
        <v>Em Branco/Folga</v>
      </c>
      <c r="F19" s="26" t="str">
        <f t="shared" si="4"/>
        <v>Em Branco</v>
      </c>
      <c r="G19" s="58">
        <f>(($Z$11)*($N$11+SUM($C$11:C18)+SUM($K$11:K19)+SUM($L$11:L19)))</f>
        <v>0</v>
      </c>
      <c r="H19" s="58">
        <f>((0.01)*($N$11+SUM($C$11:C18)+SUM($K$11:K19)+SUM($L$11:L19))*3)</f>
        <v>0</v>
      </c>
      <c r="I19" s="58">
        <f t="shared" si="1"/>
        <v>0</v>
      </c>
      <c r="J19" s="7">
        <v>9</v>
      </c>
      <c r="K19" s="68"/>
      <c r="L19" s="38"/>
      <c r="M19" s="56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3"/>
      <c r="AB19" s="41"/>
      <c r="AC19" s="12"/>
    </row>
    <row r="20" spans="1:29" ht="15" customHeight="1" thickTop="1" thickBot="1" x14ac:dyDescent="0.3">
      <c r="A20" s="41"/>
      <c r="B20" s="7">
        <v>10</v>
      </c>
      <c r="C20" s="2"/>
      <c r="D20" s="6">
        <f t="shared" si="3"/>
        <v>0</v>
      </c>
      <c r="E20" s="19" t="str">
        <f t="shared" si="2"/>
        <v>Em Branco/Folga</v>
      </c>
      <c r="F20" s="26" t="str">
        <f t="shared" si="4"/>
        <v>Em Branco</v>
      </c>
      <c r="G20" s="58">
        <f>(($Z$11)*($N$11+SUM($C$11:C19)+SUM($K$11:K20)+SUM($L$11:L20)))</f>
        <v>0</v>
      </c>
      <c r="H20" s="58">
        <f>((0.01)*($N$11+SUM($C$11:C19)+SUM($K$11:K20)+SUM($L$11:L20))*3)</f>
        <v>0</v>
      </c>
      <c r="I20" s="58">
        <f t="shared" si="1"/>
        <v>0</v>
      </c>
      <c r="J20" s="7">
        <v>10</v>
      </c>
      <c r="K20" s="67"/>
      <c r="L20" s="37"/>
      <c r="M20" s="56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3"/>
      <c r="AB20" s="41"/>
      <c r="AC20" s="12"/>
    </row>
    <row r="21" spans="1:29" ht="15" customHeight="1" thickTop="1" thickBot="1" x14ac:dyDescent="0.3">
      <c r="A21" s="41"/>
      <c r="B21" s="7">
        <v>11</v>
      </c>
      <c r="C21" s="1"/>
      <c r="D21" s="6">
        <f t="shared" si="3"/>
        <v>0</v>
      </c>
      <c r="E21" s="19" t="str">
        <f t="shared" si="2"/>
        <v>Em Branco/Folga</v>
      </c>
      <c r="F21" s="26" t="str">
        <f t="shared" si="4"/>
        <v>Em Branco</v>
      </c>
      <c r="G21" s="58">
        <f>(($Z$11)*($N$11+SUM($C$11:C20)+SUM($K$11:K21)+SUM($L$11:L21)))</f>
        <v>0</v>
      </c>
      <c r="H21" s="58">
        <f>((0.01)*($N$11+SUM($C$11:C20)+SUM($K$11:K21)+SUM($L$11:L21))*3)</f>
        <v>0</v>
      </c>
      <c r="I21" s="58">
        <f t="shared" si="1"/>
        <v>0</v>
      </c>
      <c r="J21" s="7">
        <v>11</v>
      </c>
      <c r="K21" s="68"/>
      <c r="L21" s="38"/>
      <c r="M21" s="56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12"/>
    </row>
    <row r="22" spans="1:29" ht="15" customHeight="1" thickTop="1" thickBot="1" x14ac:dyDescent="0.3">
      <c r="A22" s="41"/>
      <c r="B22" s="7">
        <v>12</v>
      </c>
      <c r="C22" s="2"/>
      <c r="D22" s="6">
        <f t="shared" si="3"/>
        <v>0</v>
      </c>
      <c r="E22" s="19" t="str">
        <f t="shared" si="2"/>
        <v>Em Branco/Folga</v>
      </c>
      <c r="F22" s="26" t="str">
        <f t="shared" si="4"/>
        <v>Em Branco</v>
      </c>
      <c r="G22" s="58">
        <f>(($Z$11)*($N$11+SUM($C$11:C21)+SUM($K$11:K22)+SUM($L$11:L22)))</f>
        <v>0</v>
      </c>
      <c r="H22" s="58">
        <f>((0.01)*($N$11+SUM($C$11:C21)+SUM($K$11:K22)+SUM($L$11:L22))*3)</f>
        <v>0</v>
      </c>
      <c r="I22" s="58">
        <f t="shared" si="1"/>
        <v>0</v>
      </c>
      <c r="J22" s="7">
        <v>12</v>
      </c>
      <c r="K22" s="67"/>
      <c r="L22" s="37"/>
      <c r="M22" s="56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12"/>
    </row>
    <row r="23" spans="1:29" ht="15" customHeight="1" thickTop="1" thickBot="1" x14ac:dyDescent="0.3">
      <c r="A23" s="41"/>
      <c r="B23" s="7">
        <v>13</v>
      </c>
      <c r="C23" s="1"/>
      <c r="D23" s="6">
        <f t="shared" si="3"/>
        <v>0</v>
      </c>
      <c r="E23" s="19" t="str">
        <f t="shared" si="2"/>
        <v>Em Branco/Folga</v>
      </c>
      <c r="F23" s="26" t="str">
        <f t="shared" si="4"/>
        <v>Em Branco</v>
      </c>
      <c r="G23" s="58">
        <f>(($Z$11)*($N$11+SUM($C$11:C22)+SUM($K$11:K23)+SUM($L$11:L23)))</f>
        <v>0</v>
      </c>
      <c r="H23" s="58">
        <f>((0.01)*($N$11+SUM($C$11:C22)+SUM($K$11:K23)+SUM($L$11:L23))*3)</f>
        <v>0</v>
      </c>
      <c r="I23" s="58">
        <f t="shared" si="1"/>
        <v>0</v>
      </c>
      <c r="J23" s="7">
        <v>13</v>
      </c>
      <c r="K23" s="68"/>
      <c r="L23" s="38"/>
      <c r="M23" s="56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12"/>
    </row>
    <row r="24" spans="1:29" ht="15" customHeight="1" thickTop="1" thickBot="1" x14ac:dyDescent="0.3">
      <c r="A24" s="41"/>
      <c r="B24" s="7">
        <v>14</v>
      </c>
      <c r="C24" s="2"/>
      <c r="D24" s="6">
        <f t="shared" si="3"/>
        <v>0</v>
      </c>
      <c r="E24" s="19" t="str">
        <f t="shared" si="2"/>
        <v>Em Branco/Folga</v>
      </c>
      <c r="F24" s="26" t="str">
        <f t="shared" si="4"/>
        <v>Em Branco</v>
      </c>
      <c r="G24" s="58">
        <f>(($Z$11)*($N$11+SUM($C$11:C23)+SUM($K$11:K24)+SUM($L$11:L24)))</f>
        <v>0</v>
      </c>
      <c r="H24" s="58">
        <f>((0.01)*($N$11+SUM($C$11:C23)+SUM($K$11:K24)+SUM($L$11:L24))*3)</f>
        <v>0</v>
      </c>
      <c r="I24" s="58">
        <f t="shared" si="1"/>
        <v>0</v>
      </c>
      <c r="J24" s="7">
        <v>14</v>
      </c>
      <c r="K24" s="67"/>
      <c r="L24" s="37"/>
      <c r="M24" s="56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12"/>
    </row>
    <row r="25" spans="1:29" ht="15" customHeight="1" thickTop="1" thickBot="1" x14ac:dyDescent="0.3">
      <c r="A25" s="41"/>
      <c r="B25" s="7">
        <v>15</v>
      </c>
      <c r="C25" s="1"/>
      <c r="D25" s="6">
        <f t="shared" si="3"/>
        <v>0</v>
      </c>
      <c r="E25" s="19" t="str">
        <f t="shared" si="2"/>
        <v>Em Branco/Folga</v>
      </c>
      <c r="F25" s="26" t="str">
        <f t="shared" si="4"/>
        <v>Em Branco</v>
      </c>
      <c r="G25" s="58">
        <f>(($Z$11)*($N$11+SUM($C$11:C24)+SUM($K$11:K25)+SUM($L$11:L25)))</f>
        <v>0</v>
      </c>
      <c r="H25" s="58">
        <f>((0.01)*($N$11+SUM($C$11:C24)+SUM($K$11:K25)+SUM($L$11:L25))*3)</f>
        <v>0</v>
      </c>
      <c r="I25" s="58">
        <f t="shared" si="1"/>
        <v>0</v>
      </c>
      <c r="J25" s="7">
        <v>15</v>
      </c>
      <c r="K25" s="68"/>
      <c r="L25" s="38"/>
      <c r="M25" s="56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12"/>
    </row>
    <row r="26" spans="1:29" ht="15" customHeight="1" thickTop="1" thickBot="1" x14ac:dyDescent="0.3">
      <c r="A26" s="41"/>
      <c r="B26" s="7">
        <v>16</v>
      </c>
      <c r="C26" s="2"/>
      <c r="D26" s="6">
        <f t="shared" si="3"/>
        <v>0</v>
      </c>
      <c r="E26" s="19" t="str">
        <f t="shared" si="2"/>
        <v>Em Branco/Folga</v>
      </c>
      <c r="F26" s="26" t="str">
        <f t="shared" si="4"/>
        <v>Em Branco</v>
      </c>
      <c r="G26" s="58">
        <f>(($Z$11)*($N$11+SUM($C$11:C25)+SUM($K$11:K26)+SUM($L$11:L26)))</f>
        <v>0</v>
      </c>
      <c r="H26" s="58">
        <f>((0.01)*($N$11+SUM($C$11:C25)+SUM($K$11:K26)+SUM($L$11:L26))*3)</f>
        <v>0</v>
      </c>
      <c r="I26" s="58">
        <f t="shared" si="1"/>
        <v>0</v>
      </c>
      <c r="J26" s="7">
        <v>16</v>
      </c>
      <c r="K26" s="67"/>
      <c r="L26" s="37"/>
      <c r="M26" s="56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12"/>
    </row>
    <row r="27" spans="1:29" ht="15" customHeight="1" thickTop="1" thickBot="1" x14ac:dyDescent="0.3">
      <c r="A27" s="41"/>
      <c r="B27" s="7">
        <v>17</v>
      </c>
      <c r="C27" s="1"/>
      <c r="D27" s="6">
        <f t="shared" si="3"/>
        <v>0</v>
      </c>
      <c r="E27" s="19" t="str">
        <f t="shared" si="2"/>
        <v>Em Branco/Folga</v>
      </c>
      <c r="F27" s="26" t="str">
        <f t="shared" si="4"/>
        <v>Em Branco</v>
      </c>
      <c r="G27" s="58">
        <f>(($Z$11)*($N$11+SUM($C$11:C26)+SUM($K$11:K27)+SUM($L$11:L27)))</f>
        <v>0</v>
      </c>
      <c r="H27" s="58">
        <f>((0.01)*($N$11+SUM($C$11:C26)+SUM($K$11:K27)+SUM($L$11:L27))*3)</f>
        <v>0</v>
      </c>
      <c r="I27" s="58">
        <f t="shared" si="1"/>
        <v>0</v>
      </c>
      <c r="J27" s="7">
        <v>17</v>
      </c>
      <c r="K27" s="68"/>
      <c r="L27" s="38"/>
      <c r="M27" s="56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12"/>
    </row>
    <row r="28" spans="1:29" ht="15" customHeight="1" thickTop="1" thickBot="1" x14ac:dyDescent="0.3">
      <c r="A28" s="41"/>
      <c r="B28" s="7">
        <v>18</v>
      </c>
      <c r="C28" s="2"/>
      <c r="D28" s="6">
        <f t="shared" si="3"/>
        <v>0</v>
      </c>
      <c r="E28" s="19" t="str">
        <f t="shared" si="2"/>
        <v>Em Branco/Folga</v>
      </c>
      <c r="F28" s="26" t="str">
        <f t="shared" si="4"/>
        <v>Em Branco</v>
      </c>
      <c r="G28" s="58">
        <f>(($Z$11)*($N$11+SUM($C$11:C27)+SUM($K$11:K28)+SUM($L$11:L28)))</f>
        <v>0</v>
      </c>
      <c r="H28" s="58">
        <f>((0.01)*($N$11+SUM($C$11:C27)+SUM($K$11:K28)+SUM($L$11:L28))*3)</f>
        <v>0</v>
      </c>
      <c r="I28" s="58">
        <f t="shared" si="1"/>
        <v>0</v>
      </c>
      <c r="J28" s="7">
        <v>18</v>
      </c>
      <c r="K28" s="67"/>
      <c r="L28" s="37"/>
      <c r="M28" s="56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12"/>
    </row>
    <row r="29" spans="1:29" ht="15" customHeight="1" thickTop="1" thickBot="1" x14ac:dyDescent="0.3">
      <c r="A29" s="41"/>
      <c r="B29" s="7">
        <v>19</v>
      </c>
      <c r="C29" s="1"/>
      <c r="D29" s="6">
        <f t="shared" si="3"/>
        <v>0</v>
      </c>
      <c r="E29" s="19" t="str">
        <f t="shared" si="2"/>
        <v>Em Branco/Folga</v>
      </c>
      <c r="F29" s="26" t="str">
        <f t="shared" si="4"/>
        <v>Em Branco</v>
      </c>
      <c r="G29" s="58">
        <f>(($Z$11)*($N$11+SUM($C$11:C28)+SUM($K$11:K29)+SUM($L$11:L29)))</f>
        <v>0</v>
      </c>
      <c r="H29" s="58">
        <f>((0.01)*($N$11+SUM($C$11:C28)+SUM($K$11:K29)+SUM($L$11:L29))*3)</f>
        <v>0</v>
      </c>
      <c r="I29" s="58">
        <f t="shared" si="1"/>
        <v>0</v>
      </c>
      <c r="J29" s="7">
        <v>19</v>
      </c>
      <c r="K29" s="68"/>
      <c r="L29" s="38"/>
      <c r="M29" s="56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12"/>
    </row>
    <row r="30" spans="1:29" ht="15" customHeight="1" thickTop="1" thickBot="1" x14ac:dyDescent="0.3">
      <c r="A30" s="41"/>
      <c r="B30" s="7">
        <v>20</v>
      </c>
      <c r="C30" s="2"/>
      <c r="D30" s="6">
        <f t="shared" si="3"/>
        <v>0</v>
      </c>
      <c r="E30" s="19" t="str">
        <f t="shared" si="2"/>
        <v>Em Branco/Folga</v>
      </c>
      <c r="F30" s="26" t="str">
        <f t="shared" si="4"/>
        <v>Em Branco</v>
      </c>
      <c r="G30" s="58">
        <f>(($Z$11)*($N$11+SUM($C$11:C29)+SUM($K$11:K30)+SUM($L$11:L30)))</f>
        <v>0</v>
      </c>
      <c r="H30" s="58">
        <f>((0.01)*($N$11+SUM($C$11:C29)+SUM($K$11:K30)+SUM($L$11:L30))*3)</f>
        <v>0</v>
      </c>
      <c r="I30" s="58">
        <f t="shared" si="1"/>
        <v>0</v>
      </c>
      <c r="J30" s="7">
        <v>20</v>
      </c>
      <c r="K30" s="67"/>
      <c r="L30" s="37"/>
      <c r="M30" s="56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12"/>
    </row>
    <row r="31" spans="1:29" ht="15" customHeight="1" thickTop="1" thickBot="1" x14ac:dyDescent="0.3">
      <c r="A31" s="41"/>
      <c r="B31" s="7">
        <v>21</v>
      </c>
      <c r="C31" s="1"/>
      <c r="D31" s="6">
        <f t="shared" si="3"/>
        <v>0</v>
      </c>
      <c r="E31" s="19" t="str">
        <f t="shared" si="2"/>
        <v>Em Branco/Folga</v>
      </c>
      <c r="F31" s="26" t="str">
        <f t="shared" si="4"/>
        <v>Em Branco</v>
      </c>
      <c r="G31" s="58">
        <f>(($Z$11)*($N$11+SUM($C$11:C30)+SUM($K$11:K31)+SUM($L$11:L31)))</f>
        <v>0</v>
      </c>
      <c r="H31" s="58">
        <f>((0.01)*($N$11+SUM($C$11:C30)+SUM($K$11:K31)+SUM($L$11:L31))*3)</f>
        <v>0</v>
      </c>
      <c r="I31" s="58">
        <f t="shared" si="1"/>
        <v>0</v>
      </c>
      <c r="J31" s="7">
        <v>21</v>
      </c>
      <c r="K31" s="68"/>
      <c r="L31" s="38"/>
      <c r="M31" s="56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12"/>
    </row>
    <row r="32" spans="1:29" ht="15" customHeight="1" thickTop="1" thickBot="1" x14ac:dyDescent="0.3">
      <c r="A32" s="41"/>
      <c r="B32" s="7">
        <v>22</v>
      </c>
      <c r="C32" s="70"/>
      <c r="D32" s="6">
        <f t="shared" si="3"/>
        <v>0</v>
      </c>
      <c r="E32" s="19" t="str">
        <f t="shared" si="2"/>
        <v>Em Branco/Folga</v>
      </c>
      <c r="F32" s="26" t="str">
        <f t="shared" si="4"/>
        <v>Em Branco</v>
      </c>
      <c r="G32" s="58">
        <f>(($Z$11)*($N$11+SUM($C$11:C31)+SUM($K$11:K32)+SUM($L$11:L32)))</f>
        <v>0</v>
      </c>
      <c r="H32" s="58">
        <f>((0.01)*($N$11+SUM($C$11:C31)+SUM($K$11:K32)+SUM($L$11:L32))*3)</f>
        <v>0</v>
      </c>
      <c r="I32" s="58">
        <f t="shared" si="1"/>
        <v>0</v>
      </c>
      <c r="J32" s="7">
        <v>22</v>
      </c>
      <c r="K32" s="68"/>
      <c r="L32" s="38"/>
      <c r="M32" s="56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ht="15" customHeight="1" thickTop="1" thickBot="1" x14ac:dyDescent="0.3">
      <c r="A33" s="41"/>
      <c r="B33" s="7">
        <v>23</v>
      </c>
      <c r="C33" s="70"/>
      <c r="D33" s="6">
        <f t="shared" si="3"/>
        <v>0</v>
      </c>
      <c r="E33" s="19" t="str">
        <f t="shared" si="2"/>
        <v>Em Branco/Folga</v>
      </c>
      <c r="F33" s="26" t="str">
        <f t="shared" si="4"/>
        <v>Em Branco</v>
      </c>
      <c r="G33" s="58">
        <f>(($Z$11)*($N$11+SUM($C$11:C32)+SUM($K$11:K33)+SUM($L$11:L33)))</f>
        <v>0</v>
      </c>
      <c r="H33" s="58">
        <f>((0.01)*($N$11+SUM($C$11:C32)+SUM($K$11:K33)+SUM($L$11:L33))*3)</f>
        <v>0</v>
      </c>
      <c r="I33" s="58">
        <f t="shared" si="1"/>
        <v>0</v>
      </c>
      <c r="J33" s="7">
        <v>23</v>
      </c>
      <c r="K33" s="68"/>
      <c r="L33" s="38"/>
      <c r="M33" s="56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ht="15" customHeight="1" thickTop="1" thickBot="1" x14ac:dyDescent="0.3">
      <c r="A34" s="41"/>
      <c r="B34" s="7">
        <v>24</v>
      </c>
      <c r="C34" s="70"/>
      <c r="D34" s="6">
        <f t="shared" si="3"/>
        <v>0</v>
      </c>
      <c r="E34" s="19" t="str">
        <f t="shared" si="2"/>
        <v>Em Branco/Folga</v>
      </c>
      <c r="F34" s="26" t="str">
        <f t="shared" si="4"/>
        <v>Em Branco</v>
      </c>
      <c r="G34" s="58">
        <f>(($Z$11)*($N$11+SUM($C$11:C33)+SUM($K$11:K34)+SUM($L$11:L34)))</f>
        <v>0</v>
      </c>
      <c r="H34" s="58">
        <f>((0.01)*($N$11+SUM($C$11:C33)+SUM($K$11:K34)+SUM($L$11:L34))*3)</f>
        <v>0</v>
      </c>
      <c r="I34" s="58">
        <f t="shared" si="1"/>
        <v>0</v>
      </c>
      <c r="J34" s="7">
        <v>24</v>
      </c>
      <c r="K34" s="68"/>
      <c r="L34" s="38"/>
      <c r="M34" s="56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ht="15" customHeight="1" thickTop="1" thickBot="1" x14ac:dyDescent="0.3">
      <c r="A35" s="41"/>
      <c r="B35" s="7">
        <v>25</v>
      </c>
      <c r="C35" s="70"/>
      <c r="D35" s="6">
        <f t="shared" si="3"/>
        <v>0</v>
      </c>
      <c r="E35" s="19" t="str">
        <f t="shared" si="2"/>
        <v>Em Branco/Folga</v>
      </c>
      <c r="F35" s="26" t="str">
        <f t="shared" si="4"/>
        <v>Em Branco</v>
      </c>
      <c r="G35" s="58">
        <f>(($Z$11)*($N$11+SUM($C$11:C34)+SUM($K$11:K35)+SUM($L$11:L35)))</f>
        <v>0</v>
      </c>
      <c r="H35" s="58">
        <f>((0.01)*($N$11+SUM($C$11:C34)+SUM($K$11:K35)+SUM($L$11:L35))*3)</f>
        <v>0</v>
      </c>
      <c r="I35" s="58">
        <f t="shared" si="1"/>
        <v>0</v>
      </c>
      <c r="J35" s="7">
        <v>25</v>
      </c>
      <c r="K35" s="68"/>
      <c r="L35" s="38"/>
      <c r="M35" s="56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ht="15" customHeight="1" thickTop="1" thickBot="1" x14ac:dyDescent="0.3">
      <c r="A36" s="41"/>
      <c r="B36" s="7">
        <v>26</v>
      </c>
      <c r="C36" s="70"/>
      <c r="D36" s="6">
        <f t="shared" si="3"/>
        <v>0</v>
      </c>
      <c r="E36" s="19" t="str">
        <f t="shared" si="2"/>
        <v>Em Branco/Folga</v>
      </c>
      <c r="F36" s="26" t="str">
        <f t="shared" si="4"/>
        <v>Em Branco</v>
      </c>
      <c r="G36" s="58">
        <f>(($Z$11)*($N$11+SUM($C$11:C35)+SUM($K$11:K36)+SUM($L$11:L36)))</f>
        <v>0</v>
      </c>
      <c r="H36" s="58">
        <f>((0.01)*($N$11+SUM($C$11:C35)+SUM($K$11:K36)+SUM($L$11:L36))*3)</f>
        <v>0</v>
      </c>
      <c r="I36" s="58">
        <f t="shared" si="1"/>
        <v>0</v>
      </c>
      <c r="J36" s="7">
        <v>26</v>
      </c>
      <c r="K36" s="68"/>
      <c r="L36" s="38"/>
      <c r="M36" s="56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  <row r="37" spans="1:28" ht="15" customHeight="1" thickTop="1" thickBot="1" x14ac:dyDescent="0.3">
      <c r="A37" s="41"/>
      <c r="B37" s="7">
        <v>27</v>
      </c>
      <c r="C37" s="70"/>
      <c r="D37" s="6">
        <f t="shared" si="3"/>
        <v>0</v>
      </c>
      <c r="E37" s="19" t="str">
        <f t="shared" si="2"/>
        <v>Em Branco/Folga</v>
      </c>
      <c r="F37" s="26" t="str">
        <f t="shared" si="4"/>
        <v>Em Branco</v>
      </c>
      <c r="G37" s="58">
        <f>(($Z$11)*($N$11+SUM($C$11:C36)+SUM($K$11:K37)+SUM($L$11:L37)))</f>
        <v>0</v>
      </c>
      <c r="H37" s="58">
        <f>((0.01)*($N$11+SUM($C$11:C36)+SUM($K$11:K37)+SUM($L$11:L37))*3)</f>
        <v>0</v>
      </c>
      <c r="I37" s="58">
        <f t="shared" si="1"/>
        <v>0</v>
      </c>
      <c r="J37" s="7">
        <v>27</v>
      </c>
      <c r="K37" s="68"/>
      <c r="L37" s="38"/>
      <c r="M37" s="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</row>
    <row r="38" spans="1:28" ht="15" customHeight="1" thickTop="1" thickBot="1" x14ac:dyDescent="0.3">
      <c r="A38" s="41"/>
      <c r="B38" s="7">
        <v>28</v>
      </c>
      <c r="C38" s="70"/>
      <c r="D38" s="6">
        <f t="shared" si="3"/>
        <v>0</v>
      </c>
      <c r="E38" s="19" t="str">
        <f t="shared" si="2"/>
        <v>Em Branco/Folga</v>
      </c>
      <c r="F38" s="26" t="str">
        <f t="shared" si="4"/>
        <v>Em Branco</v>
      </c>
      <c r="G38" s="58">
        <f>(($Z$11)*($N$11+SUM($C$11:C37)+SUM($K$11:K38)+SUM($L$11:L38)))</f>
        <v>0</v>
      </c>
      <c r="H38" s="58">
        <f>((0.01)*($N$11+SUM($C$11:C37)+SUM($K$11:K38)+SUM($L$11:L38))*3)</f>
        <v>0</v>
      </c>
      <c r="I38" s="58">
        <f t="shared" si="1"/>
        <v>0</v>
      </c>
      <c r="J38" s="7">
        <v>28</v>
      </c>
      <c r="K38" s="68"/>
      <c r="L38" s="38"/>
      <c r="M38" s="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</row>
    <row r="39" spans="1:28" ht="15" customHeight="1" thickTop="1" thickBot="1" x14ac:dyDescent="0.3">
      <c r="A39" s="41"/>
      <c r="B39" s="7">
        <v>29</v>
      </c>
      <c r="C39" s="71"/>
      <c r="D39" s="6">
        <f t="shared" si="3"/>
        <v>0</v>
      </c>
      <c r="E39" s="19" t="str">
        <f t="shared" si="2"/>
        <v>Em Branco/Folga</v>
      </c>
      <c r="F39" s="26" t="str">
        <f t="shared" si="4"/>
        <v>Em Branco</v>
      </c>
      <c r="G39" s="58">
        <f>(($Z$11)*($N$11+SUM($C$11:C38)+SUM($K$11:K39)+SUM($L$11:L39)))</f>
        <v>0</v>
      </c>
      <c r="H39" s="58">
        <f>((0.01)*($N$11+SUM($C$11:C38)+SUM($K$11:K39)+SUM($L$11:L39))*3)</f>
        <v>0</v>
      </c>
      <c r="I39" s="58">
        <f t="shared" si="1"/>
        <v>0</v>
      </c>
      <c r="J39" s="7">
        <v>29</v>
      </c>
      <c r="K39" s="67"/>
      <c r="L39" s="37"/>
      <c r="M39" s="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</row>
    <row r="40" spans="1:28" ht="15" customHeight="1" thickTop="1" thickBot="1" x14ac:dyDescent="0.3">
      <c r="A40" s="41"/>
      <c r="B40" s="7">
        <v>30</v>
      </c>
      <c r="C40" s="70"/>
      <c r="D40" s="6">
        <f t="shared" si="3"/>
        <v>0</v>
      </c>
      <c r="E40" s="19" t="str">
        <f t="shared" si="2"/>
        <v>Em Branco/Folga</v>
      </c>
      <c r="F40" s="26" t="str">
        <f t="shared" si="4"/>
        <v>Em Branco</v>
      </c>
      <c r="G40" s="58">
        <f>(($Z$11)*($N$11+SUM($C$11:C39)+SUM($K$11:K40)+SUM($L$11:L40)))</f>
        <v>0</v>
      </c>
      <c r="H40" s="58">
        <f>((0.01)*($N$11+SUM($C$11:C39)+SUM($K$11:K40)+SUM($L$11:L40))*3)</f>
        <v>0</v>
      </c>
      <c r="I40" s="58">
        <f t="shared" si="1"/>
        <v>0</v>
      </c>
      <c r="J40" s="7">
        <v>30</v>
      </c>
      <c r="K40" s="68"/>
      <c r="L40" s="38"/>
      <c r="M40" s="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</row>
    <row r="41" spans="1:28" ht="15.75" customHeight="1" thickTop="1" thickBot="1" x14ac:dyDescent="0.3">
      <c r="A41" s="41"/>
      <c r="B41" s="8">
        <v>31</v>
      </c>
      <c r="C41" s="3"/>
      <c r="D41" s="9">
        <f t="shared" si="3"/>
        <v>0</v>
      </c>
      <c r="E41" s="20" t="str">
        <f t="shared" si="2"/>
        <v>Em Branco/Folga</v>
      </c>
      <c r="F41" s="27" t="str">
        <f t="shared" si="4"/>
        <v>Em Branco</v>
      </c>
      <c r="G41" s="58">
        <f>(($Z$11)*($N$11+SUM($C$11:C40)+SUM($K$11:K41)+SUM($L$11:L41)))</f>
        <v>0</v>
      </c>
      <c r="H41" s="58">
        <f>((0.01)*($N$11+SUM($C$11:C40)+SUM($K$11:K41)+SUM($L$11:L41))*3)</f>
        <v>0</v>
      </c>
      <c r="I41" s="58">
        <f t="shared" si="1"/>
        <v>0</v>
      </c>
      <c r="J41" s="8">
        <v>31</v>
      </c>
      <c r="K41" s="69"/>
      <c r="L41" s="39"/>
      <c r="M41" s="56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</row>
    <row r="42" spans="1:28" x14ac:dyDescent="0.25">
      <c r="A42" s="41"/>
      <c r="B42" s="41"/>
      <c r="C42" s="41"/>
      <c r="D42" s="51"/>
      <c r="E42" s="41"/>
      <c r="F42" s="42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</row>
  </sheetData>
  <sheetProtection algorithmName="SHA-512" hashValue="kfNu3lnEYxLzCgZOsKcD36I4jOdsWPDFgU+zLjhiNbig4omEVM5QOvRJkKAyMdzqYCVsWeiAANUkmPtcOIz3Tw==" saltValue="RieBNL+tdL3GZQavnrVIug==" spinCount="100000" sheet="1" selectLockedCells="1"/>
  <mergeCells count="11">
    <mergeCell ref="D2:E2"/>
    <mergeCell ref="B9:D9"/>
    <mergeCell ref="E9:F9"/>
    <mergeCell ref="J9:L9"/>
    <mergeCell ref="N10:O10"/>
    <mergeCell ref="R10:S10"/>
    <mergeCell ref="V10:W10"/>
    <mergeCell ref="N11:O11"/>
    <mergeCell ref="P11:Q11"/>
    <mergeCell ref="R11:S11"/>
    <mergeCell ref="P10:Q10"/>
  </mergeCells>
  <conditionalFormatting sqref="C11:C31 C41">
    <cfRule type="containsBlanks" dxfId="390" priority="44">
      <formula>LEN(TRIM(C11))=0</formula>
    </cfRule>
    <cfRule type="cellIs" dxfId="389" priority="45" operator="equal">
      <formula>0</formula>
    </cfRule>
    <cfRule type="cellIs" dxfId="388" priority="46" operator="greaterThan">
      <formula>0</formula>
    </cfRule>
    <cfRule type="cellIs" dxfId="387" priority="47" operator="lessThan">
      <formula>0</formula>
    </cfRule>
  </conditionalFormatting>
  <conditionalFormatting sqref="E11:F41">
    <cfRule type="containsText" dxfId="386" priority="41" operator="containsText" text="Não Atingiu">
      <formula>NOT(ISERROR(SEARCH("Não Atingiu",E11)))</formula>
    </cfRule>
    <cfRule type="containsText" dxfId="385" priority="42" operator="containsText" text="Prejuizo">
      <formula>NOT(ISERROR(SEARCH("Prejuizo",E11)))</formula>
    </cfRule>
    <cfRule type="containsText" dxfId="384" priority="43" operator="containsText" text="Atingiu">
      <formula>NOT(ISERROR(SEARCH("Atingiu",E11)))</formula>
    </cfRule>
  </conditionalFormatting>
  <conditionalFormatting sqref="E12:F12">
    <cfRule type="cellIs" dxfId="383" priority="40" operator="equal">
      <formula>"Em Branco/Folga"</formula>
    </cfRule>
  </conditionalFormatting>
  <conditionalFormatting sqref="E11:F11">
    <cfRule type="cellIs" dxfId="382" priority="39" operator="equal">
      <formula>"Em Branco/Folga"</formula>
    </cfRule>
  </conditionalFormatting>
  <conditionalFormatting sqref="E13:F41">
    <cfRule type="cellIs" dxfId="381" priority="38" operator="equal">
      <formula>"Em Branco/Folga"</formula>
    </cfRule>
  </conditionalFormatting>
  <conditionalFormatting sqref="F11">
    <cfRule type="cellIs" dxfId="380" priority="30" operator="equal">
      <formula>"Está Arriscando Sua Banca"</formula>
    </cfRule>
    <cfRule type="cellIs" dxfId="379" priority="35" operator="equal">
      <formula>"Está Se Arriscando Acima De 3%"</formula>
    </cfRule>
    <cfRule type="cellIs" dxfId="378" priority="36" operator="equal">
      <formula>"Parabéns Seguiu Gerenciamento"</formula>
    </cfRule>
    <cfRule type="cellIs" dxfId="377" priority="37" operator="equal">
      <formula>"Em Branco"</formula>
    </cfRule>
  </conditionalFormatting>
  <conditionalFormatting sqref="F12:F41">
    <cfRule type="cellIs" dxfId="376" priority="34" operator="equal">
      <formula>"Em Branco/Folga"</formula>
    </cfRule>
  </conditionalFormatting>
  <conditionalFormatting sqref="F12:F41">
    <cfRule type="cellIs" dxfId="375" priority="31" operator="equal">
      <formula>"Está Se Arriscando Acima De 3%"</formula>
    </cfRule>
    <cfRule type="cellIs" dxfId="374" priority="32" operator="equal">
      <formula>"Parabéns Seguiu Gerenciamento"</formula>
    </cfRule>
    <cfRule type="cellIs" dxfId="373" priority="33" operator="equal">
      <formula>"Em Branco"</formula>
    </cfRule>
  </conditionalFormatting>
  <conditionalFormatting sqref="F12:F41">
    <cfRule type="cellIs" dxfId="372" priority="29" operator="equal">
      <formula>"Em Branco/Folga"</formula>
    </cfRule>
  </conditionalFormatting>
  <conditionalFormatting sqref="F12:F41">
    <cfRule type="cellIs" dxfId="371" priority="25" operator="equal">
      <formula>"Está Arriscando Sua Banca"</formula>
    </cfRule>
    <cfRule type="cellIs" dxfId="370" priority="26" operator="equal">
      <formula>"Está Se Arriscando Acima De 3%"</formula>
    </cfRule>
    <cfRule type="cellIs" dxfId="369" priority="27" operator="equal">
      <formula>"Parabéns Seguiu Gerenciamento"</formula>
    </cfRule>
    <cfRule type="cellIs" dxfId="368" priority="28" operator="equal">
      <formula>"Em Branco"</formula>
    </cfRule>
  </conditionalFormatting>
  <conditionalFormatting sqref="K11:K31 K41">
    <cfRule type="containsBlanks" dxfId="367" priority="17">
      <formula>LEN(TRIM(K11))=0</formula>
    </cfRule>
    <cfRule type="cellIs" dxfId="366" priority="18" operator="equal">
      <formula>0</formula>
    </cfRule>
    <cfRule type="cellIs" dxfId="365" priority="19" operator="greaterThan">
      <formula>0</formula>
    </cfRule>
    <cfRule type="cellIs" dxfId="364" priority="20" operator="lessThan">
      <formula>0</formula>
    </cfRule>
  </conditionalFormatting>
  <conditionalFormatting sqref="K32:K40">
    <cfRule type="containsBlanks" dxfId="363" priority="13">
      <formula>LEN(TRIM(K32))=0</formula>
    </cfRule>
    <cfRule type="cellIs" dxfId="362" priority="14" operator="equal">
      <formula>0</formula>
    </cfRule>
    <cfRule type="cellIs" dxfId="361" priority="15" operator="greaterThan">
      <formula>0</formula>
    </cfRule>
    <cfRule type="cellIs" dxfId="360" priority="16" operator="lessThan">
      <formula>0</formula>
    </cfRule>
  </conditionalFormatting>
  <conditionalFormatting sqref="L11:M31 L41:M41">
    <cfRule type="containsBlanks" dxfId="359" priority="9">
      <formula>LEN(TRIM(L11))=0</formula>
    </cfRule>
    <cfRule type="cellIs" dxfId="358" priority="10" operator="equal">
      <formula>0</formula>
    </cfRule>
    <cfRule type="cellIs" dxfId="357" priority="11" operator="greaterThan">
      <formula>0</formula>
    </cfRule>
    <cfRule type="cellIs" dxfId="356" priority="12" operator="lessThan">
      <formula>0</formula>
    </cfRule>
  </conditionalFormatting>
  <conditionalFormatting sqref="L32:M40">
    <cfRule type="containsBlanks" dxfId="355" priority="5">
      <formula>LEN(TRIM(L32))=0</formula>
    </cfRule>
    <cfRule type="cellIs" dxfId="354" priority="6" operator="equal">
      <formula>0</formula>
    </cfRule>
    <cfRule type="cellIs" dxfId="353" priority="7" operator="greaterThan">
      <formula>0</formula>
    </cfRule>
    <cfRule type="cellIs" dxfId="352" priority="8" operator="lessThan">
      <formula>0</formula>
    </cfRule>
  </conditionalFormatting>
  <conditionalFormatting sqref="C32:C40">
    <cfRule type="containsBlanks" dxfId="351" priority="1">
      <formula>LEN(TRIM(C32))=0</formula>
    </cfRule>
    <cfRule type="cellIs" dxfId="350" priority="2" operator="equal">
      <formula>0</formula>
    </cfRule>
    <cfRule type="cellIs" dxfId="349" priority="3" operator="greaterThan">
      <formula>0</formula>
    </cfRule>
    <cfRule type="cellIs" dxfId="348" priority="4" operator="lessThan">
      <formula>0</formula>
    </cfRule>
  </conditionalFormatting>
  <dataValidations count="7">
    <dataValidation type="decimal" allowBlank="1" showErrorMessage="1" errorTitle="ATENÇÃO" error="APENAS NÚMEROS" sqref="K11:K41" xr:uid="{AE9EB67C-FB1D-4630-A2E5-691238B7B0F8}">
      <formula1>-999999999999999000</formula1>
      <formula2>999999999999999000</formula2>
    </dataValidation>
    <dataValidation type="decimal" allowBlank="1" showInputMessage="1" showErrorMessage="1" errorTitle="ATENÇÃO" error="APENAS NÚMEROS" promptTitle="SAQUES" prompt="COLOCAR SINAL NEGATIVO" sqref="L11:L41" xr:uid="{E94E9C56-C90C-41BE-954D-EF84635F7E2E}">
      <formula1>-999999999999999000</formula1>
      <formula2>999999999999999000</formula2>
    </dataValidation>
    <dataValidation allowBlank="1" showInputMessage="1" showErrorMessage="1" errorTitle="ATENÇÃO" error="SELECIONE O MÊS DE REFERÊNCIA" sqref="J9 M9" xr:uid="{0C842D12-8CF1-4344-8335-3587FC076304}"/>
    <dataValidation type="decimal" allowBlank="1" showInputMessage="1" showErrorMessage="1" errorTitle="ATENÇÃO" error="APENAS NÚMEROS" sqref="N11:O11 C11:C41 M11:M41" xr:uid="{545896C6-9445-4AD7-85CE-EF28C5103CFF}">
      <formula1>-999999999999999000</formula1>
      <formula2>999999999999999000</formula2>
    </dataValidation>
    <dataValidation type="list" allowBlank="1" showInputMessage="1" showErrorMessage="1" errorTitle="ATENÇÃO" error="SELECIONE O MÊS DE REFERÊNCIA" sqref="E9" xr:uid="{054EFECA-501C-499B-9D34-2EF8BA6E1D57}">
      <formula1>$AC$6:$AC$17</formula1>
    </dataValidation>
    <dataValidation type="decimal" allowBlank="1" showInputMessage="1" showErrorMessage="1" errorTitle="GERENCIAMENTO" error="SIGA O GERENCIAMENTO DE 1% A 3%" sqref="Z11" xr:uid="{61DE8F26-655E-43EE-80F8-1986D9681C2E}">
      <formula1>0.000001</formula1>
      <formula2>0.03</formula2>
    </dataValidation>
    <dataValidation type="list" allowBlank="1" showInputMessage="1" showErrorMessage="1" sqref="E13:E41" xr:uid="{31173ABA-E8EB-45E7-87ED-3230F0BFC91D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201A3-7B9C-48D5-8F64-7C2ACC3B7DB7}">
  <sheetPr codeName="Planilha12">
    <tabColor rgb="FFFFC000"/>
  </sheetPr>
  <dimension ref="A1:AC42"/>
  <sheetViews>
    <sheetView showGridLines="0" showRowColHeaders="0" zoomScale="85" zoomScaleNormal="85" workbookViewId="0">
      <selection activeCell="E9" sqref="E9:F9"/>
    </sheetView>
  </sheetViews>
  <sheetFormatPr defaultColWidth="0" defaultRowHeight="15" customHeight="1" zeroHeight="1" x14ac:dyDescent="0.25"/>
  <cols>
    <col min="1" max="1" width="3.7109375" style="4" customWidth="1"/>
    <col min="2" max="2" width="4.5703125" style="4" customWidth="1"/>
    <col min="3" max="3" width="12.7109375" style="4" customWidth="1"/>
    <col min="4" max="4" width="12.140625" style="4" customWidth="1"/>
    <col min="5" max="5" width="15.7109375" style="4" customWidth="1"/>
    <col min="6" max="6" width="30.7109375" style="25" customWidth="1"/>
    <col min="7" max="9" width="0.5703125" style="4" customWidth="1"/>
    <col min="10" max="10" width="4.5703125" style="4" customWidth="1"/>
    <col min="11" max="12" width="15.7109375" style="4" customWidth="1"/>
    <col min="13" max="13" width="1.7109375" style="4" customWidth="1"/>
    <col min="14" max="14" width="15.7109375" style="4" customWidth="1"/>
    <col min="15" max="15" width="9.5703125" style="4" bestFit="1" customWidth="1"/>
    <col min="16" max="20" width="9.140625" style="4" customWidth="1"/>
    <col min="21" max="21" width="12.140625" style="4" customWidth="1"/>
    <col min="22" max="22" width="12.85546875" style="4" customWidth="1"/>
    <col min="23" max="23" width="18" style="4" customWidth="1"/>
    <col min="24" max="24" width="13.85546875" style="4" customWidth="1"/>
    <col min="25" max="25" width="15.140625" style="4" customWidth="1"/>
    <col min="26" max="26" width="9.7109375" style="4" bestFit="1" customWidth="1"/>
    <col min="27" max="28" width="2.28515625" style="4" customWidth="1"/>
    <col min="29" max="16384" width="9.140625" style="4" hidden="1"/>
  </cols>
  <sheetData>
    <row r="1" spans="1:29" x14ac:dyDescent="0.25">
      <c r="A1" s="41"/>
      <c r="B1" s="41"/>
      <c r="C1" s="41"/>
      <c r="D1" s="41"/>
      <c r="E1" s="41"/>
      <c r="F1" s="42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3"/>
      <c r="AB1" s="41"/>
      <c r="AC1" s="10">
        <v>0.01</v>
      </c>
    </row>
    <row r="2" spans="1:29" x14ac:dyDescent="0.25">
      <c r="A2" s="41"/>
      <c r="B2" s="41"/>
      <c r="C2" s="44" t="s">
        <v>103</v>
      </c>
      <c r="D2" s="79">
        <f ca="1">TODAY()</f>
        <v>44422</v>
      </c>
      <c r="E2" s="80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59" t="s">
        <v>110</v>
      </c>
      <c r="Z2" s="41"/>
      <c r="AA2" s="43"/>
      <c r="AB2" s="41"/>
      <c r="AC2" s="10"/>
    </row>
    <row r="3" spans="1:29" x14ac:dyDescent="0.25">
      <c r="A3" s="41"/>
      <c r="B3" s="41"/>
      <c r="C3" s="41"/>
      <c r="D3" s="41"/>
      <c r="E3" s="41"/>
      <c r="F3" s="42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3"/>
      <c r="AB3" s="41"/>
      <c r="AC3" s="10"/>
    </row>
    <row r="4" spans="1:29" x14ac:dyDescent="0.25">
      <c r="A4" s="41"/>
      <c r="B4" s="41"/>
      <c r="C4" s="41"/>
      <c r="D4" s="41"/>
      <c r="E4" s="41"/>
      <c r="F4" s="42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3"/>
      <c r="AB4" s="41"/>
      <c r="AC4" s="10">
        <v>0.02</v>
      </c>
    </row>
    <row r="5" spans="1:29" x14ac:dyDescent="0.25">
      <c r="A5" s="41"/>
      <c r="B5" s="41"/>
      <c r="C5" s="41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3"/>
      <c r="AB5" s="41"/>
      <c r="AC5" s="10">
        <v>0.03</v>
      </c>
    </row>
    <row r="6" spans="1:29" x14ac:dyDescent="0.25">
      <c r="A6" s="41"/>
      <c r="B6" s="41"/>
      <c r="C6" s="41"/>
      <c r="D6" s="41"/>
      <c r="E6" s="41"/>
      <c r="F6" s="42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3"/>
      <c r="AB6" s="41"/>
      <c r="AC6" s="11" t="s">
        <v>26</v>
      </c>
    </row>
    <row r="7" spans="1:29" x14ac:dyDescent="0.25">
      <c r="A7" s="41"/>
      <c r="B7" s="41"/>
      <c r="C7" s="41"/>
      <c r="D7" s="41"/>
      <c r="E7" s="41"/>
      <c r="F7" s="42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3"/>
      <c r="AB7" s="41"/>
      <c r="AC7" s="11" t="s">
        <v>27</v>
      </c>
    </row>
    <row r="8" spans="1:29" ht="15.75" thickBot="1" x14ac:dyDescent="0.3">
      <c r="A8" s="41"/>
      <c r="B8" s="41"/>
      <c r="C8" s="41"/>
      <c r="D8" s="41"/>
      <c r="E8" s="41"/>
      <c r="F8" s="42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3"/>
      <c r="AB8" s="41"/>
      <c r="AC8" s="11" t="s">
        <v>28</v>
      </c>
    </row>
    <row r="9" spans="1:29" ht="19.5" thickBot="1" x14ac:dyDescent="0.3">
      <c r="A9" s="41"/>
      <c r="B9" s="81" t="s">
        <v>38</v>
      </c>
      <c r="C9" s="82"/>
      <c r="D9" s="83"/>
      <c r="E9" s="84" t="s">
        <v>30</v>
      </c>
      <c r="F9" s="85"/>
      <c r="G9" s="57"/>
      <c r="H9" s="57"/>
      <c r="I9" s="57"/>
      <c r="J9" s="81" t="s">
        <v>107</v>
      </c>
      <c r="K9" s="82"/>
      <c r="L9" s="88"/>
      <c r="M9" s="55"/>
      <c r="N9" s="5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3"/>
      <c r="AB9" s="41"/>
      <c r="AC9" s="11" t="s">
        <v>29</v>
      </c>
    </row>
    <row r="10" spans="1:29" ht="16.5" thickBot="1" x14ac:dyDescent="0.3">
      <c r="A10" s="41"/>
      <c r="B10" s="60" t="s">
        <v>0</v>
      </c>
      <c r="C10" s="61" t="s">
        <v>1</v>
      </c>
      <c r="D10" s="61" t="s">
        <v>3</v>
      </c>
      <c r="E10" s="61" t="s">
        <v>2</v>
      </c>
      <c r="F10" s="62" t="s">
        <v>105</v>
      </c>
      <c r="G10" s="57"/>
      <c r="H10" s="57"/>
      <c r="I10" s="57"/>
      <c r="J10" s="63" t="s">
        <v>0</v>
      </c>
      <c r="K10" s="64" t="s">
        <v>108</v>
      </c>
      <c r="L10" s="65" t="s">
        <v>109</v>
      </c>
      <c r="M10" s="40"/>
      <c r="N10" s="86" t="s">
        <v>5</v>
      </c>
      <c r="O10" s="87"/>
      <c r="P10" s="87" t="s">
        <v>4</v>
      </c>
      <c r="Q10" s="87"/>
      <c r="R10" s="87" t="s">
        <v>6</v>
      </c>
      <c r="S10" s="87"/>
      <c r="T10" s="53" t="s">
        <v>24</v>
      </c>
      <c r="U10" s="53" t="s">
        <v>23</v>
      </c>
      <c r="V10" s="75" t="s">
        <v>21</v>
      </c>
      <c r="W10" s="75"/>
      <c r="X10" s="53" t="s">
        <v>7</v>
      </c>
      <c r="Y10" s="53" t="s">
        <v>102</v>
      </c>
      <c r="Z10" s="5" t="s">
        <v>25</v>
      </c>
      <c r="AA10" s="43"/>
      <c r="AB10" s="41"/>
      <c r="AC10" s="11" t="s">
        <v>30</v>
      </c>
    </row>
    <row r="11" spans="1:29" ht="16.5" thickBot="1" x14ac:dyDescent="0.3">
      <c r="A11" s="41"/>
      <c r="B11" s="21">
        <v>1</v>
      </c>
      <c r="C11" s="70"/>
      <c r="D11" s="23">
        <f>N11+C11</f>
        <v>0</v>
      </c>
      <c r="E11" s="24" t="str">
        <f>IF(ISBLANK($C11),"Em Branco/Folga",IF($C11&gt;=$G11,"Atingiu",IF($C11&lt;0,"Prejuizo",IF($C11&lt;$G11,"Não Atingiu"))))</f>
        <v>Em Branco/Folga</v>
      </c>
      <c r="F11" s="26" t="str">
        <f t="shared" ref="F11:F15" si="0">IF(ISBLANK($C11),"Em Branco",IF($I11&gt;$C11,"Está Arriscando Sua Banca",IF($C11&lt;=$H11,"Parabéns Seguiu Gerenciamento","Está Se Arriscando Acima De 3%")))</f>
        <v>Em Branco</v>
      </c>
      <c r="G11" s="58">
        <f>(($Z$11)*($N$11+SUM($K$11:K11)+SUM($L$11:L11)))</f>
        <v>0</v>
      </c>
      <c r="H11" s="58">
        <f>((0.01)*($N$11+SUM($K$11:K11)+SUM($L$11:L11))*3)</f>
        <v>0</v>
      </c>
      <c r="I11" s="58">
        <f t="shared" ref="I11:I41" si="1">-$H11</f>
        <v>0</v>
      </c>
      <c r="J11" s="21">
        <v>1</v>
      </c>
      <c r="K11" s="66"/>
      <c r="L11" s="36"/>
      <c r="M11" s="56"/>
      <c r="N11" s="89">
        <v>0</v>
      </c>
      <c r="O11" s="90"/>
      <c r="P11" s="78">
        <f>Z11*R11</f>
        <v>0</v>
      </c>
      <c r="Q11" s="78"/>
      <c r="R11" s="78">
        <f>(SUM(N11+SUM(C11:C41)))+(SUM(K11:K41))+(SUM(L11:L41))</f>
        <v>0</v>
      </c>
      <c r="S11" s="78"/>
      <c r="T11" s="52">
        <f>P11*0.2</f>
        <v>0</v>
      </c>
      <c r="U11" s="46">
        <f>R11*0.03</f>
        <v>0</v>
      </c>
      <c r="V11" s="47">
        <f>(R11)-(N11)-(SUM(K11:K41))-(SUM(L11:L41))</f>
        <v>0</v>
      </c>
      <c r="W11" s="48">
        <f>V11*Y11</f>
        <v>0</v>
      </c>
      <c r="X11" s="49" t="e">
        <f>(($R$11-$N$11)/$N$11)</f>
        <v>#DIV/0!</v>
      </c>
      <c r="Y11" s="18">
        <f>COTAÇÃO!B6/1000000</f>
        <v>5.2</v>
      </c>
      <c r="Z11" s="73">
        <v>0.01</v>
      </c>
      <c r="AA11" s="43"/>
      <c r="AB11" s="41"/>
      <c r="AC11" s="11" t="s">
        <v>31</v>
      </c>
    </row>
    <row r="12" spans="1:29" ht="15" customHeight="1" thickTop="1" thickBot="1" x14ac:dyDescent="0.3">
      <c r="A12" s="41"/>
      <c r="B12" s="7">
        <v>2</v>
      </c>
      <c r="C12" s="71"/>
      <c r="D12" s="6">
        <f>D11+C12</f>
        <v>0</v>
      </c>
      <c r="E12" s="19" t="str">
        <f>IF(ISBLANK($C12),"Em Branco/Folga",IF($C12&gt;=$G12,"Atingiu",IF($C12&lt;0,"Prejuizo",IF($C12&lt;$G12,"Não Atingiu"))))</f>
        <v>Em Branco/Folga</v>
      </c>
      <c r="F12" s="26" t="str">
        <f t="shared" si="0"/>
        <v>Em Branco</v>
      </c>
      <c r="G12" s="58">
        <f>(($Z$11)*($N$11+SUM($C$11:C11)+SUM($K$11:K12)+SUM($L$11:L12)))</f>
        <v>0</v>
      </c>
      <c r="H12" s="58">
        <f>((0.01)*($N$11+SUM($C$11:C11)+SUM($K$11:K12)+SUM($L$11:L12))*3)</f>
        <v>0</v>
      </c>
      <c r="I12" s="58">
        <f t="shared" si="1"/>
        <v>0</v>
      </c>
      <c r="J12" s="7">
        <v>2</v>
      </c>
      <c r="K12" s="67"/>
      <c r="L12" s="37"/>
      <c r="M12" s="56"/>
      <c r="N12" s="50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3"/>
      <c r="AB12" s="41"/>
      <c r="AC12" s="11" t="s">
        <v>32</v>
      </c>
    </row>
    <row r="13" spans="1:29" ht="15" customHeight="1" thickTop="1" thickBot="1" x14ac:dyDescent="0.3">
      <c r="A13" s="41"/>
      <c r="B13" s="7">
        <v>3</v>
      </c>
      <c r="C13" s="70"/>
      <c r="D13" s="6">
        <f>D12+C13</f>
        <v>0</v>
      </c>
      <c r="E13" s="19" t="str">
        <f t="shared" ref="E13:E41" si="2">IF(ISBLANK($C13),"Em Branco/Folga",IF($C13&gt;=$G13,"Atingiu",IF($C13&lt;0,"Prejuizo",IF($C13&lt;$G13,"Não Atingiu"))))</f>
        <v>Em Branco/Folga</v>
      </c>
      <c r="F13" s="26" t="str">
        <f t="shared" si="0"/>
        <v>Em Branco</v>
      </c>
      <c r="G13" s="58">
        <f>(($Z$11)*($N$11+SUM($C$11:C12)+SUM($K$11:K13)+SUM($L$11:L13)))</f>
        <v>0</v>
      </c>
      <c r="H13" s="58">
        <f>((0.01)*($N$11+SUM($C$11:C12)+SUM($K$11:K13)+SUM($L$11:L13))*3)</f>
        <v>0</v>
      </c>
      <c r="I13" s="58">
        <f t="shared" si="1"/>
        <v>0</v>
      </c>
      <c r="J13" s="7">
        <v>3</v>
      </c>
      <c r="K13" s="68"/>
      <c r="L13" s="38"/>
      <c r="M13" s="56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3"/>
      <c r="AB13" s="41"/>
      <c r="AC13" s="11" t="s">
        <v>33</v>
      </c>
    </row>
    <row r="14" spans="1:29" ht="15" customHeight="1" thickTop="1" thickBot="1" x14ac:dyDescent="0.3">
      <c r="A14" s="41"/>
      <c r="B14" s="7">
        <v>4</v>
      </c>
      <c r="C14" s="71"/>
      <c r="D14" s="6">
        <f>D13+C14</f>
        <v>0</v>
      </c>
      <c r="E14" s="19" t="str">
        <f t="shared" si="2"/>
        <v>Em Branco/Folga</v>
      </c>
      <c r="F14" s="26" t="str">
        <f t="shared" si="0"/>
        <v>Em Branco</v>
      </c>
      <c r="G14" s="58">
        <f>(($Z$11)*($N$11+SUM($C$11:C13)+SUM($K$11:K14)+SUM($L$11:L14)))</f>
        <v>0</v>
      </c>
      <c r="H14" s="58">
        <f>((0.01)*($N$11+SUM($C$11:C13)+SUM($K$11:K14)+SUM($L$11:L14))*3)</f>
        <v>0</v>
      </c>
      <c r="I14" s="58">
        <f t="shared" si="1"/>
        <v>0</v>
      </c>
      <c r="J14" s="7">
        <v>4</v>
      </c>
      <c r="K14" s="67"/>
      <c r="L14" s="37"/>
      <c r="M14" s="56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3"/>
      <c r="AB14" s="41"/>
      <c r="AC14" s="11" t="s">
        <v>34</v>
      </c>
    </row>
    <row r="15" spans="1:29" ht="15" customHeight="1" thickTop="1" thickBot="1" x14ac:dyDescent="0.3">
      <c r="A15" s="41"/>
      <c r="B15" s="7">
        <v>5</v>
      </c>
      <c r="C15" s="70"/>
      <c r="D15" s="6">
        <f>D14+C15</f>
        <v>0</v>
      </c>
      <c r="E15" s="19" t="str">
        <f t="shared" si="2"/>
        <v>Em Branco/Folga</v>
      </c>
      <c r="F15" s="26" t="str">
        <f t="shared" si="0"/>
        <v>Em Branco</v>
      </c>
      <c r="G15" s="58">
        <f>(($Z$11)*($N$11+SUM($C$11:C14)+SUM($K$11:K15)+SUM($L$11:L15)))</f>
        <v>0</v>
      </c>
      <c r="H15" s="58">
        <f>((0.01)*($N$11+SUM($C$11:C14)+SUM($K$11:K15)+SUM($L$11:L15))*3)</f>
        <v>0</v>
      </c>
      <c r="I15" s="58">
        <f t="shared" si="1"/>
        <v>0</v>
      </c>
      <c r="J15" s="7">
        <v>5</v>
      </c>
      <c r="K15" s="68"/>
      <c r="L15" s="38"/>
      <c r="M15" s="56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3"/>
      <c r="AB15" s="41"/>
      <c r="AC15" s="11" t="s">
        <v>35</v>
      </c>
    </row>
    <row r="16" spans="1:29" ht="15" customHeight="1" thickTop="1" thickBot="1" x14ac:dyDescent="0.3">
      <c r="A16" s="41"/>
      <c r="B16" s="7">
        <v>6</v>
      </c>
      <c r="C16" s="70"/>
      <c r="D16" s="6">
        <f>D15+C16</f>
        <v>0</v>
      </c>
      <c r="E16" s="19" t="str">
        <f t="shared" si="2"/>
        <v>Em Branco/Folga</v>
      </c>
      <c r="F16" s="26" t="str">
        <f>IF(ISBLANK($C16),"Em Branco",IF($I16&gt;$C16,"Está Arriscando Sua Banca",IF($C16&lt;=$H16,"Parabéns Seguiu Gerenciamento","Está Se Arriscando Acima De 3%")))</f>
        <v>Em Branco</v>
      </c>
      <c r="G16" s="58">
        <f>(($Z$11)*($N$11+SUM($C$11:C15)+SUM($K$11:K16)+SUM($L$11:L16)))</f>
        <v>0</v>
      </c>
      <c r="H16" s="58">
        <f>((0.01)*($N$11+SUM($C$11:C15)+SUM($K$11:K16)+SUM($L$11:L16))*3)</f>
        <v>0</v>
      </c>
      <c r="I16" s="58">
        <f t="shared" si="1"/>
        <v>0</v>
      </c>
      <c r="J16" s="7">
        <v>6</v>
      </c>
      <c r="K16" s="67"/>
      <c r="L16" s="37"/>
      <c r="M16" s="56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3"/>
      <c r="AB16" s="41"/>
      <c r="AC16" s="11" t="s">
        <v>36</v>
      </c>
    </row>
    <row r="17" spans="1:29" ht="15" customHeight="1" thickTop="1" thickBot="1" x14ac:dyDescent="0.3">
      <c r="A17" s="41"/>
      <c r="B17" s="7">
        <v>7</v>
      </c>
      <c r="C17" s="70"/>
      <c r="D17" s="6">
        <f t="shared" ref="D17:D41" si="3">D16+C17</f>
        <v>0</v>
      </c>
      <c r="E17" s="19" t="str">
        <f t="shared" si="2"/>
        <v>Em Branco/Folga</v>
      </c>
      <c r="F17" s="26" t="str">
        <f t="shared" ref="F17:F41" si="4">IF(ISBLANK($C17),"Em Branco",IF(I17&gt;C17,"Está Arriscando Sua Banca",IF($C17&lt;=$H17,"Parabéns Seguiu Gerenciamento","Está Se Arriscando Acima De 3%")))</f>
        <v>Em Branco</v>
      </c>
      <c r="G17" s="58">
        <f>(($Z$11)*($N$11+SUM($C$11:C16)+SUM($K$11:K17)+SUM($L$11:L17)))</f>
        <v>0</v>
      </c>
      <c r="H17" s="58">
        <f>((0.01)*($N$11+SUM($C$11:C16)+SUM($K$11:K17)+SUM($L$11:L17))*3)</f>
        <v>0</v>
      </c>
      <c r="I17" s="58">
        <f t="shared" si="1"/>
        <v>0</v>
      </c>
      <c r="J17" s="7">
        <v>7</v>
      </c>
      <c r="K17" s="68"/>
      <c r="L17" s="38"/>
      <c r="M17" s="56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3"/>
      <c r="AB17" s="41"/>
      <c r="AC17" s="11" t="s">
        <v>37</v>
      </c>
    </row>
    <row r="18" spans="1:29" ht="15" customHeight="1" thickTop="1" thickBot="1" x14ac:dyDescent="0.3">
      <c r="A18" s="41"/>
      <c r="B18" s="7">
        <v>8</v>
      </c>
      <c r="C18" s="70"/>
      <c r="D18" s="6">
        <f t="shared" si="3"/>
        <v>0</v>
      </c>
      <c r="E18" s="19" t="str">
        <f t="shared" si="2"/>
        <v>Em Branco/Folga</v>
      </c>
      <c r="F18" s="26" t="str">
        <f t="shared" si="4"/>
        <v>Em Branco</v>
      </c>
      <c r="G18" s="58">
        <f>(($Z$11)*($N$11+SUM($C$11:C17)+SUM($K$11:K18)+SUM($L$11:L18)))</f>
        <v>0</v>
      </c>
      <c r="H18" s="58">
        <f>((0.01)*($N$11+SUM($C$11:C17)+SUM($K$11:K18)+SUM($L$11:L18))*3)</f>
        <v>0</v>
      </c>
      <c r="I18" s="58">
        <f t="shared" si="1"/>
        <v>0</v>
      </c>
      <c r="J18" s="7">
        <v>8</v>
      </c>
      <c r="K18" s="67"/>
      <c r="L18" s="37"/>
      <c r="M18" s="56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3"/>
      <c r="AB18" s="41"/>
      <c r="AC18" s="12"/>
    </row>
    <row r="19" spans="1:29" ht="15" customHeight="1" thickTop="1" thickBot="1" x14ac:dyDescent="0.3">
      <c r="A19" s="41"/>
      <c r="B19" s="7">
        <v>9</v>
      </c>
      <c r="C19" s="70"/>
      <c r="D19" s="6">
        <f t="shared" si="3"/>
        <v>0</v>
      </c>
      <c r="E19" s="19" t="str">
        <f t="shared" si="2"/>
        <v>Em Branco/Folga</v>
      </c>
      <c r="F19" s="26" t="str">
        <f t="shared" si="4"/>
        <v>Em Branco</v>
      </c>
      <c r="G19" s="58">
        <f>(($Z$11)*($N$11+SUM($C$11:C18)+SUM($K$11:K19)+SUM($L$11:L19)))</f>
        <v>0</v>
      </c>
      <c r="H19" s="58">
        <f>((0.01)*($N$11+SUM($C$11:C18)+SUM($K$11:K19)+SUM($L$11:L19))*3)</f>
        <v>0</v>
      </c>
      <c r="I19" s="58">
        <f t="shared" si="1"/>
        <v>0</v>
      </c>
      <c r="J19" s="7">
        <v>9</v>
      </c>
      <c r="K19" s="68"/>
      <c r="L19" s="38"/>
      <c r="M19" s="56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3"/>
      <c r="AB19" s="41"/>
      <c r="AC19" s="12"/>
    </row>
    <row r="20" spans="1:29" ht="15" customHeight="1" thickTop="1" thickBot="1" x14ac:dyDescent="0.3">
      <c r="A20" s="41"/>
      <c r="B20" s="7">
        <v>10</v>
      </c>
      <c r="C20" s="70"/>
      <c r="D20" s="6">
        <f t="shared" si="3"/>
        <v>0</v>
      </c>
      <c r="E20" s="19" t="str">
        <f t="shared" si="2"/>
        <v>Em Branco/Folga</v>
      </c>
      <c r="F20" s="26" t="str">
        <f t="shared" si="4"/>
        <v>Em Branco</v>
      </c>
      <c r="G20" s="58">
        <f>(($Z$11)*($N$11+SUM($C$11:C19)+SUM($K$11:K20)+SUM($L$11:L20)))</f>
        <v>0</v>
      </c>
      <c r="H20" s="58">
        <f>((0.01)*($N$11+SUM($C$11:C19)+SUM($K$11:K20)+SUM($L$11:L20))*3)</f>
        <v>0</v>
      </c>
      <c r="I20" s="58">
        <f t="shared" si="1"/>
        <v>0</v>
      </c>
      <c r="J20" s="7">
        <v>10</v>
      </c>
      <c r="K20" s="67"/>
      <c r="L20" s="37"/>
      <c r="M20" s="56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3"/>
      <c r="AB20" s="41"/>
      <c r="AC20" s="12"/>
    </row>
    <row r="21" spans="1:29" ht="15" customHeight="1" thickTop="1" thickBot="1" x14ac:dyDescent="0.3">
      <c r="A21" s="41"/>
      <c r="B21" s="7">
        <v>11</v>
      </c>
      <c r="C21" s="70"/>
      <c r="D21" s="6">
        <f t="shared" si="3"/>
        <v>0</v>
      </c>
      <c r="E21" s="19" t="str">
        <f t="shared" si="2"/>
        <v>Em Branco/Folga</v>
      </c>
      <c r="F21" s="26" t="str">
        <f t="shared" si="4"/>
        <v>Em Branco</v>
      </c>
      <c r="G21" s="58">
        <f>(($Z$11)*($N$11+SUM($C$11:C20)+SUM($K$11:K21)+SUM($L$11:L21)))</f>
        <v>0</v>
      </c>
      <c r="H21" s="58">
        <f>((0.01)*($N$11+SUM($C$11:C20)+SUM($K$11:K21)+SUM($L$11:L21))*3)</f>
        <v>0</v>
      </c>
      <c r="I21" s="58">
        <f t="shared" si="1"/>
        <v>0</v>
      </c>
      <c r="J21" s="7">
        <v>11</v>
      </c>
      <c r="K21" s="68"/>
      <c r="L21" s="38"/>
      <c r="M21" s="56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12"/>
    </row>
    <row r="22" spans="1:29" ht="15" customHeight="1" thickTop="1" thickBot="1" x14ac:dyDescent="0.3">
      <c r="A22" s="41"/>
      <c r="B22" s="7">
        <v>12</v>
      </c>
      <c r="C22" s="70"/>
      <c r="D22" s="6">
        <f t="shared" si="3"/>
        <v>0</v>
      </c>
      <c r="E22" s="19" t="str">
        <f t="shared" si="2"/>
        <v>Em Branco/Folga</v>
      </c>
      <c r="F22" s="26" t="str">
        <f t="shared" si="4"/>
        <v>Em Branco</v>
      </c>
      <c r="G22" s="58">
        <f>(($Z$11)*($N$11+SUM($C$11:C21)+SUM($K$11:K22)+SUM($L$11:L22)))</f>
        <v>0</v>
      </c>
      <c r="H22" s="58">
        <f>((0.01)*($N$11+SUM($C$11:C21)+SUM($K$11:K22)+SUM($L$11:L22))*3)</f>
        <v>0</v>
      </c>
      <c r="I22" s="58">
        <f t="shared" si="1"/>
        <v>0</v>
      </c>
      <c r="J22" s="7">
        <v>12</v>
      </c>
      <c r="K22" s="67"/>
      <c r="L22" s="37"/>
      <c r="M22" s="56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12"/>
    </row>
    <row r="23" spans="1:29" ht="15" customHeight="1" thickTop="1" thickBot="1" x14ac:dyDescent="0.3">
      <c r="A23" s="41"/>
      <c r="B23" s="7">
        <v>13</v>
      </c>
      <c r="C23" s="71"/>
      <c r="D23" s="6">
        <f t="shared" si="3"/>
        <v>0</v>
      </c>
      <c r="E23" s="19" t="str">
        <f t="shared" si="2"/>
        <v>Em Branco/Folga</v>
      </c>
      <c r="F23" s="26" t="str">
        <f t="shared" si="4"/>
        <v>Em Branco</v>
      </c>
      <c r="G23" s="58">
        <f>(($Z$11)*($N$11+SUM($C$11:C22)+SUM($K$11:K23)+SUM($L$11:L23)))</f>
        <v>0</v>
      </c>
      <c r="H23" s="58">
        <f>((0.01)*($N$11+SUM($C$11:C22)+SUM($K$11:K23)+SUM($L$11:L23))*3)</f>
        <v>0</v>
      </c>
      <c r="I23" s="58">
        <f t="shared" si="1"/>
        <v>0</v>
      </c>
      <c r="J23" s="7">
        <v>13</v>
      </c>
      <c r="K23" s="68"/>
      <c r="L23" s="38"/>
      <c r="M23" s="56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12"/>
    </row>
    <row r="24" spans="1:29" ht="15" customHeight="1" thickTop="1" thickBot="1" x14ac:dyDescent="0.3">
      <c r="A24" s="41"/>
      <c r="B24" s="7">
        <v>14</v>
      </c>
      <c r="C24" s="70"/>
      <c r="D24" s="6">
        <f t="shared" si="3"/>
        <v>0</v>
      </c>
      <c r="E24" s="19" t="str">
        <f t="shared" si="2"/>
        <v>Em Branco/Folga</v>
      </c>
      <c r="F24" s="26" t="str">
        <f t="shared" si="4"/>
        <v>Em Branco</v>
      </c>
      <c r="G24" s="58">
        <f>(($Z$11)*($N$11+SUM($C$11:C23)+SUM($K$11:K24)+SUM($L$11:L24)))</f>
        <v>0</v>
      </c>
      <c r="H24" s="58">
        <f>((0.01)*($N$11+SUM($C$11:C23)+SUM($K$11:K24)+SUM($L$11:L24))*3)</f>
        <v>0</v>
      </c>
      <c r="I24" s="58">
        <f t="shared" si="1"/>
        <v>0</v>
      </c>
      <c r="J24" s="7">
        <v>14</v>
      </c>
      <c r="K24" s="67"/>
      <c r="L24" s="37"/>
      <c r="M24" s="56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12"/>
    </row>
    <row r="25" spans="1:29" ht="15" customHeight="1" thickTop="1" thickBot="1" x14ac:dyDescent="0.3">
      <c r="A25" s="41"/>
      <c r="B25" s="7">
        <v>15</v>
      </c>
      <c r="C25" s="71"/>
      <c r="D25" s="6">
        <f t="shared" si="3"/>
        <v>0</v>
      </c>
      <c r="E25" s="19" t="str">
        <f t="shared" si="2"/>
        <v>Em Branco/Folga</v>
      </c>
      <c r="F25" s="26" t="str">
        <f t="shared" si="4"/>
        <v>Em Branco</v>
      </c>
      <c r="G25" s="58">
        <f>(($Z$11)*($N$11+SUM($C$11:C24)+SUM($K$11:K25)+SUM($L$11:L25)))</f>
        <v>0</v>
      </c>
      <c r="H25" s="58">
        <f>((0.01)*($N$11+SUM($C$11:C24)+SUM($K$11:K25)+SUM($L$11:L25))*3)</f>
        <v>0</v>
      </c>
      <c r="I25" s="58">
        <f t="shared" si="1"/>
        <v>0</v>
      </c>
      <c r="J25" s="7">
        <v>15</v>
      </c>
      <c r="K25" s="68"/>
      <c r="L25" s="38"/>
      <c r="M25" s="56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12"/>
    </row>
    <row r="26" spans="1:29" ht="15" customHeight="1" thickTop="1" thickBot="1" x14ac:dyDescent="0.3">
      <c r="A26" s="41"/>
      <c r="B26" s="7">
        <v>16</v>
      </c>
      <c r="C26" s="70"/>
      <c r="D26" s="6">
        <f t="shared" si="3"/>
        <v>0</v>
      </c>
      <c r="E26" s="19" t="str">
        <f t="shared" si="2"/>
        <v>Em Branco/Folga</v>
      </c>
      <c r="F26" s="26" t="str">
        <f t="shared" si="4"/>
        <v>Em Branco</v>
      </c>
      <c r="G26" s="58">
        <f>(($Z$11)*($N$11+SUM($C$11:C25)+SUM($K$11:K26)+SUM($L$11:L26)))</f>
        <v>0</v>
      </c>
      <c r="H26" s="58">
        <f>((0.01)*($N$11+SUM($C$11:C25)+SUM($K$11:K26)+SUM($L$11:L26))*3)</f>
        <v>0</v>
      </c>
      <c r="I26" s="58">
        <f t="shared" si="1"/>
        <v>0</v>
      </c>
      <c r="J26" s="7">
        <v>16</v>
      </c>
      <c r="K26" s="67"/>
      <c r="L26" s="37"/>
      <c r="M26" s="56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12"/>
    </row>
    <row r="27" spans="1:29" ht="15" customHeight="1" thickTop="1" thickBot="1" x14ac:dyDescent="0.3">
      <c r="A27" s="41"/>
      <c r="B27" s="7">
        <v>17</v>
      </c>
      <c r="C27" s="70"/>
      <c r="D27" s="6">
        <f t="shared" si="3"/>
        <v>0</v>
      </c>
      <c r="E27" s="19" t="str">
        <f t="shared" si="2"/>
        <v>Em Branco/Folga</v>
      </c>
      <c r="F27" s="26" t="str">
        <f t="shared" si="4"/>
        <v>Em Branco</v>
      </c>
      <c r="G27" s="58">
        <f>(($Z$11)*($N$11+SUM($C$11:C26)+SUM($K$11:K27)+SUM($L$11:L27)))</f>
        <v>0</v>
      </c>
      <c r="H27" s="58">
        <f>((0.01)*($N$11+SUM($C$11:C26)+SUM($K$11:K27)+SUM($L$11:L27))*3)</f>
        <v>0</v>
      </c>
      <c r="I27" s="58">
        <f t="shared" si="1"/>
        <v>0</v>
      </c>
      <c r="J27" s="7">
        <v>17</v>
      </c>
      <c r="K27" s="68"/>
      <c r="L27" s="38"/>
      <c r="M27" s="56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12"/>
    </row>
    <row r="28" spans="1:29" ht="15" customHeight="1" thickTop="1" thickBot="1" x14ac:dyDescent="0.3">
      <c r="A28" s="41"/>
      <c r="B28" s="7">
        <v>18</v>
      </c>
      <c r="C28" s="70"/>
      <c r="D28" s="6">
        <f t="shared" si="3"/>
        <v>0</v>
      </c>
      <c r="E28" s="19" t="str">
        <f t="shared" si="2"/>
        <v>Em Branco/Folga</v>
      </c>
      <c r="F28" s="26" t="str">
        <f t="shared" si="4"/>
        <v>Em Branco</v>
      </c>
      <c r="G28" s="58">
        <f>(($Z$11)*($N$11+SUM($C$11:C27)+SUM($K$11:K28)+SUM($L$11:L28)))</f>
        <v>0</v>
      </c>
      <c r="H28" s="58">
        <f>((0.01)*($N$11+SUM($C$11:C27)+SUM($K$11:K28)+SUM($L$11:L28))*3)</f>
        <v>0</v>
      </c>
      <c r="I28" s="58">
        <f t="shared" si="1"/>
        <v>0</v>
      </c>
      <c r="J28" s="7">
        <v>18</v>
      </c>
      <c r="K28" s="67"/>
      <c r="L28" s="37"/>
      <c r="M28" s="56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12"/>
    </row>
    <row r="29" spans="1:29" ht="15" customHeight="1" thickTop="1" thickBot="1" x14ac:dyDescent="0.3">
      <c r="A29" s="41"/>
      <c r="B29" s="7">
        <v>19</v>
      </c>
      <c r="C29" s="70"/>
      <c r="D29" s="6">
        <f t="shared" si="3"/>
        <v>0</v>
      </c>
      <c r="E29" s="19" t="str">
        <f t="shared" si="2"/>
        <v>Em Branco/Folga</v>
      </c>
      <c r="F29" s="26" t="str">
        <f t="shared" si="4"/>
        <v>Em Branco</v>
      </c>
      <c r="G29" s="58">
        <f>(($Z$11)*($N$11+SUM($C$11:C28)+SUM($K$11:K29)+SUM($L$11:L29)))</f>
        <v>0</v>
      </c>
      <c r="H29" s="58">
        <f>((0.01)*($N$11+SUM($C$11:C28)+SUM($K$11:K29)+SUM($L$11:L29))*3)</f>
        <v>0</v>
      </c>
      <c r="I29" s="58">
        <f t="shared" si="1"/>
        <v>0</v>
      </c>
      <c r="J29" s="7">
        <v>19</v>
      </c>
      <c r="K29" s="68"/>
      <c r="L29" s="38"/>
      <c r="M29" s="56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12"/>
    </row>
    <row r="30" spans="1:29" ht="15" customHeight="1" thickTop="1" thickBot="1" x14ac:dyDescent="0.3">
      <c r="A30" s="41"/>
      <c r="B30" s="7">
        <v>20</v>
      </c>
      <c r="C30" s="70"/>
      <c r="D30" s="6">
        <f t="shared" si="3"/>
        <v>0</v>
      </c>
      <c r="E30" s="19" t="str">
        <f t="shared" si="2"/>
        <v>Em Branco/Folga</v>
      </c>
      <c r="F30" s="26" t="str">
        <f t="shared" si="4"/>
        <v>Em Branco</v>
      </c>
      <c r="G30" s="58">
        <f>(($Z$11)*($N$11+SUM($C$11:C29)+SUM($K$11:K30)+SUM($L$11:L30)))</f>
        <v>0</v>
      </c>
      <c r="H30" s="58">
        <f>((0.01)*($N$11+SUM($C$11:C29)+SUM($K$11:K30)+SUM($L$11:L30))*3)</f>
        <v>0</v>
      </c>
      <c r="I30" s="58">
        <f t="shared" si="1"/>
        <v>0</v>
      </c>
      <c r="J30" s="7">
        <v>20</v>
      </c>
      <c r="K30" s="67"/>
      <c r="L30" s="37"/>
      <c r="M30" s="56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12"/>
    </row>
    <row r="31" spans="1:29" ht="15" customHeight="1" thickTop="1" thickBot="1" x14ac:dyDescent="0.3">
      <c r="A31" s="41"/>
      <c r="B31" s="7">
        <v>21</v>
      </c>
      <c r="C31" s="71"/>
      <c r="D31" s="6">
        <f t="shared" si="3"/>
        <v>0</v>
      </c>
      <c r="E31" s="19" t="str">
        <f t="shared" si="2"/>
        <v>Em Branco/Folga</v>
      </c>
      <c r="F31" s="26" t="str">
        <f t="shared" si="4"/>
        <v>Em Branco</v>
      </c>
      <c r="G31" s="58">
        <f>(($Z$11)*($N$11+SUM($C$11:C30)+SUM($K$11:K31)+SUM($L$11:L31)))</f>
        <v>0</v>
      </c>
      <c r="H31" s="58">
        <f>((0.01)*($N$11+SUM($C$11:C30)+SUM($K$11:K31)+SUM($L$11:L31))*3)</f>
        <v>0</v>
      </c>
      <c r="I31" s="58">
        <f t="shared" si="1"/>
        <v>0</v>
      </c>
      <c r="J31" s="7">
        <v>21</v>
      </c>
      <c r="K31" s="68"/>
      <c r="L31" s="38"/>
      <c r="M31" s="56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12"/>
    </row>
    <row r="32" spans="1:29" ht="15" customHeight="1" thickTop="1" thickBot="1" x14ac:dyDescent="0.3">
      <c r="A32" s="41"/>
      <c r="B32" s="7">
        <v>22</v>
      </c>
      <c r="C32" s="71"/>
      <c r="D32" s="6">
        <f t="shared" si="3"/>
        <v>0</v>
      </c>
      <c r="E32" s="19" t="str">
        <f t="shared" si="2"/>
        <v>Em Branco/Folga</v>
      </c>
      <c r="F32" s="26" t="str">
        <f t="shared" si="4"/>
        <v>Em Branco</v>
      </c>
      <c r="G32" s="58">
        <f>(($Z$11)*($N$11+SUM($C$11:C31)+SUM($K$11:K32)+SUM($L$11:L32)))</f>
        <v>0</v>
      </c>
      <c r="H32" s="58">
        <f>((0.01)*($N$11+SUM($C$11:C31)+SUM($K$11:K32)+SUM($L$11:L32))*3)</f>
        <v>0</v>
      </c>
      <c r="I32" s="58">
        <f t="shared" si="1"/>
        <v>0</v>
      </c>
      <c r="J32" s="7">
        <v>22</v>
      </c>
      <c r="K32" s="68"/>
      <c r="L32" s="38"/>
      <c r="M32" s="56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ht="15" customHeight="1" thickTop="1" thickBot="1" x14ac:dyDescent="0.3">
      <c r="A33" s="41"/>
      <c r="B33" s="7">
        <v>23</v>
      </c>
      <c r="C33" s="71"/>
      <c r="D33" s="6">
        <f t="shared" si="3"/>
        <v>0</v>
      </c>
      <c r="E33" s="19" t="str">
        <f t="shared" si="2"/>
        <v>Em Branco/Folga</v>
      </c>
      <c r="F33" s="26" t="str">
        <f t="shared" si="4"/>
        <v>Em Branco</v>
      </c>
      <c r="G33" s="58">
        <f>(($Z$11)*($N$11+SUM($C$11:C32)+SUM($K$11:K33)+SUM($L$11:L33)))</f>
        <v>0</v>
      </c>
      <c r="H33" s="58">
        <f>((0.01)*($N$11+SUM($C$11:C32)+SUM($K$11:K33)+SUM($L$11:L33))*3)</f>
        <v>0</v>
      </c>
      <c r="I33" s="58">
        <f t="shared" si="1"/>
        <v>0</v>
      </c>
      <c r="J33" s="7">
        <v>23</v>
      </c>
      <c r="K33" s="68"/>
      <c r="L33" s="38"/>
      <c r="M33" s="56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ht="15" customHeight="1" thickTop="1" thickBot="1" x14ac:dyDescent="0.3">
      <c r="A34" s="41"/>
      <c r="B34" s="7">
        <v>24</v>
      </c>
      <c r="C34" s="71"/>
      <c r="D34" s="6">
        <f t="shared" si="3"/>
        <v>0</v>
      </c>
      <c r="E34" s="19" t="str">
        <f t="shared" si="2"/>
        <v>Em Branco/Folga</v>
      </c>
      <c r="F34" s="26" t="str">
        <f t="shared" si="4"/>
        <v>Em Branco</v>
      </c>
      <c r="G34" s="58">
        <f>(($Z$11)*($N$11+SUM($C$11:C33)+SUM($K$11:K34)+SUM($L$11:L34)))</f>
        <v>0</v>
      </c>
      <c r="H34" s="58">
        <f>((0.01)*($N$11+SUM($C$11:C33)+SUM($K$11:K34)+SUM($L$11:L34))*3)</f>
        <v>0</v>
      </c>
      <c r="I34" s="58">
        <f t="shared" si="1"/>
        <v>0</v>
      </c>
      <c r="J34" s="7">
        <v>24</v>
      </c>
      <c r="K34" s="68"/>
      <c r="L34" s="38"/>
      <c r="M34" s="56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ht="15" customHeight="1" thickTop="1" thickBot="1" x14ac:dyDescent="0.3">
      <c r="A35" s="41"/>
      <c r="B35" s="7">
        <v>25</v>
      </c>
      <c r="C35" s="71"/>
      <c r="D35" s="6">
        <f t="shared" si="3"/>
        <v>0</v>
      </c>
      <c r="E35" s="19" t="str">
        <f t="shared" si="2"/>
        <v>Em Branco/Folga</v>
      </c>
      <c r="F35" s="26" t="str">
        <f t="shared" si="4"/>
        <v>Em Branco</v>
      </c>
      <c r="G35" s="58">
        <f>(($Z$11)*($N$11+SUM($C$11:C34)+SUM($K$11:K35)+SUM($L$11:L35)))</f>
        <v>0</v>
      </c>
      <c r="H35" s="58">
        <f>((0.01)*($N$11+SUM($C$11:C34)+SUM($K$11:K35)+SUM($L$11:L35))*3)</f>
        <v>0</v>
      </c>
      <c r="I35" s="58">
        <f t="shared" si="1"/>
        <v>0</v>
      </c>
      <c r="J35" s="7">
        <v>25</v>
      </c>
      <c r="K35" s="68"/>
      <c r="L35" s="38"/>
      <c r="M35" s="56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ht="15" customHeight="1" thickTop="1" thickBot="1" x14ac:dyDescent="0.3">
      <c r="A36" s="41"/>
      <c r="B36" s="7">
        <v>26</v>
      </c>
      <c r="C36" s="71"/>
      <c r="D36" s="6">
        <f t="shared" si="3"/>
        <v>0</v>
      </c>
      <c r="E36" s="19" t="str">
        <f t="shared" si="2"/>
        <v>Em Branco/Folga</v>
      </c>
      <c r="F36" s="26" t="str">
        <f t="shared" si="4"/>
        <v>Em Branco</v>
      </c>
      <c r="G36" s="58">
        <f>(($Z$11)*($N$11+SUM($C$11:C35)+SUM($K$11:K36)+SUM($L$11:L36)))</f>
        <v>0</v>
      </c>
      <c r="H36" s="58">
        <f>((0.01)*($N$11+SUM($C$11:C35)+SUM($K$11:K36)+SUM($L$11:L36))*3)</f>
        <v>0</v>
      </c>
      <c r="I36" s="58">
        <f t="shared" si="1"/>
        <v>0</v>
      </c>
      <c r="J36" s="7">
        <v>26</v>
      </c>
      <c r="K36" s="68"/>
      <c r="L36" s="38"/>
      <c r="M36" s="56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  <row r="37" spans="1:28" ht="15" customHeight="1" thickTop="1" thickBot="1" x14ac:dyDescent="0.3">
      <c r="A37" s="41"/>
      <c r="B37" s="7">
        <v>27</v>
      </c>
      <c r="C37" s="71"/>
      <c r="D37" s="6">
        <f t="shared" si="3"/>
        <v>0</v>
      </c>
      <c r="E37" s="19" t="str">
        <f t="shared" si="2"/>
        <v>Em Branco/Folga</v>
      </c>
      <c r="F37" s="26" t="str">
        <f t="shared" si="4"/>
        <v>Em Branco</v>
      </c>
      <c r="G37" s="58">
        <f>(($Z$11)*($N$11+SUM($C$11:C36)+SUM($K$11:K37)+SUM($L$11:L37)))</f>
        <v>0</v>
      </c>
      <c r="H37" s="58">
        <f>((0.01)*($N$11+SUM($C$11:C36)+SUM($K$11:K37)+SUM($L$11:L37))*3)</f>
        <v>0</v>
      </c>
      <c r="I37" s="58">
        <f t="shared" si="1"/>
        <v>0</v>
      </c>
      <c r="J37" s="7">
        <v>27</v>
      </c>
      <c r="K37" s="68"/>
      <c r="L37" s="38"/>
      <c r="M37" s="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</row>
    <row r="38" spans="1:28" ht="15" customHeight="1" thickTop="1" thickBot="1" x14ac:dyDescent="0.3">
      <c r="A38" s="41"/>
      <c r="B38" s="7">
        <v>28</v>
      </c>
      <c r="C38" s="71"/>
      <c r="D38" s="6">
        <f t="shared" si="3"/>
        <v>0</v>
      </c>
      <c r="E38" s="19" t="str">
        <f t="shared" si="2"/>
        <v>Em Branco/Folga</v>
      </c>
      <c r="F38" s="26" t="str">
        <f t="shared" si="4"/>
        <v>Em Branco</v>
      </c>
      <c r="G38" s="58">
        <f>(($Z$11)*($N$11+SUM($C$11:C37)+SUM($K$11:K38)+SUM($L$11:L38)))</f>
        <v>0</v>
      </c>
      <c r="H38" s="58">
        <f>((0.01)*($N$11+SUM($C$11:C37)+SUM($K$11:K38)+SUM($L$11:L38))*3)</f>
        <v>0</v>
      </c>
      <c r="I38" s="58">
        <f t="shared" si="1"/>
        <v>0</v>
      </c>
      <c r="J38" s="7">
        <v>28</v>
      </c>
      <c r="K38" s="68"/>
      <c r="L38" s="38"/>
      <c r="M38" s="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</row>
    <row r="39" spans="1:28" ht="15" customHeight="1" thickTop="1" thickBot="1" x14ac:dyDescent="0.3">
      <c r="A39" s="41"/>
      <c r="B39" s="7">
        <v>29</v>
      </c>
      <c r="C39" s="71"/>
      <c r="D39" s="6">
        <f t="shared" si="3"/>
        <v>0</v>
      </c>
      <c r="E39" s="19" t="str">
        <f t="shared" si="2"/>
        <v>Em Branco/Folga</v>
      </c>
      <c r="F39" s="26" t="str">
        <f t="shared" si="4"/>
        <v>Em Branco</v>
      </c>
      <c r="G39" s="58">
        <f>(($Z$11)*($N$11+SUM($C$11:C38)+SUM($K$11:K39)+SUM($L$11:L39)))</f>
        <v>0</v>
      </c>
      <c r="H39" s="58">
        <f>((0.01)*($N$11+SUM($C$11:C38)+SUM($K$11:K39)+SUM($L$11:L39))*3)</f>
        <v>0</v>
      </c>
      <c r="I39" s="58">
        <f t="shared" si="1"/>
        <v>0</v>
      </c>
      <c r="J39" s="7">
        <v>29</v>
      </c>
      <c r="K39" s="67"/>
      <c r="L39" s="37"/>
      <c r="M39" s="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</row>
    <row r="40" spans="1:28" ht="15" customHeight="1" thickTop="1" thickBot="1" x14ac:dyDescent="0.3">
      <c r="A40" s="41"/>
      <c r="B40" s="7">
        <v>30</v>
      </c>
      <c r="C40" s="71"/>
      <c r="D40" s="6">
        <f t="shared" si="3"/>
        <v>0</v>
      </c>
      <c r="E40" s="19" t="str">
        <f t="shared" si="2"/>
        <v>Em Branco/Folga</v>
      </c>
      <c r="F40" s="26" t="str">
        <f t="shared" si="4"/>
        <v>Em Branco</v>
      </c>
      <c r="G40" s="58">
        <f>(($Z$11)*($N$11+SUM($C$11:C39)+SUM($K$11:K40)+SUM($L$11:L40)))</f>
        <v>0</v>
      </c>
      <c r="H40" s="58">
        <f>((0.01)*($N$11+SUM($C$11:C39)+SUM($K$11:K40)+SUM($L$11:L40))*3)</f>
        <v>0</v>
      </c>
      <c r="I40" s="58">
        <f t="shared" si="1"/>
        <v>0</v>
      </c>
      <c r="J40" s="7">
        <v>30</v>
      </c>
      <c r="K40" s="68"/>
      <c r="L40" s="38"/>
      <c r="M40" s="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</row>
    <row r="41" spans="1:28" ht="15.75" customHeight="1" thickTop="1" thickBot="1" x14ac:dyDescent="0.3">
      <c r="A41" s="41"/>
      <c r="B41" s="8">
        <v>31</v>
      </c>
      <c r="C41" s="72"/>
      <c r="D41" s="9">
        <f t="shared" si="3"/>
        <v>0</v>
      </c>
      <c r="E41" s="20" t="str">
        <f t="shared" si="2"/>
        <v>Em Branco/Folga</v>
      </c>
      <c r="F41" s="27" t="str">
        <f t="shared" si="4"/>
        <v>Em Branco</v>
      </c>
      <c r="G41" s="58">
        <f>(($Z$11)*($N$11+SUM($C$11:C40)+SUM($K$11:K41)+SUM($L$11:L41)))</f>
        <v>0</v>
      </c>
      <c r="H41" s="58">
        <f>((0.01)*($N$11+SUM($C$11:C40)+SUM($K$11:K41)+SUM($L$11:L41))*3)</f>
        <v>0</v>
      </c>
      <c r="I41" s="58">
        <f t="shared" si="1"/>
        <v>0</v>
      </c>
      <c r="J41" s="8">
        <v>31</v>
      </c>
      <c r="K41" s="69"/>
      <c r="L41" s="39"/>
      <c r="M41" s="56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</row>
    <row r="42" spans="1:28" x14ac:dyDescent="0.25">
      <c r="A42" s="41"/>
      <c r="B42" s="41"/>
      <c r="C42" s="41"/>
      <c r="D42" s="51"/>
      <c r="E42" s="41"/>
      <c r="F42" s="42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</row>
  </sheetData>
  <sheetProtection algorithmName="SHA-512" hashValue="SsmSDtNJ2o2yDNCNCpV+vCi3vKd1tuLXf3j8BTwGpOBq2QO/9qf9oSwHUJBZn3AwXtn9W9ce0LQneKFGYmv0kQ==" saltValue="K27q3dC4QMY4enmlTME/tA==" spinCount="100000" sheet="1" selectLockedCells="1"/>
  <mergeCells count="11">
    <mergeCell ref="D2:E2"/>
    <mergeCell ref="B9:D9"/>
    <mergeCell ref="E9:F9"/>
    <mergeCell ref="J9:L9"/>
    <mergeCell ref="N10:O10"/>
    <mergeCell ref="R10:S10"/>
    <mergeCell ref="V10:W10"/>
    <mergeCell ref="N11:O11"/>
    <mergeCell ref="P11:Q11"/>
    <mergeCell ref="R11:S11"/>
    <mergeCell ref="P10:Q10"/>
  </mergeCells>
  <conditionalFormatting sqref="E11:F41">
    <cfRule type="containsText" dxfId="347" priority="41" operator="containsText" text="Não Atingiu">
      <formula>NOT(ISERROR(SEARCH("Não Atingiu",E11)))</formula>
    </cfRule>
    <cfRule type="containsText" dxfId="346" priority="42" operator="containsText" text="Prejuizo">
      <formula>NOT(ISERROR(SEARCH("Prejuizo",E11)))</formula>
    </cfRule>
    <cfRule type="containsText" dxfId="345" priority="43" operator="containsText" text="Atingiu">
      <formula>NOT(ISERROR(SEARCH("Atingiu",E11)))</formula>
    </cfRule>
  </conditionalFormatting>
  <conditionalFormatting sqref="E12:F12">
    <cfRule type="cellIs" dxfId="344" priority="40" operator="equal">
      <formula>"Em Branco/Folga"</formula>
    </cfRule>
  </conditionalFormatting>
  <conditionalFormatting sqref="E11:F11">
    <cfRule type="cellIs" dxfId="343" priority="39" operator="equal">
      <formula>"Em Branco/Folga"</formula>
    </cfRule>
  </conditionalFormatting>
  <conditionalFormatting sqref="E13:F41">
    <cfRule type="cellIs" dxfId="342" priority="38" operator="equal">
      <formula>"Em Branco/Folga"</formula>
    </cfRule>
  </conditionalFormatting>
  <conditionalFormatting sqref="F11">
    <cfRule type="cellIs" dxfId="341" priority="30" operator="equal">
      <formula>"Está Arriscando Sua Banca"</formula>
    </cfRule>
    <cfRule type="cellIs" dxfId="340" priority="35" operator="equal">
      <formula>"Está Se Arriscando Acima De 3%"</formula>
    </cfRule>
    <cfRule type="cellIs" dxfId="339" priority="36" operator="equal">
      <formula>"Parabéns Seguiu Gerenciamento"</formula>
    </cfRule>
    <cfRule type="cellIs" dxfId="338" priority="37" operator="equal">
      <formula>"Em Branco"</formula>
    </cfRule>
  </conditionalFormatting>
  <conditionalFormatting sqref="F12:F41">
    <cfRule type="cellIs" dxfId="337" priority="34" operator="equal">
      <formula>"Em Branco/Folga"</formula>
    </cfRule>
  </conditionalFormatting>
  <conditionalFormatting sqref="F12:F41">
    <cfRule type="cellIs" dxfId="336" priority="31" operator="equal">
      <formula>"Está Se Arriscando Acima De 3%"</formula>
    </cfRule>
    <cfRule type="cellIs" dxfId="335" priority="32" operator="equal">
      <formula>"Parabéns Seguiu Gerenciamento"</formula>
    </cfRule>
    <cfRule type="cellIs" dxfId="334" priority="33" operator="equal">
      <formula>"Em Branco"</formula>
    </cfRule>
  </conditionalFormatting>
  <conditionalFormatting sqref="F12:F41">
    <cfRule type="cellIs" dxfId="333" priority="29" operator="equal">
      <formula>"Em Branco/Folga"</formula>
    </cfRule>
  </conditionalFormatting>
  <conditionalFormatting sqref="F12:F41">
    <cfRule type="cellIs" dxfId="332" priority="25" operator="equal">
      <formula>"Está Arriscando Sua Banca"</formula>
    </cfRule>
    <cfRule type="cellIs" dxfId="331" priority="26" operator="equal">
      <formula>"Está Se Arriscando Acima De 3%"</formula>
    </cfRule>
    <cfRule type="cellIs" dxfId="330" priority="27" operator="equal">
      <formula>"Parabéns Seguiu Gerenciamento"</formula>
    </cfRule>
    <cfRule type="cellIs" dxfId="329" priority="28" operator="equal">
      <formula>"Em Branco"</formula>
    </cfRule>
  </conditionalFormatting>
  <conditionalFormatting sqref="K11:K31 K41">
    <cfRule type="containsBlanks" dxfId="328" priority="17">
      <formula>LEN(TRIM(K11))=0</formula>
    </cfRule>
    <cfRule type="cellIs" dxfId="327" priority="18" operator="equal">
      <formula>0</formula>
    </cfRule>
    <cfRule type="cellIs" dxfId="326" priority="19" operator="greaterThan">
      <formula>0</formula>
    </cfRule>
    <cfRule type="cellIs" dxfId="325" priority="20" operator="lessThan">
      <formula>0</formula>
    </cfRule>
  </conditionalFormatting>
  <conditionalFormatting sqref="K32:K40">
    <cfRule type="containsBlanks" dxfId="324" priority="13">
      <formula>LEN(TRIM(K32))=0</formula>
    </cfRule>
    <cfRule type="cellIs" dxfId="323" priority="14" operator="equal">
      <formula>0</formula>
    </cfRule>
    <cfRule type="cellIs" dxfId="322" priority="15" operator="greaterThan">
      <formula>0</formula>
    </cfRule>
    <cfRule type="cellIs" dxfId="321" priority="16" operator="lessThan">
      <formula>0</formula>
    </cfRule>
  </conditionalFormatting>
  <conditionalFormatting sqref="L11:M31 L41:M41">
    <cfRule type="containsBlanks" dxfId="320" priority="9">
      <formula>LEN(TRIM(L11))=0</formula>
    </cfRule>
    <cfRule type="cellIs" dxfId="319" priority="10" operator="equal">
      <formula>0</formula>
    </cfRule>
    <cfRule type="cellIs" dxfId="318" priority="11" operator="greaterThan">
      <formula>0</formula>
    </cfRule>
    <cfRule type="cellIs" dxfId="317" priority="12" operator="lessThan">
      <formula>0</formula>
    </cfRule>
  </conditionalFormatting>
  <conditionalFormatting sqref="L32:M40">
    <cfRule type="containsBlanks" dxfId="316" priority="5">
      <formula>LEN(TRIM(L32))=0</formula>
    </cfRule>
    <cfRule type="cellIs" dxfId="315" priority="6" operator="equal">
      <formula>0</formula>
    </cfRule>
    <cfRule type="cellIs" dxfId="314" priority="7" operator="greaterThan">
      <formula>0</formula>
    </cfRule>
    <cfRule type="cellIs" dxfId="313" priority="8" operator="lessThan">
      <formula>0</formula>
    </cfRule>
  </conditionalFormatting>
  <conditionalFormatting sqref="C11:C41">
    <cfRule type="containsBlanks" dxfId="312" priority="1">
      <formula>LEN(TRIM(C11))=0</formula>
    </cfRule>
    <cfRule type="cellIs" dxfId="311" priority="2" operator="equal">
      <formula>0</formula>
    </cfRule>
    <cfRule type="cellIs" dxfId="310" priority="3" operator="greaterThan">
      <formula>0</formula>
    </cfRule>
    <cfRule type="cellIs" dxfId="309" priority="4" operator="lessThan">
      <formula>0</formula>
    </cfRule>
  </conditionalFormatting>
  <dataValidations count="7">
    <dataValidation type="list" allowBlank="1" showInputMessage="1" showErrorMessage="1" sqref="E13:E41" xr:uid="{D73B6D02-4DA0-4F73-8BCA-5330C483CFC0}">
      <formula1>#REF!</formula1>
    </dataValidation>
    <dataValidation type="decimal" allowBlank="1" showInputMessage="1" showErrorMessage="1" errorTitle="GERENCIAMENTO" error="SIGA O GERENCIAMENTO DE 1% A 3%" sqref="Z11" xr:uid="{390698AE-4D0F-4D63-90CE-C26A2C14BA43}">
      <formula1>0.000001</formula1>
      <formula2>0.03</formula2>
    </dataValidation>
    <dataValidation type="list" allowBlank="1" showInputMessage="1" showErrorMessage="1" errorTitle="ATENÇÃO" error="SELECIONE O MÊS DE REFERÊNCIA" sqref="E9" xr:uid="{3554339A-559E-418F-8031-6D6C04962241}">
      <formula1>$AC$6:$AC$17</formula1>
    </dataValidation>
    <dataValidation type="decimal" allowBlank="1" showInputMessage="1" showErrorMessage="1" errorTitle="ATENÇÃO" error="APENAS NÚMEROS" sqref="N11:O11 C11:C41 M11:M41" xr:uid="{D0FCDEAB-1A5E-4DB3-9EC6-26FE3C5A82E3}">
      <formula1>-999999999999999000</formula1>
      <formula2>999999999999999000</formula2>
    </dataValidation>
    <dataValidation allowBlank="1" showInputMessage="1" showErrorMessage="1" errorTitle="ATENÇÃO" error="SELECIONE O MÊS DE REFERÊNCIA" sqref="J9 M9" xr:uid="{BCF8FEEE-CC09-4B19-87A8-9C8724CCC7DA}"/>
    <dataValidation type="decimal" allowBlank="1" showInputMessage="1" showErrorMessage="1" errorTitle="ATENÇÃO" error="APENAS NÚMEROS" promptTitle="SAQUES" prompt="COLOCAR SINAL NEGATIVO" sqref="L11:L41" xr:uid="{5923C5F4-B2C4-48F8-BCEA-52C971786ED7}">
      <formula1>-999999999999999000</formula1>
      <formula2>999999999999999000</formula2>
    </dataValidation>
    <dataValidation type="decimal" allowBlank="1" showErrorMessage="1" errorTitle="ATENÇÃO" error="APENAS NÚMEROS" sqref="K11:K41" xr:uid="{27223C3E-42F9-424A-B91A-DCB6E530A4BA}">
      <formula1>-999999999999999000</formula1>
      <formula2>999999999999999000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C001C-A1D3-4615-BF0D-208310AA9FE6}">
  <sheetPr codeName="Planilha13">
    <tabColor rgb="FFFFC000"/>
  </sheetPr>
  <dimension ref="A1:AC42"/>
  <sheetViews>
    <sheetView showGridLines="0" showRowColHeaders="0" zoomScale="85" zoomScaleNormal="85" workbookViewId="0">
      <selection activeCell="E9" sqref="E9:F9"/>
    </sheetView>
  </sheetViews>
  <sheetFormatPr defaultColWidth="0" defaultRowHeight="15" customHeight="1" zeroHeight="1" x14ac:dyDescent="0.25"/>
  <cols>
    <col min="1" max="1" width="3.7109375" style="4" customWidth="1"/>
    <col min="2" max="2" width="4.5703125" style="4" customWidth="1"/>
    <col min="3" max="3" width="12.7109375" style="4" customWidth="1"/>
    <col min="4" max="4" width="12.140625" style="4" customWidth="1"/>
    <col min="5" max="5" width="15.7109375" style="4" customWidth="1"/>
    <col min="6" max="6" width="30.7109375" style="25" customWidth="1"/>
    <col min="7" max="9" width="0.5703125" style="4" customWidth="1"/>
    <col min="10" max="10" width="4.5703125" style="4" customWidth="1"/>
    <col min="11" max="12" width="15.7109375" style="4" customWidth="1"/>
    <col min="13" max="13" width="1.7109375" style="4" customWidth="1"/>
    <col min="14" max="14" width="15.7109375" style="4" customWidth="1"/>
    <col min="15" max="15" width="9.5703125" style="4" bestFit="1" customWidth="1"/>
    <col min="16" max="20" width="9.140625" style="4" customWidth="1"/>
    <col min="21" max="21" width="12.140625" style="4" customWidth="1"/>
    <col min="22" max="22" width="12.85546875" style="4" customWidth="1"/>
    <col min="23" max="23" width="18" style="4" customWidth="1"/>
    <col min="24" max="24" width="13.85546875" style="4" customWidth="1"/>
    <col min="25" max="25" width="15.140625" style="4" customWidth="1"/>
    <col min="26" max="26" width="9.7109375" style="4" bestFit="1" customWidth="1"/>
    <col min="27" max="28" width="2.28515625" style="4" customWidth="1"/>
    <col min="29" max="16384" width="9.140625" style="4" hidden="1"/>
  </cols>
  <sheetData>
    <row r="1" spans="1:29" x14ac:dyDescent="0.25">
      <c r="A1" s="41"/>
      <c r="B1" s="41"/>
      <c r="C1" s="41"/>
      <c r="D1" s="41"/>
      <c r="E1" s="41"/>
      <c r="F1" s="42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3"/>
      <c r="AB1" s="41"/>
      <c r="AC1" s="10">
        <v>0.01</v>
      </c>
    </row>
    <row r="2" spans="1:29" x14ac:dyDescent="0.25">
      <c r="A2" s="41"/>
      <c r="B2" s="41"/>
      <c r="C2" s="44" t="s">
        <v>103</v>
      </c>
      <c r="D2" s="79">
        <f ca="1">TODAY()</f>
        <v>44422</v>
      </c>
      <c r="E2" s="80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59" t="s">
        <v>110</v>
      </c>
      <c r="Z2" s="41"/>
      <c r="AA2" s="43"/>
      <c r="AB2" s="41"/>
      <c r="AC2" s="10"/>
    </row>
    <row r="3" spans="1:29" x14ac:dyDescent="0.25">
      <c r="A3" s="41"/>
      <c r="B3" s="41"/>
      <c r="C3" s="41"/>
      <c r="D3" s="41"/>
      <c r="E3" s="41"/>
      <c r="F3" s="42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3"/>
      <c r="AB3" s="41"/>
      <c r="AC3" s="10"/>
    </row>
    <row r="4" spans="1:29" x14ac:dyDescent="0.25">
      <c r="A4" s="41"/>
      <c r="B4" s="41"/>
      <c r="C4" s="41"/>
      <c r="D4" s="41"/>
      <c r="E4" s="41"/>
      <c r="F4" s="42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3"/>
      <c r="AB4" s="41"/>
      <c r="AC4" s="10">
        <v>0.02</v>
      </c>
    </row>
    <row r="5" spans="1:29" x14ac:dyDescent="0.25">
      <c r="A5" s="41"/>
      <c r="B5" s="41"/>
      <c r="C5" s="41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3"/>
      <c r="AB5" s="41"/>
      <c r="AC5" s="10">
        <v>0.03</v>
      </c>
    </row>
    <row r="6" spans="1:29" x14ac:dyDescent="0.25">
      <c r="A6" s="41"/>
      <c r="B6" s="41"/>
      <c r="C6" s="41"/>
      <c r="D6" s="41"/>
      <c r="E6" s="41"/>
      <c r="F6" s="42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3"/>
      <c r="AB6" s="41"/>
      <c r="AC6" s="11" t="s">
        <v>26</v>
      </c>
    </row>
    <row r="7" spans="1:29" x14ac:dyDescent="0.25">
      <c r="A7" s="41"/>
      <c r="B7" s="41"/>
      <c r="C7" s="41"/>
      <c r="D7" s="41"/>
      <c r="E7" s="41"/>
      <c r="F7" s="42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3"/>
      <c r="AB7" s="41"/>
      <c r="AC7" s="11" t="s">
        <v>27</v>
      </c>
    </row>
    <row r="8" spans="1:29" ht="15.75" thickBot="1" x14ac:dyDescent="0.3">
      <c r="A8" s="41"/>
      <c r="B8" s="41"/>
      <c r="C8" s="41"/>
      <c r="D8" s="41"/>
      <c r="E8" s="41"/>
      <c r="F8" s="42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3"/>
      <c r="AB8" s="41"/>
      <c r="AC8" s="11" t="s">
        <v>28</v>
      </c>
    </row>
    <row r="9" spans="1:29" ht="19.5" thickBot="1" x14ac:dyDescent="0.3">
      <c r="A9" s="41"/>
      <c r="B9" s="81" t="s">
        <v>38</v>
      </c>
      <c r="C9" s="82"/>
      <c r="D9" s="83"/>
      <c r="E9" s="84" t="s">
        <v>31</v>
      </c>
      <c r="F9" s="85"/>
      <c r="G9" s="57"/>
      <c r="H9" s="57"/>
      <c r="I9" s="57"/>
      <c r="J9" s="81" t="s">
        <v>107</v>
      </c>
      <c r="K9" s="82"/>
      <c r="L9" s="88"/>
      <c r="M9" s="55"/>
      <c r="N9" s="5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3"/>
      <c r="AB9" s="41"/>
      <c r="AC9" s="11" t="s">
        <v>29</v>
      </c>
    </row>
    <row r="10" spans="1:29" ht="16.5" thickBot="1" x14ac:dyDescent="0.3">
      <c r="A10" s="41"/>
      <c r="B10" s="60" t="s">
        <v>0</v>
      </c>
      <c r="C10" s="61" t="s">
        <v>1</v>
      </c>
      <c r="D10" s="61" t="s">
        <v>3</v>
      </c>
      <c r="E10" s="61" t="s">
        <v>2</v>
      </c>
      <c r="F10" s="62" t="s">
        <v>105</v>
      </c>
      <c r="G10" s="57"/>
      <c r="H10" s="57"/>
      <c r="I10" s="57"/>
      <c r="J10" s="63" t="s">
        <v>0</v>
      </c>
      <c r="K10" s="64" t="s">
        <v>108</v>
      </c>
      <c r="L10" s="65" t="s">
        <v>109</v>
      </c>
      <c r="M10" s="40"/>
      <c r="N10" s="86" t="s">
        <v>5</v>
      </c>
      <c r="O10" s="87"/>
      <c r="P10" s="87" t="s">
        <v>4</v>
      </c>
      <c r="Q10" s="87"/>
      <c r="R10" s="87" t="s">
        <v>6</v>
      </c>
      <c r="S10" s="87"/>
      <c r="T10" s="53" t="s">
        <v>24</v>
      </c>
      <c r="U10" s="53" t="s">
        <v>23</v>
      </c>
      <c r="V10" s="75" t="s">
        <v>21</v>
      </c>
      <c r="W10" s="75"/>
      <c r="X10" s="53" t="s">
        <v>7</v>
      </c>
      <c r="Y10" s="53" t="s">
        <v>102</v>
      </c>
      <c r="Z10" s="5" t="s">
        <v>25</v>
      </c>
      <c r="AA10" s="43"/>
      <c r="AB10" s="41"/>
      <c r="AC10" s="11" t="s">
        <v>30</v>
      </c>
    </row>
    <row r="11" spans="1:29" ht="16.5" thickBot="1" x14ac:dyDescent="0.3">
      <c r="A11" s="41"/>
      <c r="B11" s="21">
        <v>1</v>
      </c>
      <c r="C11" s="22"/>
      <c r="D11" s="23">
        <f>N11+C11</f>
        <v>0</v>
      </c>
      <c r="E11" s="24" t="str">
        <f>IF(ISBLANK($C11),"Em Branco/Folga",IF($C11&gt;=$G11,"Atingiu",IF($C11&lt;0,"Prejuizo",IF($C11&lt;$G11,"Não Atingiu"))))</f>
        <v>Em Branco/Folga</v>
      </c>
      <c r="F11" s="26" t="str">
        <f t="shared" ref="F11:F15" si="0">IF(ISBLANK($C11),"Em Branco",IF($I11&gt;$C11,"Está Arriscando Sua Banca",IF($C11&lt;=$H11,"Parabéns Seguiu Gerenciamento","Está Se Arriscando Acima De 3%")))</f>
        <v>Em Branco</v>
      </c>
      <c r="G11" s="58">
        <f>(($Z$11)*($N$11+SUM($K$11:K11)+SUM($L$11:L11)))</f>
        <v>0</v>
      </c>
      <c r="H11" s="58">
        <f>((0.01)*($N$11+SUM($K$11:K11)+SUM($L$11:L11))*3)</f>
        <v>0</v>
      </c>
      <c r="I11" s="58">
        <f t="shared" ref="I11:I41" si="1">-$H11</f>
        <v>0</v>
      </c>
      <c r="J11" s="21">
        <v>1</v>
      </c>
      <c r="K11" s="66"/>
      <c r="L11" s="36"/>
      <c r="M11" s="56"/>
      <c r="N11" s="89">
        <v>0</v>
      </c>
      <c r="O11" s="90"/>
      <c r="P11" s="78">
        <f>Z11*R11</f>
        <v>0</v>
      </c>
      <c r="Q11" s="78"/>
      <c r="R11" s="78">
        <f>(SUM(N11+SUM(C11:C41)))+(SUM(K11:K41))+(SUM(L11:L41))</f>
        <v>0</v>
      </c>
      <c r="S11" s="78"/>
      <c r="T11" s="52">
        <f>P11*0.2</f>
        <v>0</v>
      </c>
      <c r="U11" s="46">
        <f>R11*0.03</f>
        <v>0</v>
      </c>
      <c r="V11" s="47">
        <f>(R11)-(N11)-(SUM(K11:K41))-(SUM(L11:L41))</f>
        <v>0</v>
      </c>
      <c r="W11" s="48">
        <f>V11*Y11</f>
        <v>0</v>
      </c>
      <c r="X11" s="49" t="e">
        <f>(($R$11-$N$11)/$N$11)</f>
        <v>#DIV/0!</v>
      </c>
      <c r="Y11" s="18">
        <f>COTAÇÃO!B6/1000000</f>
        <v>5.2</v>
      </c>
      <c r="Z11" s="73">
        <v>0.01</v>
      </c>
      <c r="AA11" s="43"/>
      <c r="AB11" s="41"/>
      <c r="AC11" s="11" t="s">
        <v>31</v>
      </c>
    </row>
    <row r="12" spans="1:29" ht="15" customHeight="1" thickTop="1" thickBot="1" x14ac:dyDescent="0.3">
      <c r="A12" s="41"/>
      <c r="B12" s="7">
        <v>2</v>
      </c>
      <c r="C12" s="2"/>
      <c r="D12" s="6">
        <f>D11+C12</f>
        <v>0</v>
      </c>
      <c r="E12" s="19" t="str">
        <f>IF(ISBLANK($C12),"Em Branco/Folga",IF($C12&gt;=$G12,"Atingiu",IF($C12&lt;0,"Prejuizo",IF($C12&lt;$G12,"Não Atingiu"))))</f>
        <v>Em Branco/Folga</v>
      </c>
      <c r="F12" s="26" t="str">
        <f t="shared" si="0"/>
        <v>Em Branco</v>
      </c>
      <c r="G12" s="58">
        <f>(($Z$11)*($N$11+SUM($C$11:C11)+SUM($K$11:K12)+SUM($L$11:L12)))</f>
        <v>0</v>
      </c>
      <c r="H12" s="58">
        <f>((0.01)*($N$11+SUM($C$11:C11)+SUM($K$11:K12)+SUM($L$11:L12))*3)</f>
        <v>0</v>
      </c>
      <c r="I12" s="58">
        <f t="shared" si="1"/>
        <v>0</v>
      </c>
      <c r="J12" s="7">
        <v>2</v>
      </c>
      <c r="K12" s="67"/>
      <c r="L12" s="37"/>
      <c r="M12" s="56"/>
      <c r="N12" s="50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3"/>
      <c r="AB12" s="41"/>
      <c r="AC12" s="11" t="s">
        <v>32</v>
      </c>
    </row>
    <row r="13" spans="1:29" ht="15" customHeight="1" thickTop="1" thickBot="1" x14ac:dyDescent="0.3">
      <c r="A13" s="41"/>
      <c r="B13" s="7">
        <v>3</v>
      </c>
      <c r="C13" s="1"/>
      <c r="D13" s="6">
        <f>D12+C13</f>
        <v>0</v>
      </c>
      <c r="E13" s="19" t="str">
        <f t="shared" ref="E13:E41" si="2">IF(ISBLANK($C13),"Em Branco/Folga",IF($C13&gt;=$G13,"Atingiu",IF($C13&lt;0,"Prejuizo",IF($C13&lt;$G13,"Não Atingiu"))))</f>
        <v>Em Branco/Folga</v>
      </c>
      <c r="F13" s="26" t="str">
        <f t="shared" si="0"/>
        <v>Em Branco</v>
      </c>
      <c r="G13" s="58">
        <f>(($Z$11)*($N$11+SUM($C$11:C12)+SUM($K$11:K13)+SUM($L$11:L13)))</f>
        <v>0</v>
      </c>
      <c r="H13" s="58">
        <f>((0.01)*($N$11+SUM($C$11:C12)+SUM($K$11:K13)+SUM($L$11:L13))*3)</f>
        <v>0</v>
      </c>
      <c r="I13" s="58">
        <f t="shared" si="1"/>
        <v>0</v>
      </c>
      <c r="J13" s="7">
        <v>3</v>
      </c>
      <c r="K13" s="68"/>
      <c r="L13" s="38"/>
      <c r="M13" s="56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3"/>
      <c r="AB13" s="41"/>
      <c r="AC13" s="11" t="s">
        <v>33</v>
      </c>
    </row>
    <row r="14" spans="1:29" ht="15" customHeight="1" thickTop="1" thickBot="1" x14ac:dyDescent="0.3">
      <c r="A14" s="41"/>
      <c r="B14" s="7">
        <v>4</v>
      </c>
      <c r="C14" s="2"/>
      <c r="D14" s="6">
        <f>D13+C14</f>
        <v>0</v>
      </c>
      <c r="E14" s="19" t="str">
        <f t="shared" si="2"/>
        <v>Em Branco/Folga</v>
      </c>
      <c r="F14" s="26" t="str">
        <f t="shared" si="0"/>
        <v>Em Branco</v>
      </c>
      <c r="G14" s="58">
        <f>(($Z$11)*($N$11+SUM($C$11:C13)+SUM($K$11:K14)+SUM($L$11:L14)))</f>
        <v>0</v>
      </c>
      <c r="H14" s="58">
        <f>((0.01)*($N$11+SUM($C$11:C13)+SUM($K$11:K14)+SUM($L$11:L14))*3)</f>
        <v>0</v>
      </c>
      <c r="I14" s="58">
        <f t="shared" si="1"/>
        <v>0</v>
      </c>
      <c r="J14" s="7">
        <v>4</v>
      </c>
      <c r="K14" s="67"/>
      <c r="L14" s="37"/>
      <c r="M14" s="56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3"/>
      <c r="AB14" s="41"/>
      <c r="AC14" s="11" t="s">
        <v>34</v>
      </c>
    </row>
    <row r="15" spans="1:29" ht="15" customHeight="1" thickTop="1" thickBot="1" x14ac:dyDescent="0.3">
      <c r="A15" s="41"/>
      <c r="B15" s="7">
        <v>5</v>
      </c>
      <c r="C15" s="1"/>
      <c r="D15" s="6">
        <f>D14+C15</f>
        <v>0</v>
      </c>
      <c r="E15" s="19" t="str">
        <f t="shared" si="2"/>
        <v>Em Branco/Folga</v>
      </c>
      <c r="F15" s="26" t="str">
        <f t="shared" si="0"/>
        <v>Em Branco</v>
      </c>
      <c r="G15" s="58">
        <f>(($Z$11)*($N$11+SUM($C$11:C14)+SUM($K$11:K15)+SUM($L$11:L15)))</f>
        <v>0</v>
      </c>
      <c r="H15" s="58">
        <f>((0.01)*($N$11+SUM($C$11:C14)+SUM($K$11:K15)+SUM($L$11:L15))*3)</f>
        <v>0</v>
      </c>
      <c r="I15" s="58">
        <f t="shared" si="1"/>
        <v>0</v>
      </c>
      <c r="J15" s="7">
        <v>5</v>
      </c>
      <c r="K15" s="68"/>
      <c r="L15" s="38"/>
      <c r="M15" s="56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3"/>
      <c r="AB15" s="41"/>
      <c r="AC15" s="11" t="s">
        <v>35</v>
      </c>
    </row>
    <row r="16" spans="1:29" ht="15" customHeight="1" thickTop="1" thickBot="1" x14ac:dyDescent="0.3">
      <c r="A16" s="41"/>
      <c r="B16" s="7">
        <v>6</v>
      </c>
      <c r="C16" s="2"/>
      <c r="D16" s="6">
        <f>D15+C16</f>
        <v>0</v>
      </c>
      <c r="E16" s="19" t="str">
        <f t="shared" si="2"/>
        <v>Em Branco/Folga</v>
      </c>
      <c r="F16" s="26" t="str">
        <f>IF(ISBLANK($C16),"Em Branco",IF($I16&gt;$C16,"Está Arriscando Sua Banca",IF($C16&lt;=$H16,"Parabéns Seguiu Gerenciamento","Está Se Arriscando Acima De 3%")))</f>
        <v>Em Branco</v>
      </c>
      <c r="G16" s="58">
        <f>(($Z$11)*($N$11+SUM($C$11:C15)+SUM($K$11:K16)+SUM($L$11:L16)))</f>
        <v>0</v>
      </c>
      <c r="H16" s="58">
        <f>((0.01)*($N$11+SUM($C$11:C15)+SUM($K$11:K16)+SUM($L$11:L16))*3)</f>
        <v>0</v>
      </c>
      <c r="I16" s="58">
        <f t="shared" si="1"/>
        <v>0</v>
      </c>
      <c r="J16" s="7">
        <v>6</v>
      </c>
      <c r="K16" s="67"/>
      <c r="L16" s="37"/>
      <c r="M16" s="56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3"/>
      <c r="AB16" s="41"/>
      <c r="AC16" s="11" t="s">
        <v>36</v>
      </c>
    </row>
    <row r="17" spans="1:29" ht="15" customHeight="1" thickTop="1" thickBot="1" x14ac:dyDescent="0.3">
      <c r="A17" s="41"/>
      <c r="B17" s="7">
        <v>7</v>
      </c>
      <c r="C17" s="1"/>
      <c r="D17" s="6">
        <f t="shared" ref="D17:D41" si="3">D16+C17</f>
        <v>0</v>
      </c>
      <c r="E17" s="19" t="str">
        <f t="shared" si="2"/>
        <v>Em Branco/Folga</v>
      </c>
      <c r="F17" s="26" t="str">
        <f t="shared" ref="F17:F41" si="4">IF(ISBLANK($C17),"Em Branco",IF(I17&gt;C17,"Está Arriscando Sua Banca",IF($C17&lt;=$H17,"Parabéns Seguiu Gerenciamento","Está Se Arriscando Acima De 3%")))</f>
        <v>Em Branco</v>
      </c>
      <c r="G17" s="58">
        <f>(($Z$11)*($N$11+SUM($C$11:C16)+SUM($K$11:K17)+SUM($L$11:L17)))</f>
        <v>0</v>
      </c>
      <c r="H17" s="58">
        <f>((0.01)*($N$11+SUM($C$11:C16)+SUM($K$11:K17)+SUM($L$11:L17))*3)</f>
        <v>0</v>
      </c>
      <c r="I17" s="58">
        <f t="shared" si="1"/>
        <v>0</v>
      </c>
      <c r="J17" s="7">
        <v>7</v>
      </c>
      <c r="K17" s="68"/>
      <c r="L17" s="38"/>
      <c r="M17" s="56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3"/>
      <c r="AB17" s="41"/>
      <c r="AC17" s="11" t="s">
        <v>37</v>
      </c>
    </row>
    <row r="18" spans="1:29" ht="15" customHeight="1" thickTop="1" thickBot="1" x14ac:dyDescent="0.3">
      <c r="A18" s="41"/>
      <c r="B18" s="7">
        <v>8</v>
      </c>
      <c r="C18" s="2"/>
      <c r="D18" s="6">
        <f t="shared" si="3"/>
        <v>0</v>
      </c>
      <c r="E18" s="19" t="str">
        <f t="shared" si="2"/>
        <v>Em Branco/Folga</v>
      </c>
      <c r="F18" s="26" t="str">
        <f t="shared" si="4"/>
        <v>Em Branco</v>
      </c>
      <c r="G18" s="58">
        <f>(($Z$11)*($N$11+SUM($C$11:C17)+SUM($K$11:K18)+SUM($L$11:L18)))</f>
        <v>0</v>
      </c>
      <c r="H18" s="58">
        <f>((0.01)*($N$11+SUM($C$11:C17)+SUM($K$11:K18)+SUM($L$11:L18))*3)</f>
        <v>0</v>
      </c>
      <c r="I18" s="58">
        <f t="shared" si="1"/>
        <v>0</v>
      </c>
      <c r="J18" s="7">
        <v>8</v>
      </c>
      <c r="K18" s="67"/>
      <c r="L18" s="37"/>
      <c r="M18" s="56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3"/>
      <c r="AB18" s="41"/>
      <c r="AC18" s="12"/>
    </row>
    <row r="19" spans="1:29" ht="15" customHeight="1" thickTop="1" thickBot="1" x14ac:dyDescent="0.3">
      <c r="A19" s="41"/>
      <c r="B19" s="7">
        <v>9</v>
      </c>
      <c r="C19" s="1"/>
      <c r="D19" s="6">
        <f t="shared" si="3"/>
        <v>0</v>
      </c>
      <c r="E19" s="19" t="str">
        <f t="shared" si="2"/>
        <v>Em Branco/Folga</v>
      </c>
      <c r="F19" s="26" t="str">
        <f t="shared" si="4"/>
        <v>Em Branco</v>
      </c>
      <c r="G19" s="58">
        <f>(($Z$11)*($N$11+SUM($C$11:C18)+SUM($K$11:K19)+SUM($L$11:L19)))</f>
        <v>0</v>
      </c>
      <c r="H19" s="58">
        <f>((0.01)*($N$11+SUM($C$11:C18)+SUM($K$11:K19)+SUM($L$11:L19))*3)</f>
        <v>0</v>
      </c>
      <c r="I19" s="58">
        <f t="shared" si="1"/>
        <v>0</v>
      </c>
      <c r="J19" s="7">
        <v>9</v>
      </c>
      <c r="K19" s="68"/>
      <c r="L19" s="38"/>
      <c r="M19" s="56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3"/>
      <c r="AB19" s="41"/>
      <c r="AC19" s="12"/>
    </row>
    <row r="20" spans="1:29" ht="15" customHeight="1" thickTop="1" thickBot="1" x14ac:dyDescent="0.3">
      <c r="A20" s="41"/>
      <c r="B20" s="7">
        <v>10</v>
      </c>
      <c r="C20" s="2"/>
      <c r="D20" s="6">
        <f t="shared" si="3"/>
        <v>0</v>
      </c>
      <c r="E20" s="19" t="str">
        <f t="shared" si="2"/>
        <v>Em Branco/Folga</v>
      </c>
      <c r="F20" s="26" t="str">
        <f t="shared" si="4"/>
        <v>Em Branco</v>
      </c>
      <c r="G20" s="58">
        <f>(($Z$11)*($N$11+SUM($C$11:C19)+SUM($K$11:K20)+SUM($L$11:L20)))</f>
        <v>0</v>
      </c>
      <c r="H20" s="58">
        <f>((0.01)*($N$11+SUM($C$11:C19)+SUM($K$11:K20)+SUM($L$11:L20))*3)</f>
        <v>0</v>
      </c>
      <c r="I20" s="58">
        <f t="shared" si="1"/>
        <v>0</v>
      </c>
      <c r="J20" s="7">
        <v>10</v>
      </c>
      <c r="K20" s="67"/>
      <c r="L20" s="37"/>
      <c r="M20" s="56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3"/>
      <c r="AB20" s="41"/>
      <c r="AC20" s="12"/>
    </row>
    <row r="21" spans="1:29" ht="15" customHeight="1" thickTop="1" thickBot="1" x14ac:dyDescent="0.3">
      <c r="A21" s="41"/>
      <c r="B21" s="7">
        <v>11</v>
      </c>
      <c r="C21" s="1"/>
      <c r="D21" s="6">
        <f t="shared" si="3"/>
        <v>0</v>
      </c>
      <c r="E21" s="19" t="str">
        <f t="shared" si="2"/>
        <v>Em Branco/Folga</v>
      </c>
      <c r="F21" s="26" t="str">
        <f t="shared" si="4"/>
        <v>Em Branco</v>
      </c>
      <c r="G21" s="58">
        <f>(($Z$11)*($N$11+SUM($C$11:C20)+SUM($K$11:K21)+SUM($L$11:L21)))</f>
        <v>0</v>
      </c>
      <c r="H21" s="58">
        <f>((0.01)*($N$11+SUM($C$11:C20)+SUM($K$11:K21)+SUM($L$11:L21))*3)</f>
        <v>0</v>
      </c>
      <c r="I21" s="58">
        <f t="shared" si="1"/>
        <v>0</v>
      </c>
      <c r="J21" s="7">
        <v>11</v>
      </c>
      <c r="K21" s="68"/>
      <c r="L21" s="38"/>
      <c r="M21" s="56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12"/>
    </row>
    <row r="22" spans="1:29" ht="15" customHeight="1" thickTop="1" thickBot="1" x14ac:dyDescent="0.3">
      <c r="A22" s="41"/>
      <c r="B22" s="7">
        <v>12</v>
      </c>
      <c r="C22" s="2"/>
      <c r="D22" s="6">
        <f t="shared" si="3"/>
        <v>0</v>
      </c>
      <c r="E22" s="19" t="str">
        <f t="shared" si="2"/>
        <v>Em Branco/Folga</v>
      </c>
      <c r="F22" s="26" t="str">
        <f t="shared" si="4"/>
        <v>Em Branco</v>
      </c>
      <c r="G22" s="58">
        <f>(($Z$11)*($N$11+SUM($C$11:C21)+SUM($K$11:K22)+SUM($L$11:L22)))</f>
        <v>0</v>
      </c>
      <c r="H22" s="58">
        <f>((0.01)*($N$11+SUM($C$11:C21)+SUM($K$11:K22)+SUM($L$11:L22))*3)</f>
        <v>0</v>
      </c>
      <c r="I22" s="58">
        <f t="shared" si="1"/>
        <v>0</v>
      </c>
      <c r="J22" s="7">
        <v>12</v>
      </c>
      <c r="K22" s="67"/>
      <c r="L22" s="37"/>
      <c r="M22" s="56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12"/>
    </row>
    <row r="23" spans="1:29" ht="15" customHeight="1" thickTop="1" thickBot="1" x14ac:dyDescent="0.3">
      <c r="A23" s="41"/>
      <c r="B23" s="7">
        <v>13</v>
      </c>
      <c r="C23" s="1"/>
      <c r="D23" s="6">
        <f t="shared" si="3"/>
        <v>0</v>
      </c>
      <c r="E23" s="19" t="str">
        <f t="shared" si="2"/>
        <v>Em Branco/Folga</v>
      </c>
      <c r="F23" s="26" t="str">
        <f t="shared" si="4"/>
        <v>Em Branco</v>
      </c>
      <c r="G23" s="58">
        <f>(($Z$11)*($N$11+SUM($C$11:C22)+SUM($K$11:K23)+SUM($L$11:L23)))</f>
        <v>0</v>
      </c>
      <c r="H23" s="58">
        <f>((0.01)*($N$11+SUM($C$11:C22)+SUM($K$11:K23)+SUM($L$11:L23))*3)</f>
        <v>0</v>
      </c>
      <c r="I23" s="58">
        <f t="shared" si="1"/>
        <v>0</v>
      </c>
      <c r="J23" s="7">
        <v>13</v>
      </c>
      <c r="K23" s="68"/>
      <c r="L23" s="38"/>
      <c r="M23" s="56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12"/>
    </row>
    <row r="24" spans="1:29" ht="15" customHeight="1" thickTop="1" thickBot="1" x14ac:dyDescent="0.3">
      <c r="A24" s="41"/>
      <c r="B24" s="7">
        <v>14</v>
      </c>
      <c r="C24" s="2"/>
      <c r="D24" s="6">
        <f t="shared" si="3"/>
        <v>0</v>
      </c>
      <c r="E24" s="19" t="str">
        <f t="shared" si="2"/>
        <v>Em Branco/Folga</v>
      </c>
      <c r="F24" s="26" t="str">
        <f t="shared" si="4"/>
        <v>Em Branco</v>
      </c>
      <c r="G24" s="58">
        <f>(($Z$11)*($N$11+SUM($C$11:C23)+SUM($K$11:K24)+SUM($L$11:L24)))</f>
        <v>0</v>
      </c>
      <c r="H24" s="58">
        <f>((0.01)*($N$11+SUM($C$11:C23)+SUM($K$11:K24)+SUM($L$11:L24))*3)</f>
        <v>0</v>
      </c>
      <c r="I24" s="58">
        <f t="shared" si="1"/>
        <v>0</v>
      </c>
      <c r="J24" s="7">
        <v>14</v>
      </c>
      <c r="K24" s="67"/>
      <c r="L24" s="37"/>
      <c r="M24" s="56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12"/>
    </row>
    <row r="25" spans="1:29" ht="15" customHeight="1" thickTop="1" thickBot="1" x14ac:dyDescent="0.3">
      <c r="A25" s="41"/>
      <c r="B25" s="7">
        <v>15</v>
      </c>
      <c r="C25" s="1"/>
      <c r="D25" s="6">
        <f t="shared" si="3"/>
        <v>0</v>
      </c>
      <c r="E25" s="19" t="str">
        <f t="shared" si="2"/>
        <v>Em Branco/Folga</v>
      </c>
      <c r="F25" s="26" t="str">
        <f t="shared" si="4"/>
        <v>Em Branco</v>
      </c>
      <c r="G25" s="58">
        <f>(($Z$11)*($N$11+SUM($C$11:C24)+SUM($K$11:K25)+SUM($L$11:L25)))</f>
        <v>0</v>
      </c>
      <c r="H25" s="58">
        <f>((0.01)*($N$11+SUM($C$11:C24)+SUM($K$11:K25)+SUM($L$11:L25))*3)</f>
        <v>0</v>
      </c>
      <c r="I25" s="58">
        <f t="shared" si="1"/>
        <v>0</v>
      </c>
      <c r="J25" s="7">
        <v>15</v>
      </c>
      <c r="K25" s="68"/>
      <c r="L25" s="38"/>
      <c r="M25" s="56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12"/>
    </row>
    <row r="26" spans="1:29" ht="15" customHeight="1" thickTop="1" thickBot="1" x14ac:dyDescent="0.3">
      <c r="A26" s="41"/>
      <c r="B26" s="7">
        <v>16</v>
      </c>
      <c r="C26" s="2"/>
      <c r="D26" s="6">
        <f t="shared" si="3"/>
        <v>0</v>
      </c>
      <c r="E26" s="19" t="str">
        <f t="shared" si="2"/>
        <v>Em Branco/Folga</v>
      </c>
      <c r="F26" s="26" t="str">
        <f t="shared" si="4"/>
        <v>Em Branco</v>
      </c>
      <c r="G26" s="58">
        <f>(($Z$11)*($N$11+SUM($C$11:C25)+SUM($K$11:K26)+SUM($L$11:L26)))</f>
        <v>0</v>
      </c>
      <c r="H26" s="58">
        <f>((0.01)*($N$11+SUM($C$11:C25)+SUM($K$11:K26)+SUM($L$11:L26))*3)</f>
        <v>0</v>
      </c>
      <c r="I26" s="58">
        <f t="shared" si="1"/>
        <v>0</v>
      </c>
      <c r="J26" s="7">
        <v>16</v>
      </c>
      <c r="K26" s="67"/>
      <c r="L26" s="37"/>
      <c r="M26" s="56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12"/>
    </row>
    <row r="27" spans="1:29" ht="15" customHeight="1" thickTop="1" thickBot="1" x14ac:dyDescent="0.3">
      <c r="A27" s="41"/>
      <c r="B27" s="7">
        <v>17</v>
      </c>
      <c r="C27" s="1"/>
      <c r="D27" s="6">
        <f t="shared" si="3"/>
        <v>0</v>
      </c>
      <c r="E27" s="19" t="str">
        <f t="shared" si="2"/>
        <v>Em Branco/Folga</v>
      </c>
      <c r="F27" s="26" t="str">
        <f t="shared" si="4"/>
        <v>Em Branco</v>
      </c>
      <c r="G27" s="58">
        <f>(($Z$11)*($N$11+SUM($C$11:C26)+SUM($K$11:K27)+SUM($L$11:L27)))</f>
        <v>0</v>
      </c>
      <c r="H27" s="58">
        <f>((0.01)*($N$11+SUM($C$11:C26)+SUM($K$11:K27)+SUM($L$11:L27))*3)</f>
        <v>0</v>
      </c>
      <c r="I27" s="58">
        <f t="shared" si="1"/>
        <v>0</v>
      </c>
      <c r="J27" s="7">
        <v>17</v>
      </c>
      <c r="K27" s="68"/>
      <c r="L27" s="38"/>
      <c r="M27" s="56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12"/>
    </row>
    <row r="28" spans="1:29" ht="15" customHeight="1" thickTop="1" thickBot="1" x14ac:dyDescent="0.3">
      <c r="A28" s="41"/>
      <c r="B28" s="7">
        <v>18</v>
      </c>
      <c r="C28" s="2"/>
      <c r="D28" s="6">
        <f t="shared" si="3"/>
        <v>0</v>
      </c>
      <c r="E28" s="19" t="str">
        <f t="shared" si="2"/>
        <v>Em Branco/Folga</v>
      </c>
      <c r="F28" s="26" t="str">
        <f t="shared" si="4"/>
        <v>Em Branco</v>
      </c>
      <c r="G28" s="58">
        <f>(($Z$11)*($N$11+SUM($C$11:C27)+SUM($K$11:K28)+SUM($L$11:L28)))</f>
        <v>0</v>
      </c>
      <c r="H28" s="58">
        <f>((0.01)*($N$11+SUM($C$11:C27)+SUM($K$11:K28)+SUM($L$11:L28))*3)</f>
        <v>0</v>
      </c>
      <c r="I28" s="58">
        <f t="shared" si="1"/>
        <v>0</v>
      </c>
      <c r="J28" s="7">
        <v>18</v>
      </c>
      <c r="K28" s="67"/>
      <c r="L28" s="37"/>
      <c r="M28" s="56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12"/>
    </row>
    <row r="29" spans="1:29" ht="15" customHeight="1" thickTop="1" thickBot="1" x14ac:dyDescent="0.3">
      <c r="A29" s="41"/>
      <c r="B29" s="7">
        <v>19</v>
      </c>
      <c r="C29" s="1"/>
      <c r="D29" s="6">
        <f t="shared" si="3"/>
        <v>0</v>
      </c>
      <c r="E29" s="19" t="str">
        <f t="shared" si="2"/>
        <v>Em Branco/Folga</v>
      </c>
      <c r="F29" s="26" t="str">
        <f t="shared" si="4"/>
        <v>Em Branco</v>
      </c>
      <c r="G29" s="58">
        <f>(($Z$11)*($N$11+SUM($C$11:C28)+SUM($K$11:K29)+SUM($L$11:L29)))</f>
        <v>0</v>
      </c>
      <c r="H29" s="58">
        <f>((0.01)*($N$11+SUM($C$11:C28)+SUM($K$11:K29)+SUM($L$11:L29))*3)</f>
        <v>0</v>
      </c>
      <c r="I29" s="58">
        <f t="shared" si="1"/>
        <v>0</v>
      </c>
      <c r="J29" s="7">
        <v>19</v>
      </c>
      <c r="K29" s="68"/>
      <c r="L29" s="38"/>
      <c r="M29" s="56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12"/>
    </row>
    <row r="30" spans="1:29" ht="15" customHeight="1" thickTop="1" thickBot="1" x14ac:dyDescent="0.3">
      <c r="A30" s="41"/>
      <c r="B30" s="7">
        <v>20</v>
      </c>
      <c r="C30" s="2"/>
      <c r="D30" s="6">
        <f t="shared" si="3"/>
        <v>0</v>
      </c>
      <c r="E30" s="19" t="str">
        <f t="shared" si="2"/>
        <v>Em Branco/Folga</v>
      </c>
      <c r="F30" s="26" t="str">
        <f t="shared" si="4"/>
        <v>Em Branco</v>
      </c>
      <c r="G30" s="58">
        <f>(($Z$11)*($N$11+SUM($C$11:C29)+SUM($K$11:K30)+SUM($L$11:L30)))</f>
        <v>0</v>
      </c>
      <c r="H30" s="58">
        <f>((0.01)*($N$11+SUM($C$11:C29)+SUM($K$11:K30)+SUM($L$11:L30))*3)</f>
        <v>0</v>
      </c>
      <c r="I30" s="58">
        <f t="shared" si="1"/>
        <v>0</v>
      </c>
      <c r="J30" s="7">
        <v>20</v>
      </c>
      <c r="K30" s="67"/>
      <c r="L30" s="37"/>
      <c r="M30" s="56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12"/>
    </row>
    <row r="31" spans="1:29" ht="15" customHeight="1" thickTop="1" thickBot="1" x14ac:dyDescent="0.3">
      <c r="A31" s="41"/>
      <c r="B31" s="7">
        <v>21</v>
      </c>
      <c r="C31" s="1"/>
      <c r="D31" s="6">
        <f t="shared" si="3"/>
        <v>0</v>
      </c>
      <c r="E31" s="19" t="str">
        <f t="shared" si="2"/>
        <v>Em Branco/Folga</v>
      </c>
      <c r="F31" s="26" t="str">
        <f t="shared" si="4"/>
        <v>Em Branco</v>
      </c>
      <c r="G31" s="58">
        <f>(($Z$11)*($N$11+SUM($C$11:C30)+SUM($K$11:K31)+SUM($L$11:L31)))</f>
        <v>0</v>
      </c>
      <c r="H31" s="58">
        <f>((0.01)*($N$11+SUM($C$11:C30)+SUM($K$11:K31)+SUM($L$11:L31))*3)</f>
        <v>0</v>
      </c>
      <c r="I31" s="58">
        <f t="shared" si="1"/>
        <v>0</v>
      </c>
      <c r="J31" s="7">
        <v>21</v>
      </c>
      <c r="K31" s="68"/>
      <c r="L31" s="38"/>
      <c r="M31" s="56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12"/>
    </row>
    <row r="32" spans="1:29" ht="15" customHeight="1" thickTop="1" thickBot="1" x14ac:dyDescent="0.3">
      <c r="A32" s="41"/>
      <c r="B32" s="7">
        <v>22</v>
      </c>
      <c r="C32" s="2"/>
      <c r="D32" s="6">
        <f t="shared" si="3"/>
        <v>0</v>
      </c>
      <c r="E32" s="19" t="str">
        <f t="shared" si="2"/>
        <v>Em Branco/Folga</v>
      </c>
      <c r="F32" s="26" t="str">
        <f t="shared" si="4"/>
        <v>Em Branco</v>
      </c>
      <c r="G32" s="58">
        <f>(($Z$11)*($N$11+SUM($C$11:C31)+SUM($K$11:K32)+SUM($L$11:L32)))</f>
        <v>0</v>
      </c>
      <c r="H32" s="58">
        <f>((0.01)*($N$11+SUM($C$11:C31)+SUM($K$11:K32)+SUM($L$11:L32))*3)</f>
        <v>0</v>
      </c>
      <c r="I32" s="58">
        <f t="shared" si="1"/>
        <v>0</v>
      </c>
      <c r="J32" s="7">
        <v>22</v>
      </c>
      <c r="K32" s="68"/>
      <c r="L32" s="38"/>
      <c r="M32" s="56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ht="15" customHeight="1" thickTop="1" thickBot="1" x14ac:dyDescent="0.3">
      <c r="A33" s="41"/>
      <c r="B33" s="7">
        <v>23</v>
      </c>
      <c r="C33" s="1"/>
      <c r="D33" s="6">
        <f t="shared" si="3"/>
        <v>0</v>
      </c>
      <c r="E33" s="19" t="str">
        <f t="shared" si="2"/>
        <v>Em Branco/Folga</v>
      </c>
      <c r="F33" s="26" t="str">
        <f t="shared" si="4"/>
        <v>Em Branco</v>
      </c>
      <c r="G33" s="58">
        <f>(($Z$11)*($N$11+SUM($C$11:C32)+SUM($K$11:K33)+SUM($L$11:L33)))</f>
        <v>0</v>
      </c>
      <c r="H33" s="58">
        <f>((0.01)*($N$11+SUM($C$11:C32)+SUM($K$11:K33)+SUM($L$11:L33))*3)</f>
        <v>0</v>
      </c>
      <c r="I33" s="58">
        <f t="shared" si="1"/>
        <v>0</v>
      </c>
      <c r="J33" s="7">
        <v>23</v>
      </c>
      <c r="K33" s="68"/>
      <c r="L33" s="38"/>
      <c r="M33" s="56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ht="15" customHeight="1" thickTop="1" thickBot="1" x14ac:dyDescent="0.3">
      <c r="A34" s="41"/>
      <c r="B34" s="7">
        <v>24</v>
      </c>
      <c r="C34" s="2"/>
      <c r="D34" s="6">
        <f t="shared" si="3"/>
        <v>0</v>
      </c>
      <c r="E34" s="19" t="str">
        <f t="shared" si="2"/>
        <v>Em Branco/Folga</v>
      </c>
      <c r="F34" s="26" t="str">
        <f t="shared" si="4"/>
        <v>Em Branco</v>
      </c>
      <c r="G34" s="58">
        <f>(($Z$11)*($N$11+SUM($C$11:C33)+SUM($K$11:K34)+SUM($L$11:L34)))</f>
        <v>0</v>
      </c>
      <c r="H34" s="58">
        <f>((0.01)*($N$11+SUM($C$11:C33)+SUM($K$11:K34)+SUM($L$11:L34))*3)</f>
        <v>0</v>
      </c>
      <c r="I34" s="58">
        <f t="shared" si="1"/>
        <v>0</v>
      </c>
      <c r="J34" s="7">
        <v>24</v>
      </c>
      <c r="K34" s="68"/>
      <c r="L34" s="38"/>
      <c r="M34" s="56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ht="15" customHeight="1" thickTop="1" thickBot="1" x14ac:dyDescent="0.3">
      <c r="A35" s="41"/>
      <c r="B35" s="7">
        <v>25</v>
      </c>
      <c r="C35" s="1"/>
      <c r="D35" s="6">
        <f t="shared" si="3"/>
        <v>0</v>
      </c>
      <c r="E35" s="19" t="str">
        <f t="shared" si="2"/>
        <v>Em Branco/Folga</v>
      </c>
      <c r="F35" s="26" t="str">
        <f t="shared" si="4"/>
        <v>Em Branco</v>
      </c>
      <c r="G35" s="58">
        <f>(($Z$11)*($N$11+SUM($C$11:C34)+SUM($K$11:K35)+SUM($L$11:L35)))</f>
        <v>0</v>
      </c>
      <c r="H35" s="58">
        <f>((0.01)*($N$11+SUM($C$11:C34)+SUM($K$11:K35)+SUM($L$11:L35))*3)</f>
        <v>0</v>
      </c>
      <c r="I35" s="58">
        <f t="shared" si="1"/>
        <v>0</v>
      </c>
      <c r="J35" s="7">
        <v>25</v>
      </c>
      <c r="K35" s="68"/>
      <c r="L35" s="38"/>
      <c r="M35" s="56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ht="15" customHeight="1" thickTop="1" thickBot="1" x14ac:dyDescent="0.3">
      <c r="A36" s="41"/>
      <c r="B36" s="7">
        <v>26</v>
      </c>
      <c r="C36" s="2"/>
      <c r="D36" s="6">
        <f t="shared" si="3"/>
        <v>0</v>
      </c>
      <c r="E36" s="19" t="str">
        <f t="shared" si="2"/>
        <v>Em Branco/Folga</v>
      </c>
      <c r="F36" s="26" t="str">
        <f t="shared" si="4"/>
        <v>Em Branco</v>
      </c>
      <c r="G36" s="58">
        <f>(($Z$11)*($N$11+SUM($C$11:C35)+SUM($K$11:K36)+SUM($L$11:L36)))</f>
        <v>0</v>
      </c>
      <c r="H36" s="58">
        <f>((0.01)*($N$11+SUM($C$11:C35)+SUM($K$11:K36)+SUM($L$11:L36))*3)</f>
        <v>0</v>
      </c>
      <c r="I36" s="58">
        <f t="shared" si="1"/>
        <v>0</v>
      </c>
      <c r="J36" s="7">
        <v>26</v>
      </c>
      <c r="K36" s="68"/>
      <c r="L36" s="38"/>
      <c r="M36" s="56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  <row r="37" spans="1:28" ht="15" customHeight="1" thickTop="1" thickBot="1" x14ac:dyDescent="0.3">
      <c r="A37" s="41"/>
      <c r="B37" s="7">
        <v>27</v>
      </c>
      <c r="C37" s="1"/>
      <c r="D37" s="6">
        <f t="shared" si="3"/>
        <v>0</v>
      </c>
      <c r="E37" s="19" t="str">
        <f t="shared" si="2"/>
        <v>Em Branco/Folga</v>
      </c>
      <c r="F37" s="26" t="str">
        <f t="shared" si="4"/>
        <v>Em Branco</v>
      </c>
      <c r="G37" s="58">
        <f>(($Z$11)*($N$11+SUM($C$11:C36)+SUM($K$11:K37)+SUM($L$11:L37)))</f>
        <v>0</v>
      </c>
      <c r="H37" s="58">
        <f>((0.01)*($N$11+SUM($C$11:C36)+SUM($K$11:K37)+SUM($L$11:L37))*3)</f>
        <v>0</v>
      </c>
      <c r="I37" s="58">
        <f t="shared" si="1"/>
        <v>0</v>
      </c>
      <c r="J37" s="7">
        <v>27</v>
      </c>
      <c r="K37" s="68"/>
      <c r="L37" s="38"/>
      <c r="M37" s="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</row>
    <row r="38" spans="1:28" ht="15" customHeight="1" thickTop="1" thickBot="1" x14ac:dyDescent="0.3">
      <c r="A38" s="41"/>
      <c r="B38" s="7">
        <v>28</v>
      </c>
      <c r="C38" s="2"/>
      <c r="D38" s="6">
        <f t="shared" si="3"/>
        <v>0</v>
      </c>
      <c r="E38" s="19" t="str">
        <f t="shared" si="2"/>
        <v>Em Branco/Folga</v>
      </c>
      <c r="F38" s="26" t="str">
        <f t="shared" si="4"/>
        <v>Em Branco</v>
      </c>
      <c r="G38" s="58">
        <f>(($Z$11)*($N$11+SUM($C$11:C37)+SUM($K$11:K38)+SUM($L$11:L38)))</f>
        <v>0</v>
      </c>
      <c r="H38" s="58">
        <f>((0.01)*($N$11+SUM($C$11:C37)+SUM($K$11:K38)+SUM($L$11:L38))*3)</f>
        <v>0</v>
      </c>
      <c r="I38" s="58">
        <f t="shared" si="1"/>
        <v>0</v>
      </c>
      <c r="J38" s="7">
        <v>28</v>
      </c>
      <c r="K38" s="68"/>
      <c r="L38" s="38"/>
      <c r="M38" s="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</row>
    <row r="39" spans="1:28" ht="15" customHeight="1" thickTop="1" thickBot="1" x14ac:dyDescent="0.3">
      <c r="A39" s="41"/>
      <c r="B39" s="7">
        <v>29</v>
      </c>
      <c r="C39" s="1"/>
      <c r="D39" s="6">
        <f t="shared" si="3"/>
        <v>0</v>
      </c>
      <c r="E39" s="19" t="str">
        <f t="shared" si="2"/>
        <v>Em Branco/Folga</v>
      </c>
      <c r="F39" s="26" t="str">
        <f t="shared" si="4"/>
        <v>Em Branco</v>
      </c>
      <c r="G39" s="58">
        <f>(($Z$11)*($N$11+SUM($C$11:C38)+SUM($K$11:K39)+SUM($L$11:L39)))</f>
        <v>0</v>
      </c>
      <c r="H39" s="58">
        <f>((0.01)*($N$11+SUM($C$11:C38)+SUM($K$11:K39)+SUM($L$11:L39))*3)</f>
        <v>0</v>
      </c>
      <c r="I39" s="58">
        <f t="shared" si="1"/>
        <v>0</v>
      </c>
      <c r="J39" s="7">
        <v>29</v>
      </c>
      <c r="K39" s="67"/>
      <c r="L39" s="37"/>
      <c r="M39" s="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</row>
    <row r="40" spans="1:28" ht="15" customHeight="1" thickTop="1" thickBot="1" x14ac:dyDescent="0.3">
      <c r="A40" s="41"/>
      <c r="B40" s="7">
        <v>30</v>
      </c>
      <c r="C40" s="2"/>
      <c r="D40" s="6">
        <f t="shared" si="3"/>
        <v>0</v>
      </c>
      <c r="E40" s="19" t="str">
        <f t="shared" si="2"/>
        <v>Em Branco/Folga</v>
      </c>
      <c r="F40" s="26" t="str">
        <f t="shared" si="4"/>
        <v>Em Branco</v>
      </c>
      <c r="G40" s="58">
        <f>(($Z$11)*($N$11+SUM($C$11:C39)+SUM($K$11:K40)+SUM($L$11:L40)))</f>
        <v>0</v>
      </c>
      <c r="H40" s="58">
        <f>((0.01)*($N$11+SUM($C$11:C39)+SUM($K$11:K40)+SUM($L$11:L40))*3)</f>
        <v>0</v>
      </c>
      <c r="I40" s="58">
        <f t="shared" si="1"/>
        <v>0</v>
      </c>
      <c r="J40" s="7">
        <v>30</v>
      </c>
      <c r="K40" s="68"/>
      <c r="L40" s="38"/>
      <c r="M40" s="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</row>
    <row r="41" spans="1:28" ht="15.75" customHeight="1" thickTop="1" thickBot="1" x14ac:dyDescent="0.3">
      <c r="A41" s="41"/>
      <c r="B41" s="8">
        <v>31</v>
      </c>
      <c r="C41" s="3"/>
      <c r="D41" s="9">
        <f t="shared" si="3"/>
        <v>0</v>
      </c>
      <c r="E41" s="20" t="str">
        <f t="shared" si="2"/>
        <v>Em Branco/Folga</v>
      </c>
      <c r="F41" s="27" t="str">
        <f t="shared" si="4"/>
        <v>Em Branco</v>
      </c>
      <c r="G41" s="58">
        <f>(($Z$11)*($N$11+SUM($C$11:C40)+SUM($K$11:K41)+SUM($L$11:L41)))</f>
        <v>0</v>
      </c>
      <c r="H41" s="58">
        <f>((0.01)*($N$11+SUM($C$11:C40)+SUM($K$11:K41)+SUM($L$11:L41))*3)</f>
        <v>0</v>
      </c>
      <c r="I41" s="58">
        <f t="shared" si="1"/>
        <v>0</v>
      </c>
      <c r="J41" s="8">
        <v>31</v>
      </c>
      <c r="K41" s="69"/>
      <c r="L41" s="39"/>
      <c r="M41" s="56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</row>
    <row r="42" spans="1:28" x14ac:dyDescent="0.25">
      <c r="A42" s="41"/>
      <c r="B42" s="41"/>
      <c r="C42" s="41"/>
      <c r="D42" s="51"/>
      <c r="E42" s="41"/>
      <c r="F42" s="42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</row>
  </sheetData>
  <sheetProtection algorithmName="SHA-512" hashValue="VI66doE/7f/aV5u7uPjek3nNN4/wcXApjf9oUIay+2iKzBSPaVB0kCk/6R3Wn7Gy84nS+wqoxHGbqvPlX56j0g==" saltValue="TvObXWGzuht41OsrLldwiA==" spinCount="100000" sheet="1" selectLockedCells="1"/>
  <mergeCells count="11">
    <mergeCell ref="D2:E2"/>
    <mergeCell ref="B9:D9"/>
    <mergeCell ref="E9:F9"/>
    <mergeCell ref="J9:L9"/>
    <mergeCell ref="N10:O10"/>
    <mergeCell ref="R10:S10"/>
    <mergeCell ref="V10:W10"/>
    <mergeCell ref="N11:O11"/>
    <mergeCell ref="P11:Q11"/>
    <mergeCell ref="R11:S11"/>
    <mergeCell ref="P10:Q10"/>
  </mergeCells>
  <conditionalFormatting sqref="E11:F41">
    <cfRule type="containsText" dxfId="308" priority="41" operator="containsText" text="Não Atingiu">
      <formula>NOT(ISERROR(SEARCH("Não Atingiu",E11)))</formula>
    </cfRule>
    <cfRule type="containsText" dxfId="307" priority="42" operator="containsText" text="Prejuizo">
      <formula>NOT(ISERROR(SEARCH("Prejuizo",E11)))</formula>
    </cfRule>
    <cfRule type="containsText" dxfId="306" priority="43" operator="containsText" text="Atingiu">
      <formula>NOT(ISERROR(SEARCH("Atingiu",E11)))</formula>
    </cfRule>
  </conditionalFormatting>
  <conditionalFormatting sqref="E12:F12">
    <cfRule type="cellIs" dxfId="305" priority="40" operator="equal">
      <formula>"Em Branco/Folga"</formula>
    </cfRule>
  </conditionalFormatting>
  <conditionalFormatting sqref="E11:F11">
    <cfRule type="cellIs" dxfId="304" priority="39" operator="equal">
      <formula>"Em Branco/Folga"</formula>
    </cfRule>
  </conditionalFormatting>
  <conditionalFormatting sqref="E13:F41">
    <cfRule type="cellIs" dxfId="303" priority="38" operator="equal">
      <formula>"Em Branco/Folga"</formula>
    </cfRule>
  </conditionalFormatting>
  <conditionalFormatting sqref="F11">
    <cfRule type="cellIs" dxfId="302" priority="30" operator="equal">
      <formula>"Está Arriscando Sua Banca"</formula>
    </cfRule>
    <cfRule type="cellIs" dxfId="301" priority="35" operator="equal">
      <formula>"Está Se Arriscando Acima De 3%"</formula>
    </cfRule>
    <cfRule type="cellIs" dxfId="300" priority="36" operator="equal">
      <formula>"Parabéns Seguiu Gerenciamento"</formula>
    </cfRule>
    <cfRule type="cellIs" dxfId="299" priority="37" operator="equal">
      <formula>"Em Branco"</formula>
    </cfRule>
  </conditionalFormatting>
  <conditionalFormatting sqref="F12:F41">
    <cfRule type="cellIs" dxfId="298" priority="34" operator="equal">
      <formula>"Em Branco/Folga"</formula>
    </cfRule>
  </conditionalFormatting>
  <conditionalFormatting sqref="F12:F41">
    <cfRule type="cellIs" dxfId="297" priority="31" operator="equal">
      <formula>"Está Se Arriscando Acima De 3%"</formula>
    </cfRule>
    <cfRule type="cellIs" dxfId="296" priority="32" operator="equal">
      <formula>"Parabéns Seguiu Gerenciamento"</formula>
    </cfRule>
    <cfRule type="cellIs" dxfId="295" priority="33" operator="equal">
      <formula>"Em Branco"</formula>
    </cfRule>
  </conditionalFormatting>
  <conditionalFormatting sqref="F12:F41">
    <cfRule type="cellIs" dxfId="294" priority="29" operator="equal">
      <formula>"Em Branco/Folga"</formula>
    </cfRule>
  </conditionalFormatting>
  <conditionalFormatting sqref="F12:F41">
    <cfRule type="cellIs" dxfId="293" priority="25" operator="equal">
      <formula>"Está Arriscando Sua Banca"</formula>
    </cfRule>
    <cfRule type="cellIs" dxfId="292" priority="26" operator="equal">
      <formula>"Está Se Arriscando Acima De 3%"</formula>
    </cfRule>
    <cfRule type="cellIs" dxfId="291" priority="27" operator="equal">
      <formula>"Parabéns Seguiu Gerenciamento"</formula>
    </cfRule>
    <cfRule type="cellIs" dxfId="290" priority="28" operator="equal">
      <formula>"Em Branco"</formula>
    </cfRule>
  </conditionalFormatting>
  <conditionalFormatting sqref="K11:K31 K41">
    <cfRule type="containsBlanks" dxfId="289" priority="17">
      <formula>LEN(TRIM(K11))=0</formula>
    </cfRule>
    <cfRule type="cellIs" dxfId="288" priority="18" operator="equal">
      <formula>0</formula>
    </cfRule>
    <cfRule type="cellIs" dxfId="287" priority="19" operator="greaterThan">
      <formula>0</formula>
    </cfRule>
    <cfRule type="cellIs" dxfId="286" priority="20" operator="lessThan">
      <formula>0</formula>
    </cfRule>
  </conditionalFormatting>
  <conditionalFormatting sqref="K32:K40">
    <cfRule type="containsBlanks" dxfId="285" priority="13">
      <formula>LEN(TRIM(K32))=0</formula>
    </cfRule>
    <cfRule type="cellIs" dxfId="284" priority="14" operator="equal">
      <formula>0</formula>
    </cfRule>
    <cfRule type="cellIs" dxfId="283" priority="15" operator="greaterThan">
      <formula>0</formula>
    </cfRule>
    <cfRule type="cellIs" dxfId="282" priority="16" operator="lessThan">
      <formula>0</formula>
    </cfRule>
  </conditionalFormatting>
  <conditionalFormatting sqref="L11:M31 L41:M41">
    <cfRule type="containsBlanks" dxfId="281" priority="9">
      <formula>LEN(TRIM(L11))=0</formula>
    </cfRule>
    <cfRule type="cellIs" dxfId="280" priority="10" operator="equal">
      <formula>0</formula>
    </cfRule>
    <cfRule type="cellIs" dxfId="279" priority="11" operator="greaterThan">
      <formula>0</formula>
    </cfRule>
    <cfRule type="cellIs" dxfId="278" priority="12" operator="lessThan">
      <formula>0</formula>
    </cfRule>
  </conditionalFormatting>
  <conditionalFormatting sqref="L32:M40">
    <cfRule type="containsBlanks" dxfId="277" priority="5">
      <formula>LEN(TRIM(L32))=0</formula>
    </cfRule>
    <cfRule type="cellIs" dxfId="276" priority="6" operator="equal">
      <formula>0</formula>
    </cfRule>
    <cfRule type="cellIs" dxfId="275" priority="7" operator="greaterThan">
      <formula>0</formula>
    </cfRule>
    <cfRule type="cellIs" dxfId="274" priority="8" operator="lessThan">
      <formula>0</formula>
    </cfRule>
  </conditionalFormatting>
  <conditionalFormatting sqref="C11:C41">
    <cfRule type="containsBlanks" dxfId="273" priority="1">
      <formula>LEN(TRIM(C11))=0</formula>
    </cfRule>
    <cfRule type="cellIs" dxfId="272" priority="2" operator="equal">
      <formula>0</formula>
    </cfRule>
    <cfRule type="cellIs" dxfId="271" priority="3" operator="greaterThan">
      <formula>0</formula>
    </cfRule>
    <cfRule type="cellIs" dxfId="270" priority="4" operator="lessThan">
      <formula>0</formula>
    </cfRule>
  </conditionalFormatting>
  <dataValidations count="7">
    <dataValidation type="decimal" allowBlank="1" showErrorMessage="1" errorTitle="ATENÇÃO" error="APENAS NÚMEROS" sqref="K11:K41" xr:uid="{93D8BFB3-59C7-4801-A035-E5EF177E582A}">
      <formula1>-999999999999999000</formula1>
      <formula2>999999999999999000</formula2>
    </dataValidation>
    <dataValidation type="decimal" allowBlank="1" showInputMessage="1" showErrorMessage="1" errorTitle="ATENÇÃO" error="APENAS NÚMEROS" promptTitle="SAQUES" prompt="COLOCAR SINAL NEGATIVO" sqref="L11:L41" xr:uid="{FE182F5A-8959-4686-AD32-665AACF80953}">
      <formula1>-999999999999999000</formula1>
      <formula2>999999999999999000</formula2>
    </dataValidation>
    <dataValidation allowBlank="1" showInputMessage="1" showErrorMessage="1" errorTitle="ATENÇÃO" error="SELECIONE O MÊS DE REFERÊNCIA" sqref="J9 M9" xr:uid="{B759D153-F37F-4CE1-9DBC-16B474173DAF}"/>
    <dataValidation type="decimal" allowBlank="1" showInputMessage="1" showErrorMessage="1" errorTitle="ATENÇÃO" error="APENAS NÚMEROS" sqref="N11:O11 C11:C41 M11:M41" xr:uid="{C61547DA-28BC-4AAE-83DE-CDD23BC434DC}">
      <formula1>-999999999999999000</formula1>
      <formula2>999999999999999000</formula2>
    </dataValidation>
    <dataValidation type="list" allowBlank="1" showInputMessage="1" showErrorMessage="1" errorTitle="ATENÇÃO" error="SELECIONE O MÊS DE REFERÊNCIA" sqref="E9" xr:uid="{E1C06E77-0B22-433D-AD71-78A03AB29BCB}">
      <formula1>$AC$6:$AC$17</formula1>
    </dataValidation>
    <dataValidation type="decimal" allowBlank="1" showInputMessage="1" showErrorMessage="1" errorTitle="GERENCIAMENTO" error="SIGA O GERENCIAMENTO DE 1% A 3%" sqref="Z11" xr:uid="{B2D91679-D7BF-4702-B5A9-46F9556D2336}">
      <formula1>0.000001</formula1>
      <formula2>0.03</formula2>
    </dataValidation>
    <dataValidation type="list" allowBlank="1" showInputMessage="1" showErrorMessage="1" sqref="E13:E41" xr:uid="{F838EC03-6D33-4792-9A65-AA39F702B78F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63B44-3431-4D29-984B-4F91F1EE5521}">
  <sheetPr codeName="Planilha14">
    <tabColor rgb="FFFFC000"/>
  </sheetPr>
  <dimension ref="A1:AC42"/>
  <sheetViews>
    <sheetView showGridLines="0" showRowColHeaders="0" zoomScale="85" zoomScaleNormal="85" workbookViewId="0">
      <selection activeCell="E9" sqref="E9:F9"/>
    </sheetView>
  </sheetViews>
  <sheetFormatPr defaultColWidth="0" defaultRowHeight="15" customHeight="1" zeroHeight="1" x14ac:dyDescent="0.25"/>
  <cols>
    <col min="1" max="1" width="3.7109375" style="4" customWidth="1"/>
    <col min="2" max="2" width="4.5703125" style="4" customWidth="1"/>
    <col min="3" max="3" width="12.7109375" style="4" customWidth="1"/>
    <col min="4" max="4" width="12.140625" style="4" customWidth="1"/>
    <col min="5" max="5" width="15.7109375" style="4" customWidth="1"/>
    <col min="6" max="6" width="30.7109375" style="25" customWidth="1"/>
    <col min="7" max="9" width="0.5703125" style="4" customWidth="1"/>
    <col min="10" max="10" width="4.5703125" style="4" customWidth="1"/>
    <col min="11" max="12" width="15.7109375" style="4" customWidth="1"/>
    <col min="13" max="13" width="1.7109375" style="4" customWidth="1"/>
    <col min="14" max="14" width="15.7109375" style="4" customWidth="1"/>
    <col min="15" max="15" width="9.5703125" style="4" bestFit="1" customWidth="1"/>
    <col min="16" max="20" width="9.140625" style="4" customWidth="1"/>
    <col min="21" max="21" width="12.140625" style="4" customWidth="1"/>
    <col min="22" max="22" width="12.85546875" style="4" customWidth="1"/>
    <col min="23" max="23" width="18" style="4" customWidth="1"/>
    <col min="24" max="24" width="13.85546875" style="4" customWidth="1"/>
    <col min="25" max="25" width="15.140625" style="4" customWidth="1"/>
    <col min="26" max="26" width="9.7109375" style="4" bestFit="1" customWidth="1"/>
    <col min="27" max="28" width="2.28515625" style="4" customWidth="1"/>
    <col min="29" max="16384" width="9.140625" style="4" hidden="1"/>
  </cols>
  <sheetData>
    <row r="1" spans="1:29" x14ac:dyDescent="0.25">
      <c r="A1" s="41"/>
      <c r="B1" s="41"/>
      <c r="C1" s="41"/>
      <c r="D1" s="41"/>
      <c r="E1" s="41"/>
      <c r="F1" s="42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3"/>
      <c r="AB1" s="41"/>
      <c r="AC1" s="10">
        <v>0.01</v>
      </c>
    </row>
    <row r="2" spans="1:29" x14ac:dyDescent="0.25">
      <c r="A2" s="41"/>
      <c r="B2" s="41"/>
      <c r="C2" s="44" t="s">
        <v>103</v>
      </c>
      <c r="D2" s="79">
        <f ca="1">TODAY()</f>
        <v>44422</v>
      </c>
      <c r="E2" s="80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59" t="s">
        <v>110</v>
      </c>
      <c r="Z2" s="41"/>
      <c r="AA2" s="43"/>
      <c r="AB2" s="41"/>
      <c r="AC2" s="10"/>
    </row>
    <row r="3" spans="1:29" x14ac:dyDescent="0.25">
      <c r="A3" s="41"/>
      <c r="B3" s="41"/>
      <c r="C3" s="41"/>
      <c r="D3" s="41"/>
      <c r="E3" s="41"/>
      <c r="F3" s="42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3"/>
      <c r="AB3" s="41"/>
      <c r="AC3" s="10"/>
    </row>
    <row r="4" spans="1:29" x14ac:dyDescent="0.25">
      <c r="A4" s="41"/>
      <c r="B4" s="41"/>
      <c r="C4" s="41"/>
      <c r="D4" s="41"/>
      <c r="E4" s="41"/>
      <c r="F4" s="42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3"/>
      <c r="AB4" s="41"/>
      <c r="AC4" s="10">
        <v>0.02</v>
      </c>
    </row>
    <row r="5" spans="1:29" x14ac:dyDescent="0.25">
      <c r="A5" s="41"/>
      <c r="B5" s="41"/>
      <c r="C5" s="41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3"/>
      <c r="AB5" s="41"/>
      <c r="AC5" s="10">
        <v>0.03</v>
      </c>
    </row>
    <row r="6" spans="1:29" x14ac:dyDescent="0.25">
      <c r="A6" s="41"/>
      <c r="B6" s="41"/>
      <c r="C6" s="41"/>
      <c r="D6" s="41"/>
      <c r="E6" s="41"/>
      <c r="F6" s="42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3"/>
      <c r="AB6" s="41"/>
      <c r="AC6" s="11" t="s">
        <v>26</v>
      </c>
    </row>
    <row r="7" spans="1:29" x14ac:dyDescent="0.25">
      <c r="A7" s="41"/>
      <c r="B7" s="41"/>
      <c r="C7" s="41"/>
      <c r="D7" s="41"/>
      <c r="E7" s="41"/>
      <c r="F7" s="42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3"/>
      <c r="AB7" s="41"/>
      <c r="AC7" s="11" t="s">
        <v>27</v>
      </c>
    </row>
    <row r="8" spans="1:29" ht="15.75" thickBot="1" x14ac:dyDescent="0.3">
      <c r="A8" s="41"/>
      <c r="B8" s="41"/>
      <c r="C8" s="41"/>
      <c r="D8" s="41"/>
      <c r="E8" s="41"/>
      <c r="F8" s="42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3"/>
      <c r="AB8" s="41"/>
      <c r="AC8" s="11" t="s">
        <v>28</v>
      </c>
    </row>
    <row r="9" spans="1:29" ht="19.5" thickBot="1" x14ac:dyDescent="0.3">
      <c r="A9" s="41"/>
      <c r="B9" s="81" t="s">
        <v>38</v>
      </c>
      <c r="C9" s="82"/>
      <c r="D9" s="83"/>
      <c r="E9" s="84" t="s">
        <v>32</v>
      </c>
      <c r="F9" s="85"/>
      <c r="G9" s="57"/>
      <c r="H9" s="57"/>
      <c r="I9" s="57"/>
      <c r="J9" s="81" t="s">
        <v>107</v>
      </c>
      <c r="K9" s="82"/>
      <c r="L9" s="88"/>
      <c r="M9" s="55"/>
      <c r="N9" s="5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3"/>
      <c r="AB9" s="41"/>
      <c r="AC9" s="11" t="s">
        <v>29</v>
      </c>
    </row>
    <row r="10" spans="1:29" ht="16.5" thickBot="1" x14ac:dyDescent="0.3">
      <c r="A10" s="41"/>
      <c r="B10" s="60" t="s">
        <v>0</v>
      </c>
      <c r="C10" s="61" t="s">
        <v>1</v>
      </c>
      <c r="D10" s="61" t="s">
        <v>3</v>
      </c>
      <c r="E10" s="61" t="s">
        <v>2</v>
      </c>
      <c r="F10" s="62" t="s">
        <v>105</v>
      </c>
      <c r="G10" s="57"/>
      <c r="H10" s="57"/>
      <c r="I10" s="57"/>
      <c r="J10" s="63" t="s">
        <v>0</v>
      </c>
      <c r="K10" s="64" t="s">
        <v>108</v>
      </c>
      <c r="L10" s="65" t="s">
        <v>109</v>
      </c>
      <c r="M10" s="40"/>
      <c r="N10" s="86" t="s">
        <v>5</v>
      </c>
      <c r="O10" s="87"/>
      <c r="P10" s="87" t="s">
        <v>4</v>
      </c>
      <c r="Q10" s="87"/>
      <c r="R10" s="87" t="s">
        <v>6</v>
      </c>
      <c r="S10" s="87"/>
      <c r="T10" s="53" t="s">
        <v>24</v>
      </c>
      <c r="U10" s="53" t="s">
        <v>23</v>
      </c>
      <c r="V10" s="75" t="s">
        <v>21</v>
      </c>
      <c r="W10" s="75"/>
      <c r="X10" s="53" t="s">
        <v>7</v>
      </c>
      <c r="Y10" s="53" t="s">
        <v>102</v>
      </c>
      <c r="Z10" s="5" t="s">
        <v>25</v>
      </c>
      <c r="AA10" s="43"/>
      <c r="AB10" s="41"/>
      <c r="AC10" s="11" t="s">
        <v>30</v>
      </c>
    </row>
    <row r="11" spans="1:29" ht="16.5" thickBot="1" x14ac:dyDescent="0.3">
      <c r="A11" s="41"/>
      <c r="B11" s="21">
        <v>1</v>
      </c>
      <c r="C11" s="22"/>
      <c r="D11" s="23">
        <f>N11+C11</f>
        <v>0</v>
      </c>
      <c r="E11" s="24" t="str">
        <f>IF(ISBLANK($C11),"Em Branco/Folga",IF($C11&gt;=$G11,"Atingiu",IF($C11&lt;0,"Prejuizo",IF($C11&lt;$G11,"Não Atingiu"))))</f>
        <v>Em Branco/Folga</v>
      </c>
      <c r="F11" s="26" t="str">
        <f t="shared" ref="F11:F15" si="0">IF(ISBLANK($C11),"Em Branco",IF($I11&gt;$C11,"Está Arriscando Sua Banca",IF($C11&lt;=$H11,"Parabéns Seguiu Gerenciamento","Está Se Arriscando Acima De 3%")))</f>
        <v>Em Branco</v>
      </c>
      <c r="G11" s="58">
        <f>(($Z$11)*($N$11+SUM($K$11:K11)+SUM($L$11:L11)))</f>
        <v>0</v>
      </c>
      <c r="H11" s="58">
        <f>((0.01)*($N$11+SUM($K$11:K11)+SUM($L$11:L11))*3)</f>
        <v>0</v>
      </c>
      <c r="I11" s="58">
        <f t="shared" ref="I11:I41" si="1">-$H11</f>
        <v>0</v>
      </c>
      <c r="J11" s="21">
        <v>1</v>
      </c>
      <c r="K11" s="66"/>
      <c r="L11" s="36"/>
      <c r="M11" s="56"/>
      <c r="N11" s="89">
        <v>0</v>
      </c>
      <c r="O11" s="90"/>
      <c r="P11" s="78">
        <f>Z11*R11</f>
        <v>0</v>
      </c>
      <c r="Q11" s="78"/>
      <c r="R11" s="78">
        <f>(SUM(N11+SUM(C11:C41)))+(SUM(K11:K41))+(SUM(L11:L41))</f>
        <v>0</v>
      </c>
      <c r="S11" s="78"/>
      <c r="T11" s="52">
        <f>P11*0.2</f>
        <v>0</v>
      </c>
      <c r="U11" s="46">
        <f>R11*0.03</f>
        <v>0</v>
      </c>
      <c r="V11" s="47">
        <f>(R11)-(N11)-(SUM(K11:K41))-(SUM(L11:L41))</f>
        <v>0</v>
      </c>
      <c r="W11" s="48">
        <f>V11*Y11</f>
        <v>0</v>
      </c>
      <c r="X11" s="49" t="e">
        <f>(($R$11-$N$11)/$N$11)</f>
        <v>#DIV/0!</v>
      </c>
      <c r="Y11" s="18">
        <f>COTAÇÃO!B6/1000000</f>
        <v>5.2</v>
      </c>
      <c r="Z11" s="73">
        <v>0.01</v>
      </c>
      <c r="AA11" s="43"/>
      <c r="AB11" s="41"/>
      <c r="AC11" s="11" t="s">
        <v>31</v>
      </c>
    </row>
    <row r="12" spans="1:29" ht="15" customHeight="1" thickTop="1" thickBot="1" x14ac:dyDescent="0.3">
      <c r="A12" s="41"/>
      <c r="B12" s="7">
        <v>2</v>
      </c>
      <c r="C12" s="2"/>
      <c r="D12" s="6">
        <f>D11+C12</f>
        <v>0</v>
      </c>
      <c r="E12" s="19" t="str">
        <f>IF(ISBLANK($C12),"Em Branco/Folga",IF($C12&gt;=$G12,"Atingiu",IF($C12&lt;0,"Prejuizo",IF($C12&lt;$G12,"Não Atingiu"))))</f>
        <v>Em Branco/Folga</v>
      </c>
      <c r="F12" s="26" t="str">
        <f t="shared" si="0"/>
        <v>Em Branco</v>
      </c>
      <c r="G12" s="58">
        <f>(($Z$11)*($N$11+SUM($C$11:C11)+SUM($K$11:K12)+SUM($L$11:L12)))</f>
        <v>0</v>
      </c>
      <c r="H12" s="58">
        <f>((0.01)*($N$11+SUM($C$11:C11)+SUM($K$11:K12)+SUM($L$11:L12))*3)</f>
        <v>0</v>
      </c>
      <c r="I12" s="58">
        <f t="shared" si="1"/>
        <v>0</v>
      </c>
      <c r="J12" s="7">
        <v>2</v>
      </c>
      <c r="K12" s="67"/>
      <c r="L12" s="37"/>
      <c r="M12" s="56"/>
      <c r="N12" s="50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3"/>
      <c r="AB12" s="41"/>
      <c r="AC12" s="11" t="s">
        <v>32</v>
      </c>
    </row>
    <row r="13" spans="1:29" ht="15" customHeight="1" thickTop="1" thickBot="1" x14ac:dyDescent="0.3">
      <c r="A13" s="41"/>
      <c r="B13" s="7">
        <v>3</v>
      </c>
      <c r="C13" s="1"/>
      <c r="D13" s="6">
        <f>D12+C13</f>
        <v>0</v>
      </c>
      <c r="E13" s="19" t="str">
        <f t="shared" ref="E13:E41" si="2">IF(ISBLANK($C13),"Em Branco/Folga",IF($C13&gt;=$G13,"Atingiu",IF($C13&lt;0,"Prejuizo",IF($C13&lt;$G13,"Não Atingiu"))))</f>
        <v>Em Branco/Folga</v>
      </c>
      <c r="F13" s="26" t="str">
        <f t="shared" si="0"/>
        <v>Em Branco</v>
      </c>
      <c r="G13" s="58">
        <f>(($Z$11)*($N$11+SUM($C$11:C12)+SUM($K$11:K13)+SUM($L$11:L13)))</f>
        <v>0</v>
      </c>
      <c r="H13" s="58">
        <f>((0.01)*($N$11+SUM($C$11:C12)+SUM($K$11:K13)+SUM($L$11:L13))*3)</f>
        <v>0</v>
      </c>
      <c r="I13" s="58">
        <f t="shared" si="1"/>
        <v>0</v>
      </c>
      <c r="J13" s="7">
        <v>3</v>
      </c>
      <c r="K13" s="68"/>
      <c r="L13" s="38"/>
      <c r="M13" s="56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3"/>
      <c r="AB13" s="41"/>
      <c r="AC13" s="11" t="s">
        <v>33</v>
      </c>
    </row>
    <row r="14" spans="1:29" ht="15" customHeight="1" thickTop="1" thickBot="1" x14ac:dyDescent="0.3">
      <c r="A14" s="41"/>
      <c r="B14" s="7">
        <v>4</v>
      </c>
      <c r="C14" s="2"/>
      <c r="D14" s="6">
        <f>D13+C14</f>
        <v>0</v>
      </c>
      <c r="E14" s="19" t="str">
        <f t="shared" si="2"/>
        <v>Em Branco/Folga</v>
      </c>
      <c r="F14" s="26" t="str">
        <f t="shared" si="0"/>
        <v>Em Branco</v>
      </c>
      <c r="G14" s="58">
        <f>(($Z$11)*($N$11+SUM($C$11:C13)+SUM($K$11:K14)+SUM($L$11:L14)))</f>
        <v>0</v>
      </c>
      <c r="H14" s="58">
        <f>((0.01)*($N$11+SUM($C$11:C13)+SUM($K$11:K14)+SUM($L$11:L14))*3)</f>
        <v>0</v>
      </c>
      <c r="I14" s="58">
        <f t="shared" si="1"/>
        <v>0</v>
      </c>
      <c r="J14" s="7">
        <v>4</v>
      </c>
      <c r="K14" s="67"/>
      <c r="L14" s="37"/>
      <c r="M14" s="56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3"/>
      <c r="AB14" s="41"/>
      <c r="AC14" s="11" t="s">
        <v>34</v>
      </c>
    </row>
    <row r="15" spans="1:29" ht="15" customHeight="1" thickTop="1" thickBot="1" x14ac:dyDescent="0.3">
      <c r="A15" s="41"/>
      <c r="B15" s="7">
        <v>5</v>
      </c>
      <c r="C15" s="1"/>
      <c r="D15" s="6">
        <f>D14+C15</f>
        <v>0</v>
      </c>
      <c r="E15" s="19" t="str">
        <f t="shared" si="2"/>
        <v>Em Branco/Folga</v>
      </c>
      <c r="F15" s="26" t="str">
        <f t="shared" si="0"/>
        <v>Em Branco</v>
      </c>
      <c r="G15" s="58">
        <f>(($Z$11)*($N$11+SUM($C$11:C14)+SUM($K$11:K15)+SUM($L$11:L15)))</f>
        <v>0</v>
      </c>
      <c r="H15" s="58">
        <f>((0.01)*($N$11+SUM($C$11:C14)+SUM($K$11:K15)+SUM($L$11:L15))*3)</f>
        <v>0</v>
      </c>
      <c r="I15" s="58">
        <f t="shared" si="1"/>
        <v>0</v>
      </c>
      <c r="J15" s="7">
        <v>5</v>
      </c>
      <c r="K15" s="68"/>
      <c r="L15" s="38"/>
      <c r="M15" s="56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3"/>
      <c r="AB15" s="41"/>
      <c r="AC15" s="11" t="s">
        <v>35</v>
      </c>
    </row>
    <row r="16" spans="1:29" ht="15" customHeight="1" thickTop="1" thickBot="1" x14ac:dyDescent="0.3">
      <c r="A16" s="41"/>
      <c r="B16" s="7">
        <v>6</v>
      </c>
      <c r="C16" s="2"/>
      <c r="D16" s="6">
        <f>D15+C16</f>
        <v>0</v>
      </c>
      <c r="E16" s="19" t="str">
        <f t="shared" si="2"/>
        <v>Em Branco/Folga</v>
      </c>
      <c r="F16" s="26" t="str">
        <f>IF(ISBLANK($C16),"Em Branco",IF($I16&gt;$C16,"Está Arriscando Sua Banca",IF($C16&lt;=$H16,"Parabéns Seguiu Gerenciamento","Está Se Arriscando Acima De 3%")))</f>
        <v>Em Branco</v>
      </c>
      <c r="G16" s="58">
        <f>(($Z$11)*($N$11+SUM($C$11:C15)+SUM($K$11:K16)+SUM($L$11:L16)))</f>
        <v>0</v>
      </c>
      <c r="H16" s="58">
        <f>((0.01)*($N$11+SUM($C$11:C15)+SUM($K$11:K16)+SUM($L$11:L16))*3)</f>
        <v>0</v>
      </c>
      <c r="I16" s="58">
        <f t="shared" si="1"/>
        <v>0</v>
      </c>
      <c r="J16" s="7">
        <v>6</v>
      </c>
      <c r="K16" s="67"/>
      <c r="L16" s="37"/>
      <c r="M16" s="56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3"/>
      <c r="AB16" s="41"/>
      <c r="AC16" s="11" t="s">
        <v>36</v>
      </c>
    </row>
    <row r="17" spans="1:29" ht="15" customHeight="1" thickTop="1" thickBot="1" x14ac:dyDescent="0.3">
      <c r="A17" s="41"/>
      <c r="B17" s="7">
        <v>7</v>
      </c>
      <c r="C17" s="1"/>
      <c r="D17" s="6">
        <f t="shared" ref="D17:D41" si="3">D16+C17</f>
        <v>0</v>
      </c>
      <c r="E17" s="19" t="str">
        <f t="shared" si="2"/>
        <v>Em Branco/Folga</v>
      </c>
      <c r="F17" s="26" t="str">
        <f t="shared" ref="F17:F41" si="4">IF(ISBLANK($C17),"Em Branco",IF(I17&gt;C17,"Está Arriscando Sua Banca",IF($C17&lt;=$H17,"Parabéns Seguiu Gerenciamento","Está Se Arriscando Acima De 3%")))</f>
        <v>Em Branco</v>
      </c>
      <c r="G17" s="58">
        <f>(($Z$11)*($N$11+SUM($C$11:C16)+SUM($K$11:K17)+SUM($L$11:L17)))</f>
        <v>0</v>
      </c>
      <c r="H17" s="58">
        <f>((0.01)*($N$11+SUM($C$11:C16)+SUM($K$11:K17)+SUM($L$11:L17))*3)</f>
        <v>0</v>
      </c>
      <c r="I17" s="58">
        <f t="shared" si="1"/>
        <v>0</v>
      </c>
      <c r="J17" s="7">
        <v>7</v>
      </c>
      <c r="K17" s="68"/>
      <c r="L17" s="38"/>
      <c r="M17" s="56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3"/>
      <c r="AB17" s="41"/>
      <c r="AC17" s="11" t="s">
        <v>37</v>
      </c>
    </row>
    <row r="18" spans="1:29" ht="15" customHeight="1" thickTop="1" thickBot="1" x14ac:dyDescent="0.3">
      <c r="A18" s="41"/>
      <c r="B18" s="7">
        <v>8</v>
      </c>
      <c r="C18" s="2"/>
      <c r="D18" s="6">
        <f t="shared" si="3"/>
        <v>0</v>
      </c>
      <c r="E18" s="19" t="str">
        <f t="shared" si="2"/>
        <v>Em Branco/Folga</v>
      </c>
      <c r="F18" s="26" t="str">
        <f t="shared" si="4"/>
        <v>Em Branco</v>
      </c>
      <c r="G18" s="58">
        <f>(($Z$11)*($N$11+SUM($C$11:C17)+SUM($K$11:K18)+SUM($L$11:L18)))</f>
        <v>0</v>
      </c>
      <c r="H18" s="58">
        <f>((0.01)*($N$11+SUM($C$11:C17)+SUM($K$11:K18)+SUM($L$11:L18))*3)</f>
        <v>0</v>
      </c>
      <c r="I18" s="58">
        <f t="shared" si="1"/>
        <v>0</v>
      </c>
      <c r="J18" s="7">
        <v>8</v>
      </c>
      <c r="K18" s="67"/>
      <c r="L18" s="37"/>
      <c r="M18" s="56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3"/>
      <c r="AB18" s="41"/>
      <c r="AC18" s="12"/>
    </row>
    <row r="19" spans="1:29" ht="15" customHeight="1" thickTop="1" thickBot="1" x14ac:dyDescent="0.3">
      <c r="A19" s="41"/>
      <c r="B19" s="7">
        <v>9</v>
      </c>
      <c r="C19" s="1"/>
      <c r="D19" s="6">
        <f t="shared" si="3"/>
        <v>0</v>
      </c>
      <c r="E19" s="19" t="str">
        <f t="shared" si="2"/>
        <v>Em Branco/Folga</v>
      </c>
      <c r="F19" s="26" t="str">
        <f t="shared" si="4"/>
        <v>Em Branco</v>
      </c>
      <c r="G19" s="58">
        <f>(($Z$11)*($N$11+SUM($C$11:C18)+SUM($K$11:K19)+SUM($L$11:L19)))</f>
        <v>0</v>
      </c>
      <c r="H19" s="58">
        <f>((0.01)*($N$11+SUM($C$11:C18)+SUM($K$11:K19)+SUM($L$11:L19))*3)</f>
        <v>0</v>
      </c>
      <c r="I19" s="58">
        <f t="shared" si="1"/>
        <v>0</v>
      </c>
      <c r="J19" s="7">
        <v>9</v>
      </c>
      <c r="K19" s="68"/>
      <c r="L19" s="38"/>
      <c r="M19" s="56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3"/>
      <c r="AB19" s="41"/>
      <c r="AC19" s="12"/>
    </row>
    <row r="20" spans="1:29" ht="15" customHeight="1" thickTop="1" thickBot="1" x14ac:dyDescent="0.3">
      <c r="A20" s="41"/>
      <c r="B20" s="7">
        <v>10</v>
      </c>
      <c r="C20" s="2"/>
      <c r="D20" s="6">
        <f t="shared" si="3"/>
        <v>0</v>
      </c>
      <c r="E20" s="19" t="str">
        <f t="shared" si="2"/>
        <v>Em Branco/Folga</v>
      </c>
      <c r="F20" s="26" t="str">
        <f t="shared" si="4"/>
        <v>Em Branco</v>
      </c>
      <c r="G20" s="58">
        <f>(($Z$11)*($N$11+SUM($C$11:C19)+SUM($K$11:K20)+SUM($L$11:L20)))</f>
        <v>0</v>
      </c>
      <c r="H20" s="58">
        <f>((0.01)*($N$11+SUM($C$11:C19)+SUM($K$11:K20)+SUM($L$11:L20))*3)</f>
        <v>0</v>
      </c>
      <c r="I20" s="58">
        <f t="shared" si="1"/>
        <v>0</v>
      </c>
      <c r="J20" s="7">
        <v>10</v>
      </c>
      <c r="K20" s="67"/>
      <c r="L20" s="37"/>
      <c r="M20" s="56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3"/>
      <c r="AB20" s="41"/>
      <c r="AC20" s="12"/>
    </row>
    <row r="21" spans="1:29" ht="15" customHeight="1" thickTop="1" thickBot="1" x14ac:dyDescent="0.3">
      <c r="A21" s="41"/>
      <c r="B21" s="7">
        <v>11</v>
      </c>
      <c r="C21" s="1"/>
      <c r="D21" s="6">
        <f t="shared" si="3"/>
        <v>0</v>
      </c>
      <c r="E21" s="19" t="str">
        <f t="shared" si="2"/>
        <v>Em Branco/Folga</v>
      </c>
      <c r="F21" s="26" t="str">
        <f t="shared" si="4"/>
        <v>Em Branco</v>
      </c>
      <c r="G21" s="58">
        <f>(($Z$11)*($N$11+SUM($C$11:C20)+SUM($K$11:K21)+SUM($L$11:L21)))</f>
        <v>0</v>
      </c>
      <c r="H21" s="58">
        <f>((0.01)*($N$11+SUM($C$11:C20)+SUM($K$11:K21)+SUM($L$11:L21))*3)</f>
        <v>0</v>
      </c>
      <c r="I21" s="58">
        <f t="shared" si="1"/>
        <v>0</v>
      </c>
      <c r="J21" s="7">
        <v>11</v>
      </c>
      <c r="K21" s="68"/>
      <c r="L21" s="38"/>
      <c r="M21" s="56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12"/>
    </row>
    <row r="22" spans="1:29" ht="15" customHeight="1" thickTop="1" thickBot="1" x14ac:dyDescent="0.3">
      <c r="A22" s="41"/>
      <c r="B22" s="7">
        <v>12</v>
      </c>
      <c r="C22" s="2"/>
      <c r="D22" s="6">
        <f t="shared" si="3"/>
        <v>0</v>
      </c>
      <c r="E22" s="19" t="str">
        <f t="shared" si="2"/>
        <v>Em Branco/Folga</v>
      </c>
      <c r="F22" s="26" t="str">
        <f t="shared" si="4"/>
        <v>Em Branco</v>
      </c>
      <c r="G22" s="58">
        <f>(($Z$11)*($N$11+SUM($C$11:C21)+SUM($K$11:K22)+SUM($L$11:L22)))</f>
        <v>0</v>
      </c>
      <c r="H22" s="58">
        <f>((0.01)*($N$11+SUM($C$11:C21)+SUM($K$11:K22)+SUM($L$11:L22))*3)</f>
        <v>0</v>
      </c>
      <c r="I22" s="58">
        <f t="shared" si="1"/>
        <v>0</v>
      </c>
      <c r="J22" s="7">
        <v>12</v>
      </c>
      <c r="K22" s="67"/>
      <c r="L22" s="37"/>
      <c r="M22" s="56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12"/>
    </row>
    <row r="23" spans="1:29" ht="15" customHeight="1" thickTop="1" thickBot="1" x14ac:dyDescent="0.3">
      <c r="A23" s="41"/>
      <c r="B23" s="7">
        <v>13</v>
      </c>
      <c r="C23" s="1"/>
      <c r="D23" s="6">
        <f t="shared" si="3"/>
        <v>0</v>
      </c>
      <c r="E23" s="19" t="str">
        <f t="shared" si="2"/>
        <v>Em Branco/Folga</v>
      </c>
      <c r="F23" s="26" t="str">
        <f t="shared" si="4"/>
        <v>Em Branco</v>
      </c>
      <c r="G23" s="58">
        <f>(($Z$11)*($N$11+SUM($C$11:C22)+SUM($K$11:K23)+SUM($L$11:L23)))</f>
        <v>0</v>
      </c>
      <c r="H23" s="58">
        <f>((0.01)*($N$11+SUM($C$11:C22)+SUM($K$11:K23)+SUM($L$11:L23))*3)</f>
        <v>0</v>
      </c>
      <c r="I23" s="58">
        <f t="shared" si="1"/>
        <v>0</v>
      </c>
      <c r="J23" s="7">
        <v>13</v>
      </c>
      <c r="K23" s="68"/>
      <c r="L23" s="38"/>
      <c r="M23" s="56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12"/>
    </row>
    <row r="24" spans="1:29" ht="15" customHeight="1" thickTop="1" thickBot="1" x14ac:dyDescent="0.3">
      <c r="A24" s="41"/>
      <c r="B24" s="7">
        <v>14</v>
      </c>
      <c r="C24" s="2"/>
      <c r="D24" s="6">
        <f t="shared" si="3"/>
        <v>0</v>
      </c>
      <c r="E24" s="19" t="str">
        <f t="shared" si="2"/>
        <v>Em Branco/Folga</v>
      </c>
      <c r="F24" s="26" t="str">
        <f t="shared" si="4"/>
        <v>Em Branco</v>
      </c>
      <c r="G24" s="58">
        <f>(($Z$11)*($N$11+SUM($C$11:C23)+SUM($K$11:K24)+SUM($L$11:L24)))</f>
        <v>0</v>
      </c>
      <c r="H24" s="58">
        <f>((0.01)*($N$11+SUM($C$11:C23)+SUM($K$11:K24)+SUM($L$11:L24))*3)</f>
        <v>0</v>
      </c>
      <c r="I24" s="58">
        <f t="shared" si="1"/>
        <v>0</v>
      </c>
      <c r="J24" s="7">
        <v>14</v>
      </c>
      <c r="K24" s="67"/>
      <c r="L24" s="37"/>
      <c r="M24" s="56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12"/>
    </row>
    <row r="25" spans="1:29" ht="15" customHeight="1" thickTop="1" thickBot="1" x14ac:dyDescent="0.3">
      <c r="A25" s="41"/>
      <c r="B25" s="7">
        <v>15</v>
      </c>
      <c r="C25" s="1"/>
      <c r="D25" s="6">
        <f t="shared" si="3"/>
        <v>0</v>
      </c>
      <c r="E25" s="19" t="str">
        <f t="shared" si="2"/>
        <v>Em Branco/Folga</v>
      </c>
      <c r="F25" s="26" t="str">
        <f t="shared" si="4"/>
        <v>Em Branco</v>
      </c>
      <c r="G25" s="58">
        <f>(($Z$11)*($N$11+SUM($C$11:C24)+SUM($K$11:K25)+SUM($L$11:L25)))</f>
        <v>0</v>
      </c>
      <c r="H25" s="58">
        <f>((0.01)*($N$11+SUM($C$11:C24)+SUM($K$11:K25)+SUM($L$11:L25))*3)</f>
        <v>0</v>
      </c>
      <c r="I25" s="58">
        <f t="shared" si="1"/>
        <v>0</v>
      </c>
      <c r="J25" s="7">
        <v>15</v>
      </c>
      <c r="K25" s="68"/>
      <c r="L25" s="38"/>
      <c r="M25" s="56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12"/>
    </row>
    <row r="26" spans="1:29" ht="15" customHeight="1" thickTop="1" thickBot="1" x14ac:dyDescent="0.3">
      <c r="A26" s="41"/>
      <c r="B26" s="7">
        <v>16</v>
      </c>
      <c r="C26" s="2"/>
      <c r="D26" s="6">
        <f t="shared" si="3"/>
        <v>0</v>
      </c>
      <c r="E26" s="19" t="str">
        <f t="shared" si="2"/>
        <v>Em Branco/Folga</v>
      </c>
      <c r="F26" s="26" t="str">
        <f t="shared" si="4"/>
        <v>Em Branco</v>
      </c>
      <c r="G26" s="58">
        <f>(($Z$11)*($N$11+SUM($C$11:C25)+SUM($K$11:K26)+SUM($L$11:L26)))</f>
        <v>0</v>
      </c>
      <c r="H26" s="58">
        <f>((0.01)*($N$11+SUM($C$11:C25)+SUM($K$11:K26)+SUM($L$11:L26))*3)</f>
        <v>0</v>
      </c>
      <c r="I26" s="58">
        <f t="shared" si="1"/>
        <v>0</v>
      </c>
      <c r="J26" s="7">
        <v>16</v>
      </c>
      <c r="K26" s="67"/>
      <c r="L26" s="37"/>
      <c r="M26" s="56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12"/>
    </row>
    <row r="27" spans="1:29" ht="15" customHeight="1" thickTop="1" thickBot="1" x14ac:dyDescent="0.3">
      <c r="A27" s="41"/>
      <c r="B27" s="7">
        <v>17</v>
      </c>
      <c r="C27" s="1"/>
      <c r="D27" s="6">
        <f t="shared" si="3"/>
        <v>0</v>
      </c>
      <c r="E27" s="19" t="str">
        <f t="shared" si="2"/>
        <v>Em Branco/Folga</v>
      </c>
      <c r="F27" s="26" t="str">
        <f t="shared" si="4"/>
        <v>Em Branco</v>
      </c>
      <c r="G27" s="58">
        <f>(($Z$11)*($N$11+SUM($C$11:C26)+SUM($K$11:K27)+SUM($L$11:L27)))</f>
        <v>0</v>
      </c>
      <c r="H27" s="58">
        <f>((0.01)*($N$11+SUM($C$11:C26)+SUM($K$11:K27)+SUM($L$11:L27))*3)</f>
        <v>0</v>
      </c>
      <c r="I27" s="58">
        <f t="shared" si="1"/>
        <v>0</v>
      </c>
      <c r="J27" s="7">
        <v>17</v>
      </c>
      <c r="K27" s="68"/>
      <c r="L27" s="38"/>
      <c r="M27" s="56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12"/>
    </row>
    <row r="28" spans="1:29" ht="15" customHeight="1" thickTop="1" thickBot="1" x14ac:dyDescent="0.3">
      <c r="A28" s="41"/>
      <c r="B28" s="7">
        <v>18</v>
      </c>
      <c r="C28" s="2"/>
      <c r="D28" s="6">
        <f t="shared" si="3"/>
        <v>0</v>
      </c>
      <c r="E28" s="19" t="str">
        <f t="shared" si="2"/>
        <v>Em Branco/Folga</v>
      </c>
      <c r="F28" s="26" t="str">
        <f t="shared" si="4"/>
        <v>Em Branco</v>
      </c>
      <c r="G28" s="58">
        <f>(($Z$11)*($N$11+SUM($C$11:C27)+SUM($K$11:K28)+SUM($L$11:L28)))</f>
        <v>0</v>
      </c>
      <c r="H28" s="58">
        <f>((0.01)*($N$11+SUM($C$11:C27)+SUM($K$11:K28)+SUM($L$11:L28))*3)</f>
        <v>0</v>
      </c>
      <c r="I28" s="58">
        <f t="shared" si="1"/>
        <v>0</v>
      </c>
      <c r="J28" s="7">
        <v>18</v>
      </c>
      <c r="K28" s="67"/>
      <c r="L28" s="37"/>
      <c r="M28" s="56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12"/>
    </row>
    <row r="29" spans="1:29" ht="15" customHeight="1" thickTop="1" thickBot="1" x14ac:dyDescent="0.3">
      <c r="A29" s="41"/>
      <c r="B29" s="7">
        <v>19</v>
      </c>
      <c r="C29" s="1"/>
      <c r="D29" s="6">
        <f t="shared" si="3"/>
        <v>0</v>
      </c>
      <c r="E29" s="19" t="str">
        <f t="shared" si="2"/>
        <v>Em Branco/Folga</v>
      </c>
      <c r="F29" s="26" t="str">
        <f t="shared" si="4"/>
        <v>Em Branco</v>
      </c>
      <c r="G29" s="58">
        <f>(($Z$11)*($N$11+SUM($C$11:C28)+SUM($K$11:K29)+SUM($L$11:L29)))</f>
        <v>0</v>
      </c>
      <c r="H29" s="58">
        <f>((0.01)*($N$11+SUM($C$11:C28)+SUM($K$11:K29)+SUM($L$11:L29))*3)</f>
        <v>0</v>
      </c>
      <c r="I29" s="58">
        <f t="shared" si="1"/>
        <v>0</v>
      </c>
      <c r="J29" s="7">
        <v>19</v>
      </c>
      <c r="K29" s="68"/>
      <c r="L29" s="38"/>
      <c r="M29" s="56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12"/>
    </row>
    <row r="30" spans="1:29" ht="15" customHeight="1" thickTop="1" thickBot="1" x14ac:dyDescent="0.3">
      <c r="A30" s="41"/>
      <c r="B30" s="7">
        <v>20</v>
      </c>
      <c r="C30" s="2"/>
      <c r="D30" s="6">
        <f t="shared" si="3"/>
        <v>0</v>
      </c>
      <c r="E30" s="19" t="str">
        <f t="shared" si="2"/>
        <v>Em Branco/Folga</v>
      </c>
      <c r="F30" s="26" t="str">
        <f t="shared" si="4"/>
        <v>Em Branco</v>
      </c>
      <c r="G30" s="58">
        <f>(($Z$11)*($N$11+SUM($C$11:C29)+SUM($K$11:K30)+SUM($L$11:L30)))</f>
        <v>0</v>
      </c>
      <c r="H30" s="58">
        <f>((0.01)*($N$11+SUM($C$11:C29)+SUM($K$11:K30)+SUM($L$11:L30))*3)</f>
        <v>0</v>
      </c>
      <c r="I30" s="58">
        <f t="shared" si="1"/>
        <v>0</v>
      </c>
      <c r="J30" s="7">
        <v>20</v>
      </c>
      <c r="K30" s="67"/>
      <c r="L30" s="37"/>
      <c r="M30" s="56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12"/>
    </row>
    <row r="31" spans="1:29" ht="15" customHeight="1" thickTop="1" thickBot="1" x14ac:dyDescent="0.3">
      <c r="A31" s="41"/>
      <c r="B31" s="7">
        <v>21</v>
      </c>
      <c r="C31" s="1"/>
      <c r="D31" s="6">
        <f t="shared" si="3"/>
        <v>0</v>
      </c>
      <c r="E31" s="19" t="str">
        <f t="shared" si="2"/>
        <v>Em Branco/Folga</v>
      </c>
      <c r="F31" s="26" t="str">
        <f t="shared" si="4"/>
        <v>Em Branco</v>
      </c>
      <c r="G31" s="58">
        <f>(($Z$11)*($N$11+SUM($C$11:C30)+SUM($K$11:K31)+SUM($L$11:L31)))</f>
        <v>0</v>
      </c>
      <c r="H31" s="58">
        <f>((0.01)*($N$11+SUM($C$11:C30)+SUM($K$11:K31)+SUM($L$11:L31))*3)</f>
        <v>0</v>
      </c>
      <c r="I31" s="58">
        <f t="shared" si="1"/>
        <v>0</v>
      </c>
      <c r="J31" s="7">
        <v>21</v>
      </c>
      <c r="K31" s="68"/>
      <c r="L31" s="38"/>
      <c r="M31" s="56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12"/>
    </row>
    <row r="32" spans="1:29" ht="15" customHeight="1" thickTop="1" thickBot="1" x14ac:dyDescent="0.3">
      <c r="A32" s="41"/>
      <c r="B32" s="7">
        <v>22</v>
      </c>
      <c r="C32" s="2"/>
      <c r="D32" s="6">
        <f t="shared" si="3"/>
        <v>0</v>
      </c>
      <c r="E32" s="19" t="str">
        <f t="shared" si="2"/>
        <v>Em Branco/Folga</v>
      </c>
      <c r="F32" s="26" t="str">
        <f t="shared" si="4"/>
        <v>Em Branco</v>
      </c>
      <c r="G32" s="58">
        <f>(($Z$11)*($N$11+SUM($C$11:C31)+SUM($K$11:K32)+SUM($L$11:L32)))</f>
        <v>0</v>
      </c>
      <c r="H32" s="58">
        <f>((0.01)*($N$11+SUM($C$11:C31)+SUM($K$11:K32)+SUM($L$11:L32))*3)</f>
        <v>0</v>
      </c>
      <c r="I32" s="58">
        <f t="shared" si="1"/>
        <v>0</v>
      </c>
      <c r="J32" s="7">
        <v>22</v>
      </c>
      <c r="K32" s="68"/>
      <c r="L32" s="38"/>
      <c r="M32" s="56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ht="15" customHeight="1" thickTop="1" thickBot="1" x14ac:dyDescent="0.3">
      <c r="A33" s="41"/>
      <c r="B33" s="7">
        <v>23</v>
      </c>
      <c r="C33" s="1"/>
      <c r="D33" s="6">
        <f t="shared" si="3"/>
        <v>0</v>
      </c>
      <c r="E33" s="19" t="str">
        <f t="shared" si="2"/>
        <v>Em Branco/Folga</v>
      </c>
      <c r="F33" s="26" t="str">
        <f t="shared" si="4"/>
        <v>Em Branco</v>
      </c>
      <c r="G33" s="58">
        <f>(($Z$11)*($N$11+SUM($C$11:C32)+SUM($K$11:K33)+SUM($L$11:L33)))</f>
        <v>0</v>
      </c>
      <c r="H33" s="58">
        <f>((0.01)*($N$11+SUM($C$11:C32)+SUM($K$11:K33)+SUM($L$11:L33))*3)</f>
        <v>0</v>
      </c>
      <c r="I33" s="58">
        <f t="shared" si="1"/>
        <v>0</v>
      </c>
      <c r="J33" s="7">
        <v>23</v>
      </c>
      <c r="K33" s="68"/>
      <c r="L33" s="38"/>
      <c r="M33" s="56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ht="15" customHeight="1" thickTop="1" thickBot="1" x14ac:dyDescent="0.3">
      <c r="A34" s="41"/>
      <c r="B34" s="7">
        <v>24</v>
      </c>
      <c r="C34" s="1"/>
      <c r="D34" s="6">
        <f t="shared" si="3"/>
        <v>0</v>
      </c>
      <c r="E34" s="19" t="str">
        <f t="shared" si="2"/>
        <v>Em Branco/Folga</v>
      </c>
      <c r="F34" s="26" t="str">
        <f t="shared" si="4"/>
        <v>Em Branco</v>
      </c>
      <c r="G34" s="58">
        <f>(($Z$11)*($N$11+SUM($C$11:C33)+SUM($K$11:K34)+SUM($L$11:L34)))</f>
        <v>0</v>
      </c>
      <c r="H34" s="58">
        <f>((0.01)*($N$11+SUM($C$11:C33)+SUM($K$11:K34)+SUM($L$11:L34))*3)</f>
        <v>0</v>
      </c>
      <c r="I34" s="58">
        <f t="shared" si="1"/>
        <v>0</v>
      </c>
      <c r="J34" s="7">
        <v>24</v>
      </c>
      <c r="K34" s="68"/>
      <c r="L34" s="38"/>
      <c r="M34" s="56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ht="15" customHeight="1" thickTop="1" thickBot="1" x14ac:dyDescent="0.3">
      <c r="A35" s="41"/>
      <c r="B35" s="7">
        <v>25</v>
      </c>
      <c r="C35" s="1"/>
      <c r="D35" s="6">
        <f t="shared" si="3"/>
        <v>0</v>
      </c>
      <c r="E35" s="19" t="str">
        <f t="shared" si="2"/>
        <v>Em Branco/Folga</v>
      </c>
      <c r="F35" s="26" t="str">
        <f t="shared" si="4"/>
        <v>Em Branco</v>
      </c>
      <c r="G35" s="58">
        <f>(($Z$11)*($N$11+SUM($C$11:C34)+SUM($K$11:K35)+SUM($L$11:L35)))</f>
        <v>0</v>
      </c>
      <c r="H35" s="58">
        <f>((0.01)*($N$11+SUM($C$11:C34)+SUM($K$11:K35)+SUM($L$11:L35))*3)</f>
        <v>0</v>
      </c>
      <c r="I35" s="58">
        <f t="shared" si="1"/>
        <v>0</v>
      </c>
      <c r="J35" s="7">
        <v>25</v>
      </c>
      <c r="K35" s="68"/>
      <c r="L35" s="38"/>
      <c r="M35" s="56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ht="15" customHeight="1" thickTop="1" thickBot="1" x14ac:dyDescent="0.3">
      <c r="A36" s="41"/>
      <c r="B36" s="7">
        <v>26</v>
      </c>
      <c r="C36" s="1"/>
      <c r="D36" s="6">
        <f t="shared" si="3"/>
        <v>0</v>
      </c>
      <c r="E36" s="19" t="str">
        <f t="shared" si="2"/>
        <v>Em Branco/Folga</v>
      </c>
      <c r="F36" s="26" t="str">
        <f t="shared" si="4"/>
        <v>Em Branco</v>
      </c>
      <c r="G36" s="58">
        <f>(($Z$11)*($N$11+SUM($C$11:C35)+SUM($K$11:K36)+SUM($L$11:L36)))</f>
        <v>0</v>
      </c>
      <c r="H36" s="58">
        <f>((0.01)*($N$11+SUM($C$11:C35)+SUM($K$11:K36)+SUM($L$11:L36))*3)</f>
        <v>0</v>
      </c>
      <c r="I36" s="58">
        <f t="shared" si="1"/>
        <v>0</v>
      </c>
      <c r="J36" s="7">
        <v>26</v>
      </c>
      <c r="K36" s="68"/>
      <c r="L36" s="38"/>
      <c r="M36" s="56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  <row r="37" spans="1:28" ht="15" customHeight="1" thickTop="1" thickBot="1" x14ac:dyDescent="0.3">
      <c r="A37" s="41"/>
      <c r="B37" s="7">
        <v>27</v>
      </c>
      <c r="C37" s="1"/>
      <c r="D37" s="6">
        <f t="shared" si="3"/>
        <v>0</v>
      </c>
      <c r="E37" s="19" t="str">
        <f t="shared" si="2"/>
        <v>Em Branco/Folga</v>
      </c>
      <c r="F37" s="26" t="str">
        <f t="shared" si="4"/>
        <v>Em Branco</v>
      </c>
      <c r="G37" s="58">
        <f>(($Z$11)*($N$11+SUM($C$11:C36)+SUM($K$11:K37)+SUM($L$11:L37)))</f>
        <v>0</v>
      </c>
      <c r="H37" s="58">
        <f>((0.01)*($N$11+SUM($C$11:C36)+SUM($K$11:K37)+SUM($L$11:L37))*3)</f>
        <v>0</v>
      </c>
      <c r="I37" s="58">
        <f t="shared" si="1"/>
        <v>0</v>
      </c>
      <c r="J37" s="7">
        <v>27</v>
      </c>
      <c r="K37" s="68"/>
      <c r="L37" s="38"/>
      <c r="M37" s="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</row>
    <row r="38" spans="1:28" ht="15" customHeight="1" thickTop="1" thickBot="1" x14ac:dyDescent="0.3">
      <c r="A38" s="41"/>
      <c r="B38" s="7">
        <v>28</v>
      </c>
      <c r="C38" s="1"/>
      <c r="D38" s="6">
        <f t="shared" si="3"/>
        <v>0</v>
      </c>
      <c r="E38" s="19" t="str">
        <f t="shared" si="2"/>
        <v>Em Branco/Folga</v>
      </c>
      <c r="F38" s="26" t="str">
        <f t="shared" si="4"/>
        <v>Em Branco</v>
      </c>
      <c r="G38" s="58">
        <f>(($Z$11)*($N$11+SUM($C$11:C37)+SUM($K$11:K38)+SUM($L$11:L38)))</f>
        <v>0</v>
      </c>
      <c r="H38" s="58">
        <f>((0.01)*($N$11+SUM($C$11:C37)+SUM($K$11:K38)+SUM($L$11:L38))*3)</f>
        <v>0</v>
      </c>
      <c r="I38" s="58">
        <f t="shared" si="1"/>
        <v>0</v>
      </c>
      <c r="J38" s="7">
        <v>28</v>
      </c>
      <c r="K38" s="68"/>
      <c r="L38" s="38"/>
      <c r="M38" s="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</row>
    <row r="39" spans="1:28" ht="15" customHeight="1" thickTop="1" thickBot="1" x14ac:dyDescent="0.3">
      <c r="A39" s="41"/>
      <c r="B39" s="7">
        <v>29</v>
      </c>
      <c r="C39" s="2"/>
      <c r="D39" s="6">
        <f t="shared" si="3"/>
        <v>0</v>
      </c>
      <c r="E39" s="19" t="str">
        <f t="shared" si="2"/>
        <v>Em Branco/Folga</v>
      </c>
      <c r="F39" s="26" t="str">
        <f t="shared" si="4"/>
        <v>Em Branco</v>
      </c>
      <c r="G39" s="58">
        <f>(($Z$11)*($N$11+SUM($C$11:C38)+SUM($K$11:K39)+SUM($L$11:L39)))</f>
        <v>0</v>
      </c>
      <c r="H39" s="58">
        <f>((0.01)*($N$11+SUM($C$11:C38)+SUM($K$11:K39)+SUM($L$11:L39))*3)</f>
        <v>0</v>
      </c>
      <c r="I39" s="58">
        <f t="shared" si="1"/>
        <v>0</v>
      </c>
      <c r="J39" s="7">
        <v>29</v>
      </c>
      <c r="K39" s="67"/>
      <c r="L39" s="37"/>
      <c r="M39" s="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</row>
    <row r="40" spans="1:28" ht="15" customHeight="1" thickTop="1" thickBot="1" x14ac:dyDescent="0.3">
      <c r="A40" s="41"/>
      <c r="B40" s="7">
        <v>30</v>
      </c>
      <c r="C40" s="1"/>
      <c r="D40" s="6">
        <f t="shared" si="3"/>
        <v>0</v>
      </c>
      <c r="E40" s="19" t="str">
        <f t="shared" si="2"/>
        <v>Em Branco/Folga</v>
      </c>
      <c r="F40" s="26" t="str">
        <f t="shared" si="4"/>
        <v>Em Branco</v>
      </c>
      <c r="G40" s="58">
        <f>(($Z$11)*($N$11+SUM($C$11:C39)+SUM($K$11:K40)+SUM($L$11:L40)))</f>
        <v>0</v>
      </c>
      <c r="H40" s="58">
        <f>((0.01)*($N$11+SUM($C$11:C39)+SUM($K$11:K40)+SUM($L$11:L40))*3)</f>
        <v>0</v>
      </c>
      <c r="I40" s="58">
        <f t="shared" si="1"/>
        <v>0</v>
      </c>
      <c r="J40" s="7">
        <v>30</v>
      </c>
      <c r="K40" s="68"/>
      <c r="L40" s="38"/>
      <c r="M40" s="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</row>
    <row r="41" spans="1:28" ht="15.75" customHeight="1" thickTop="1" thickBot="1" x14ac:dyDescent="0.3">
      <c r="A41" s="41"/>
      <c r="B41" s="8">
        <v>31</v>
      </c>
      <c r="C41" s="3"/>
      <c r="D41" s="9">
        <f t="shared" si="3"/>
        <v>0</v>
      </c>
      <c r="E41" s="20" t="str">
        <f t="shared" si="2"/>
        <v>Em Branco/Folga</v>
      </c>
      <c r="F41" s="27" t="str">
        <f t="shared" si="4"/>
        <v>Em Branco</v>
      </c>
      <c r="G41" s="58">
        <f>(($Z$11)*($N$11+SUM($C$11:C40)+SUM($K$11:K41)+SUM($L$11:L41)))</f>
        <v>0</v>
      </c>
      <c r="H41" s="58">
        <f>((0.01)*($N$11+SUM($C$11:C40)+SUM($K$11:K41)+SUM($L$11:L41))*3)</f>
        <v>0</v>
      </c>
      <c r="I41" s="58">
        <f t="shared" si="1"/>
        <v>0</v>
      </c>
      <c r="J41" s="8">
        <v>31</v>
      </c>
      <c r="K41" s="69"/>
      <c r="L41" s="39"/>
      <c r="M41" s="56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</row>
    <row r="42" spans="1:28" x14ac:dyDescent="0.25">
      <c r="A42" s="41"/>
      <c r="B42" s="41"/>
      <c r="C42" s="41"/>
      <c r="D42" s="51"/>
      <c r="E42" s="41"/>
      <c r="F42" s="42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</row>
  </sheetData>
  <sheetProtection algorithmName="SHA-512" hashValue="1102v85pmYhLmo898mAlBo6ylmj3Bz8LDnVG1SpBpaY71ZRS60Ylroj3S6GF7wBK2uEcaV1WmA2cz/Ke49oXfA==" saltValue="n68H3mtkPXWNa0KCmIYm2Q==" spinCount="100000" sheet="1" selectLockedCells="1"/>
  <mergeCells count="11">
    <mergeCell ref="D2:E2"/>
    <mergeCell ref="B9:D9"/>
    <mergeCell ref="E9:F9"/>
    <mergeCell ref="J9:L9"/>
    <mergeCell ref="N10:O10"/>
    <mergeCell ref="R10:S10"/>
    <mergeCell ref="V10:W10"/>
    <mergeCell ref="N11:O11"/>
    <mergeCell ref="P11:Q11"/>
    <mergeCell ref="R11:S11"/>
    <mergeCell ref="P10:Q10"/>
  </mergeCells>
  <conditionalFormatting sqref="C41">
    <cfRule type="containsBlanks" dxfId="269" priority="48">
      <formula>LEN(TRIM(C41))=0</formula>
    </cfRule>
    <cfRule type="cellIs" dxfId="268" priority="49" operator="equal">
      <formula>0</formula>
    </cfRule>
    <cfRule type="cellIs" dxfId="267" priority="50" operator="greaterThan">
      <formula>0</formula>
    </cfRule>
    <cfRule type="cellIs" dxfId="266" priority="51" operator="lessThan">
      <formula>0</formula>
    </cfRule>
  </conditionalFormatting>
  <conditionalFormatting sqref="E11:F41">
    <cfRule type="containsText" dxfId="265" priority="45" operator="containsText" text="Não Atingiu">
      <formula>NOT(ISERROR(SEARCH("Não Atingiu",E11)))</formula>
    </cfRule>
    <cfRule type="containsText" dxfId="264" priority="46" operator="containsText" text="Prejuizo">
      <formula>NOT(ISERROR(SEARCH("Prejuizo",E11)))</formula>
    </cfRule>
    <cfRule type="containsText" dxfId="263" priority="47" operator="containsText" text="Atingiu">
      <formula>NOT(ISERROR(SEARCH("Atingiu",E11)))</formula>
    </cfRule>
  </conditionalFormatting>
  <conditionalFormatting sqref="E12:F12">
    <cfRule type="cellIs" dxfId="262" priority="44" operator="equal">
      <formula>"Em Branco/Folga"</formula>
    </cfRule>
  </conditionalFormatting>
  <conditionalFormatting sqref="E11:F11">
    <cfRule type="cellIs" dxfId="261" priority="43" operator="equal">
      <formula>"Em Branco/Folga"</formula>
    </cfRule>
  </conditionalFormatting>
  <conditionalFormatting sqref="E13:F41">
    <cfRule type="cellIs" dxfId="260" priority="42" operator="equal">
      <formula>"Em Branco/Folga"</formula>
    </cfRule>
  </conditionalFormatting>
  <conditionalFormatting sqref="F11">
    <cfRule type="cellIs" dxfId="259" priority="34" operator="equal">
      <formula>"Está Arriscando Sua Banca"</formula>
    </cfRule>
    <cfRule type="cellIs" dxfId="258" priority="39" operator="equal">
      <formula>"Está Se Arriscando Acima De 3%"</formula>
    </cfRule>
    <cfRule type="cellIs" dxfId="257" priority="40" operator="equal">
      <formula>"Parabéns Seguiu Gerenciamento"</formula>
    </cfRule>
    <cfRule type="cellIs" dxfId="256" priority="41" operator="equal">
      <formula>"Em Branco"</formula>
    </cfRule>
  </conditionalFormatting>
  <conditionalFormatting sqref="F12:F41">
    <cfRule type="cellIs" dxfId="255" priority="38" operator="equal">
      <formula>"Em Branco/Folga"</formula>
    </cfRule>
  </conditionalFormatting>
  <conditionalFormatting sqref="F12:F41">
    <cfRule type="cellIs" dxfId="254" priority="35" operator="equal">
      <formula>"Está Se Arriscando Acima De 3%"</formula>
    </cfRule>
    <cfRule type="cellIs" dxfId="253" priority="36" operator="equal">
      <formula>"Parabéns Seguiu Gerenciamento"</formula>
    </cfRule>
    <cfRule type="cellIs" dxfId="252" priority="37" operator="equal">
      <formula>"Em Branco"</formula>
    </cfRule>
  </conditionalFormatting>
  <conditionalFormatting sqref="F12:F41">
    <cfRule type="cellIs" dxfId="251" priority="33" operator="equal">
      <formula>"Em Branco/Folga"</formula>
    </cfRule>
  </conditionalFormatting>
  <conditionalFormatting sqref="F12:F41">
    <cfRule type="cellIs" dxfId="250" priority="29" operator="equal">
      <formula>"Está Arriscando Sua Banca"</formula>
    </cfRule>
    <cfRule type="cellIs" dxfId="249" priority="30" operator="equal">
      <formula>"Está Se Arriscando Acima De 3%"</formula>
    </cfRule>
    <cfRule type="cellIs" dxfId="248" priority="31" operator="equal">
      <formula>"Parabéns Seguiu Gerenciamento"</formula>
    </cfRule>
    <cfRule type="cellIs" dxfId="247" priority="32" operator="equal">
      <formula>"Em Branco"</formula>
    </cfRule>
  </conditionalFormatting>
  <conditionalFormatting sqref="C34:C40">
    <cfRule type="containsBlanks" dxfId="246" priority="25">
      <formula>LEN(TRIM(C34))=0</formula>
    </cfRule>
    <cfRule type="cellIs" dxfId="245" priority="26" operator="equal">
      <formula>0</formula>
    </cfRule>
    <cfRule type="cellIs" dxfId="244" priority="27" operator="greaterThan">
      <formula>0</formula>
    </cfRule>
    <cfRule type="cellIs" dxfId="243" priority="28" operator="lessThan">
      <formula>0</formula>
    </cfRule>
  </conditionalFormatting>
  <conditionalFormatting sqref="K11:K31 K41">
    <cfRule type="containsBlanks" dxfId="242" priority="21">
      <formula>LEN(TRIM(K11))=0</formula>
    </cfRule>
    <cfRule type="cellIs" dxfId="241" priority="22" operator="equal">
      <formula>0</formula>
    </cfRule>
    <cfRule type="cellIs" dxfId="240" priority="23" operator="greaterThan">
      <formula>0</formula>
    </cfRule>
    <cfRule type="cellIs" dxfId="239" priority="24" operator="lessThan">
      <formula>0</formula>
    </cfRule>
  </conditionalFormatting>
  <conditionalFormatting sqref="K32:K40">
    <cfRule type="containsBlanks" dxfId="238" priority="17">
      <formula>LEN(TRIM(K32))=0</formula>
    </cfRule>
    <cfRule type="cellIs" dxfId="237" priority="18" operator="equal">
      <formula>0</formula>
    </cfRule>
    <cfRule type="cellIs" dxfId="236" priority="19" operator="greaterThan">
      <formula>0</formula>
    </cfRule>
    <cfRule type="cellIs" dxfId="235" priority="20" operator="lessThan">
      <formula>0</formula>
    </cfRule>
  </conditionalFormatting>
  <conditionalFormatting sqref="L11:M31 L41:M41">
    <cfRule type="containsBlanks" dxfId="234" priority="13">
      <formula>LEN(TRIM(L11))=0</formula>
    </cfRule>
    <cfRule type="cellIs" dxfId="233" priority="14" operator="equal">
      <formula>0</formula>
    </cfRule>
    <cfRule type="cellIs" dxfId="232" priority="15" operator="greaterThan">
      <formula>0</formula>
    </cfRule>
    <cfRule type="cellIs" dxfId="231" priority="16" operator="lessThan">
      <formula>0</formula>
    </cfRule>
  </conditionalFormatting>
  <conditionalFormatting sqref="L32:M40">
    <cfRule type="containsBlanks" dxfId="230" priority="9">
      <formula>LEN(TRIM(L32))=0</formula>
    </cfRule>
    <cfRule type="cellIs" dxfId="229" priority="10" operator="equal">
      <formula>0</formula>
    </cfRule>
    <cfRule type="cellIs" dxfId="228" priority="11" operator="greaterThan">
      <formula>0</formula>
    </cfRule>
    <cfRule type="cellIs" dxfId="227" priority="12" operator="lessThan">
      <formula>0</formula>
    </cfRule>
  </conditionalFormatting>
  <conditionalFormatting sqref="C32:C33">
    <cfRule type="containsBlanks" dxfId="226" priority="5">
      <formula>LEN(TRIM(C32))=0</formula>
    </cfRule>
    <cfRule type="cellIs" dxfId="225" priority="6" operator="equal">
      <formula>0</formula>
    </cfRule>
    <cfRule type="cellIs" dxfId="224" priority="7" operator="greaterThan">
      <formula>0</formula>
    </cfRule>
    <cfRule type="cellIs" dxfId="223" priority="8" operator="lessThan">
      <formula>0</formula>
    </cfRule>
  </conditionalFormatting>
  <conditionalFormatting sqref="C11:C31">
    <cfRule type="containsBlanks" dxfId="222" priority="1">
      <formula>LEN(TRIM(C11))=0</formula>
    </cfRule>
    <cfRule type="cellIs" dxfId="221" priority="2" operator="equal">
      <formula>0</formula>
    </cfRule>
    <cfRule type="cellIs" dxfId="220" priority="3" operator="greaterThan">
      <formula>0</formula>
    </cfRule>
    <cfRule type="cellIs" dxfId="219" priority="4" operator="lessThan">
      <formula>0</formula>
    </cfRule>
  </conditionalFormatting>
  <dataValidations count="7">
    <dataValidation type="list" allowBlank="1" showInputMessage="1" showErrorMessage="1" sqref="E13:E41" xr:uid="{4316DA61-89F7-4C5E-9140-CED6D6042A93}">
      <formula1>#REF!</formula1>
    </dataValidation>
    <dataValidation type="decimal" allowBlank="1" showInputMessage="1" showErrorMessage="1" errorTitle="GERENCIAMENTO" error="SIGA O GERENCIAMENTO DE 1% A 3%" sqref="Z11" xr:uid="{630600A8-90FF-45AD-9200-067DD97531A4}">
      <formula1>0.000001</formula1>
      <formula2>0.03</formula2>
    </dataValidation>
    <dataValidation type="list" allowBlank="1" showInputMessage="1" showErrorMessage="1" errorTitle="ATENÇÃO" error="SELECIONE O MÊS DE REFERÊNCIA" sqref="E9" xr:uid="{C63135D5-7D0D-4439-AF20-AE4FEA268D89}">
      <formula1>$AC$6:$AC$17</formula1>
    </dataValidation>
    <dataValidation type="decimal" allowBlank="1" showInputMessage="1" showErrorMessage="1" errorTitle="ATENÇÃO" error="APENAS NÚMEROS" sqref="N11:O11 C11:C41 M11:M41" xr:uid="{7123A4CE-FFF5-4311-9064-DA5ECF860886}">
      <formula1>-999999999999999000</formula1>
      <formula2>999999999999999000</formula2>
    </dataValidation>
    <dataValidation allowBlank="1" showInputMessage="1" showErrorMessage="1" errorTitle="ATENÇÃO" error="SELECIONE O MÊS DE REFERÊNCIA" sqref="J9 M9" xr:uid="{D6890738-362F-4BF8-B6A6-B2362E7E140E}"/>
    <dataValidation type="decimal" allowBlank="1" showInputMessage="1" showErrorMessage="1" errorTitle="ATENÇÃO" error="APENAS NÚMEROS" promptTitle="SAQUES" prompt="COLOCAR SINAL NEGATIVO" sqref="L11:L41" xr:uid="{31F53A55-308C-4AFF-A375-0F2A8B49EF35}">
      <formula1>-999999999999999000</formula1>
      <formula2>999999999999999000</formula2>
    </dataValidation>
    <dataValidation type="decimal" allowBlank="1" showErrorMessage="1" errorTitle="ATENÇÃO" error="APENAS NÚMEROS" sqref="K11:K41" xr:uid="{35BDBD63-5160-41BE-9EFA-ADD4B58C40F4}">
      <formula1>-999999999999999000</formula1>
      <formula2>999999999999999000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1EF6B-B646-4D37-B951-22E7DAFC81AD}">
  <sheetPr codeName="Planilha15">
    <tabColor rgb="FFFFC000"/>
  </sheetPr>
  <dimension ref="A1:AC42"/>
  <sheetViews>
    <sheetView showGridLines="0" showRowColHeaders="0" zoomScale="85" zoomScaleNormal="85" workbookViewId="0">
      <selection activeCell="E9" sqref="E9:F9"/>
    </sheetView>
  </sheetViews>
  <sheetFormatPr defaultColWidth="0" defaultRowHeight="15" customHeight="1" zeroHeight="1" x14ac:dyDescent="0.25"/>
  <cols>
    <col min="1" max="1" width="3.7109375" style="4" customWidth="1"/>
    <col min="2" max="2" width="4.5703125" style="4" customWidth="1"/>
    <col min="3" max="3" width="12.7109375" style="4" customWidth="1"/>
    <col min="4" max="4" width="12.140625" style="4" customWidth="1"/>
    <col min="5" max="5" width="15.7109375" style="4" customWidth="1"/>
    <col min="6" max="6" width="30.7109375" style="25" customWidth="1"/>
    <col min="7" max="9" width="0.5703125" style="4" customWidth="1"/>
    <col min="10" max="10" width="4.5703125" style="4" customWidth="1"/>
    <col min="11" max="12" width="15.7109375" style="4" customWidth="1"/>
    <col min="13" max="13" width="1.7109375" style="4" customWidth="1"/>
    <col min="14" max="14" width="15.7109375" style="4" customWidth="1"/>
    <col min="15" max="15" width="9.5703125" style="4" bestFit="1" customWidth="1"/>
    <col min="16" max="20" width="9.140625" style="4" customWidth="1"/>
    <col min="21" max="21" width="12.140625" style="4" customWidth="1"/>
    <col min="22" max="22" width="12.85546875" style="4" customWidth="1"/>
    <col min="23" max="23" width="18" style="4" customWidth="1"/>
    <col min="24" max="24" width="13.85546875" style="4" customWidth="1"/>
    <col min="25" max="25" width="15.140625" style="4" customWidth="1"/>
    <col min="26" max="26" width="9.7109375" style="4" bestFit="1" customWidth="1"/>
    <col min="27" max="28" width="2.28515625" style="4" customWidth="1"/>
    <col min="29" max="16384" width="9.140625" style="4" hidden="1"/>
  </cols>
  <sheetData>
    <row r="1" spans="1:29" x14ac:dyDescent="0.25">
      <c r="A1" s="41"/>
      <c r="B1" s="41"/>
      <c r="C1" s="41"/>
      <c r="D1" s="41"/>
      <c r="E1" s="41"/>
      <c r="F1" s="42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3"/>
      <c r="AB1" s="41"/>
      <c r="AC1" s="10">
        <v>0.01</v>
      </c>
    </row>
    <row r="2" spans="1:29" x14ac:dyDescent="0.25">
      <c r="A2" s="41"/>
      <c r="B2" s="41"/>
      <c r="C2" s="44" t="s">
        <v>103</v>
      </c>
      <c r="D2" s="79">
        <f ca="1">TODAY()</f>
        <v>44422</v>
      </c>
      <c r="E2" s="80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59" t="s">
        <v>110</v>
      </c>
      <c r="Z2" s="41"/>
      <c r="AA2" s="43"/>
      <c r="AB2" s="41"/>
      <c r="AC2" s="10"/>
    </row>
    <row r="3" spans="1:29" x14ac:dyDescent="0.25">
      <c r="A3" s="41"/>
      <c r="B3" s="41"/>
      <c r="C3" s="41"/>
      <c r="D3" s="41"/>
      <c r="E3" s="41"/>
      <c r="F3" s="42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3"/>
      <c r="AB3" s="41"/>
      <c r="AC3" s="10"/>
    </row>
    <row r="4" spans="1:29" x14ac:dyDescent="0.25">
      <c r="A4" s="41"/>
      <c r="B4" s="41"/>
      <c r="C4" s="41"/>
      <c r="D4" s="41"/>
      <c r="E4" s="41"/>
      <c r="F4" s="42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3"/>
      <c r="AB4" s="41"/>
      <c r="AC4" s="10">
        <v>0.02</v>
      </c>
    </row>
    <row r="5" spans="1:29" x14ac:dyDescent="0.25">
      <c r="A5" s="41"/>
      <c r="B5" s="41"/>
      <c r="C5" s="41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3"/>
      <c r="AB5" s="41"/>
      <c r="AC5" s="10">
        <v>0.03</v>
      </c>
    </row>
    <row r="6" spans="1:29" x14ac:dyDescent="0.25">
      <c r="A6" s="41"/>
      <c r="B6" s="41"/>
      <c r="C6" s="41"/>
      <c r="D6" s="41"/>
      <c r="E6" s="41"/>
      <c r="F6" s="42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3"/>
      <c r="AB6" s="41"/>
      <c r="AC6" s="11" t="s">
        <v>26</v>
      </c>
    </row>
    <row r="7" spans="1:29" x14ac:dyDescent="0.25">
      <c r="A7" s="41"/>
      <c r="B7" s="41"/>
      <c r="C7" s="41"/>
      <c r="D7" s="41"/>
      <c r="E7" s="41"/>
      <c r="F7" s="42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3"/>
      <c r="AB7" s="41"/>
      <c r="AC7" s="11" t="s">
        <v>27</v>
      </c>
    </row>
    <row r="8" spans="1:29" ht="15.75" thickBot="1" x14ac:dyDescent="0.3">
      <c r="A8" s="41"/>
      <c r="B8" s="41"/>
      <c r="C8" s="41"/>
      <c r="D8" s="41"/>
      <c r="E8" s="41"/>
      <c r="F8" s="42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3"/>
      <c r="AB8" s="41"/>
      <c r="AC8" s="11" t="s">
        <v>28</v>
      </c>
    </row>
    <row r="9" spans="1:29" ht="19.5" thickBot="1" x14ac:dyDescent="0.3">
      <c r="A9" s="41"/>
      <c r="B9" s="81" t="s">
        <v>38</v>
      </c>
      <c r="C9" s="82"/>
      <c r="D9" s="83"/>
      <c r="E9" s="84" t="s">
        <v>33</v>
      </c>
      <c r="F9" s="85"/>
      <c r="G9" s="57"/>
      <c r="H9" s="57"/>
      <c r="I9" s="57"/>
      <c r="J9" s="81" t="s">
        <v>107</v>
      </c>
      <c r="K9" s="82"/>
      <c r="L9" s="88"/>
      <c r="M9" s="55"/>
      <c r="N9" s="5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3"/>
      <c r="AB9" s="41"/>
      <c r="AC9" s="11" t="s">
        <v>29</v>
      </c>
    </row>
    <row r="10" spans="1:29" ht="16.5" thickBot="1" x14ac:dyDescent="0.3">
      <c r="A10" s="41"/>
      <c r="B10" s="60" t="s">
        <v>0</v>
      </c>
      <c r="C10" s="61" t="s">
        <v>1</v>
      </c>
      <c r="D10" s="61" t="s">
        <v>3</v>
      </c>
      <c r="E10" s="61" t="s">
        <v>2</v>
      </c>
      <c r="F10" s="62" t="s">
        <v>105</v>
      </c>
      <c r="G10" s="57"/>
      <c r="H10" s="57"/>
      <c r="I10" s="57"/>
      <c r="J10" s="63" t="s">
        <v>0</v>
      </c>
      <c r="K10" s="64" t="s">
        <v>108</v>
      </c>
      <c r="L10" s="65" t="s">
        <v>109</v>
      </c>
      <c r="M10" s="40"/>
      <c r="N10" s="86" t="s">
        <v>5</v>
      </c>
      <c r="O10" s="87"/>
      <c r="P10" s="87" t="s">
        <v>4</v>
      </c>
      <c r="Q10" s="87"/>
      <c r="R10" s="87" t="s">
        <v>6</v>
      </c>
      <c r="S10" s="87"/>
      <c r="T10" s="53" t="s">
        <v>24</v>
      </c>
      <c r="U10" s="53" t="s">
        <v>23</v>
      </c>
      <c r="V10" s="75" t="s">
        <v>21</v>
      </c>
      <c r="W10" s="75"/>
      <c r="X10" s="53" t="s">
        <v>7</v>
      </c>
      <c r="Y10" s="53" t="s">
        <v>102</v>
      </c>
      <c r="Z10" s="5" t="s">
        <v>25</v>
      </c>
      <c r="AA10" s="43"/>
      <c r="AB10" s="41"/>
      <c r="AC10" s="11" t="s">
        <v>30</v>
      </c>
    </row>
    <row r="11" spans="1:29" ht="16.5" thickBot="1" x14ac:dyDescent="0.3">
      <c r="A11" s="41"/>
      <c r="B11" s="21">
        <v>1</v>
      </c>
      <c r="C11" s="22"/>
      <c r="D11" s="23">
        <f>N11+C11</f>
        <v>0</v>
      </c>
      <c r="E11" s="24" t="str">
        <f>IF(ISBLANK($C11),"Em Branco/Folga",IF($C11&gt;=$G11,"Atingiu",IF($C11&lt;0,"Prejuizo",IF($C11&lt;$G11,"Não Atingiu"))))</f>
        <v>Em Branco/Folga</v>
      </c>
      <c r="F11" s="26" t="str">
        <f t="shared" ref="F11:F15" si="0">IF(ISBLANK($C11),"Em Branco",IF($I11&gt;$C11,"Está Arriscando Sua Banca",IF($C11&lt;=$H11,"Parabéns Seguiu Gerenciamento","Está Se Arriscando Acima De 3%")))</f>
        <v>Em Branco</v>
      </c>
      <c r="G11" s="58">
        <f>(($Z$11)*($N$11+SUM($K$11:K11)+SUM($L$11:L11)))</f>
        <v>0</v>
      </c>
      <c r="H11" s="58">
        <f>((0.01)*($N$11+SUM($K$11:K11)+SUM($L$11:L11))*3)</f>
        <v>0</v>
      </c>
      <c r="I11" s="58">
        <f t="shared" ref="I11:I41" si="1">-$H11</f>
        <v>0</v>
      </c>
      <c r="J11" s="21">
        <v>1</v>
      </c>
      <c r="K11" s="66"/>
      <c r="L11" s="36"/>
      <c r="M11" s="56"/>
      <c r="N11" s="76">
        <v>0</v>
      </c>
      <c r="O11" s="77"/>
      <c r="P11" s="78">
        <f>Z11*R11</f>
        <v>0</v>
      </c>
      <c r="Q11" s="78"/>
      <c r="R11" s="78">
        <f>(SUM(N11+SUM(C11:C41)))+(SUM(K11:K41))+(SUM(L11:L41))</f>
        <v>0</v>
      </c>
      <c r="S11" s="78"/>
      <c r="T11" s="52">
        <f>P11*0.2</f>
        <v>0</v>
      </c>
      <c r="U11" s="46">
        <f>R11*0.03</f>
        <v>0</v>
      </c>
      <c r="V11" s="47">
        <f>(R11)-(N11)-(SUM(K11:K41))-(SUM(L11:L41))</f>
        <v>0</v>
      </c>
      <c r="W11" s="48">
        <f>V11*Y11</f>
        <v>0</v>
      </c>
      <c r="X11" s="49" t="e">
        <f>(($R$11-$N$11)/$N$11)</f>
        <v>#DIV/0!</v>
      </c>
      <c r="Y11" s="18">
        <f>COTAÇÃO!B6/1000000</f>
        <v>5.2</v>
      </c>
      <c r="Z11" s="73">
        <v>0.01</v>
      </c>
      <c r="AA11" s="43"/>
      <c r="AB11" s="41"/>
      <c r="AC11" s="11" t="s">
        <v>31</v>
      </c>
    </row>
    <row r="12" spans="1:29" ht="15" customHeight="1" thickTop="1" thickBot="1" x14ac:dyDescent="0.3">
      <c r="A12" s="41"/>
      <c r="B12" s="7">
        <v>2</v>
      </c>
      <c r="C12" s="2"/>
      <c r="D12" s="6">
        <f>D11+C12</f>
        <v>0</v>
      </c>
      <c r="E12" s="19" t="str">
        <f>IF(ISBLANK($C12),"Em Branco/Folga",IF($C12&gt;=$G12,"Atingiu",IF($C12&lt;0,"Prejuizo",IF($C12&lt;$G12,"Não Atingiu"))))</f>
        <v>Em Branco/Folga</v>
      </c>
      <c r="F12" s="26" t="str">
        <f t="shared" si="0"/>
        <v>Em Branco</v>
      </c>
      <c r="G12" s="58">
        <f>(($Z$11)*($N$11+SUM($C$11:C11)+SUM($K$11:K12)+SUM($L$11:L12)))</f>
        <v>0</v>
      </c>
      <c r="H12" s="58">
        <f>((0.01)*($N$11+SUM($C$11:C11)+SUM($K$11:K12)+SUM($L$11:L12))*3)</f>
        <v>0</v>
      </c>
      <c r="I12" s="58">
        <f t="shared" si="1"/>
        <v>0</v>
      </c>
      <c r="J12" s="7">
        <v>2</v>
      </c>
      <c r="K12" s="67"/>
      <c r="L12" s="37"/>
      <c r="M12" s="56"/>
      <c r="N12" s="50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3"/>
      <c r="AB12" s="41"/>
      <c r="AC12" s="11" t="s">
        <v>32</v>
      </c>
    </row>
    <row r="13" spans="1:29" ht="15" customHeight="1" thickTop="1" thickBot="1" x14ac:dyDescent="0.3">
      <c r="A13" s="41"/>
      <c r="B13" s="7">
        <v>3</v>
      </c>
      <c r="C13" s="1"/>
      <c r="D13" s="6">
        <f>D12+C13</f>
        <v>0</v>
      </c>
      <c r="E13" s="19" t="str">
        <f t="shared" ref="E13:E41" si="2">IF(ISBLANK($C13),"Em Branco/Folga",IF($C13&gt;=$G13,"Atingiu",IF($C13&lt;0,"Prejuizo",IF($C13&lt;$G13,"Não Atingiu"))))</f>
        <v>Em Branco/Folga</v>
      </c>
      <c r="F13" s="26" t="str">
        <f t="shared" si="0"/>
        <v>Em Branco</v>
      </c>
      <c r="G13" s="58">
        <f>(($Z$11)*($N$11+SUM($C$11:C12)+SUM($K$11:K13)+SUM($L$11:L13)))</f>
        <v>0</v>
      </c>
      <c r="H13" s="58">
        <f>((0.01)*($N$11+SUM($C$11:C12)+SUM($K$11:K13)+SUM($L$11:L13))*3)</f>
        <v>0</v>
      </c>
      <c r="I13" s="58">
        <f t="shared" si="1"/>
        <v>0</v>
      </c>
      <c r="J13" s="7">
        <v>3</v>
      </c>
      <c r="K13" s="68"/>
      <c r="L13" s="38"/>
      <c r="M13" s="56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3"/>
      <c r="AB13" s="41"/>
      <c r="AC13" s="11" t="s">
        <v>33</v>
      </c>
    </row>
    <row r="14" spans="1:29" ht="15" customHeight="1" thickTop="1" thickBot="1" x14ac:dyDescent="0.3">
      <c r="A14" s="41"/>
      <c r="B14" s="7">
        <v>4</v>
      </c>
      <c r="C14" s="2"/>
      <c r="D14" s="6">
        <f>D13+C14</f>
        <v>0</v>
      </c>
      <c r="E14" s="19" t="str">
        <f t="shared" si="2"/>
        <v>Em Branco/Folga</v>
      </c>
      <c r="F14" s="26" t="str">
        <f t="shared" si="0"/>
        <v>Em Branco</v>
      </c>
      <c r="G14" s="58">
        <f>(($Z$11)*($N$11+SUM($C$11:C13)+SUM($K$11:K14)+SUM($L$11:L14)))</f>
        <v>0</v>
      </c>
      <c r="H14" s="58">
        <f>((0.01)*($N$11+SUM($C$11:C13)+SUM($K$11:K14)+SUM($L$11:L14))*3)</f>
        <v>0</v>
      </c>
      <c r="I14" s="58">
        <f t="shared" si="1"/>
        <v>0</v>
      </c>
      <c r="J14" s="7">
        <v>4</v>
      </c>
      <c r="K14" s="67"/>
      <c r="L14" s="37"/>
      <c r="M14" s="56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3"/>
      <c r="AB14" s="41"/>
      <c r="AC14" s="11" t="s">
        <v>34</v>
      </c>
    </row>
    <row r="15" spans="1:29" ht="15" customHeight="1" thickTop="1" thickBot="1" x14ac:dyDescent="0.3">
      <c r="A15" s="41"/>
      <c r="B15" s="7">
        <v>5</v>
      </c>
      <c r="C15" s="1"/>
      <c r="D15" s="6">
        <f>D14+C15</f>
        <v>0</v>
      </c>
      <c r="E15" s="19" t="str">
        <f t="shared" si="2"/>
        <v>Em Branco/Folga</v>
      </c>
      <c r="F15" s="26" t="str">
        <f t="shared" si="0"/>
        <v>Em Branco</v>
      </c>
      <c r="G15" s="58">
        <f>(($Z$11)*($N$11+SUM($C$11:C14)+SUM($K$11:K15)+SUM($L$11:L15)))</f>
        <v>0</v>
      </c>
      <c r="H15" s="58">
        <f>((0.01)*($N$11+SUM($C$11:C14)+SUM($K$11:K15)+SUM($L$11:L15))*3)</f>
        <v>0</v>
      </c>
      <c r="I15" s="58">
        <f t="shared" si="1"/>
        <v>0</v>
      </c>
      <c r="J15" s="7">
        <v>5</v>
      </c>
      <c r="K15" s="68"/>
      <c r="L15" s="38"/>
      <c r="M15" s="56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3"/>
      <c r="AB15" s="41"/>
      <c r="AC15" s="11" t="s">
        <v>35</v>
      </c>
    </row>
    <row r="16" spans="1:29" ht="15" customHeight="1" thickTop="1" thickBot="1" x14ac:dyDescent="0.3">
      <c r="A16" s="41"/>
      <c r="B16" s="7">
        <v>6</v>
      </c>
      <c r="C16" s="2"/>
      <c r="D16" s="6">
        <f>D15+C16</f>
        <v>0</v>
      </c>
      <c r="E16" s="19" t="str">
        <f t="shared" si="2"/>
        <v>Em Branco/Folga</v>
      </c>
      <c r="F16" s="26" t="str">
        <f>IF(ISBLANK($C16),"Em Branco",IF($I16&gt;$C16,"Está Arriscando Sua Banca",IF($C16&lt;=$H16,"Parabéns Seguiu Gerenciamento","Está Se Arriscando Acima De 3%")))</f>
        <v>Em Branco</v>
      </c>
      <c r="G16" s="58">
        <f>(($Z$11)*($N$11+SUM($C$11:C15)+SUM($K$11:K16)+SUM($L$11:L16)))</f>
        <v>0</v>
      </c>
      <c r="H16" s="58">
        <f>((0.01)*($N$11+SUM($C$11:C15)+SUM($K$11:K16)+SUM($L$11:L16))*3)</f>
        <v>0</v>
      </c>
      <c r="I16" s="58">
        <f t="shared" si="1"/>
        <v>0</v>
      </c>
      <c r="J16" s="7">
        <v>6</v>
      </c>
      <c r="K16" s="67"/>
      <c r="L16" s="37"/>
      <c r="M16" s="56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3"/>
      <c r="AB16" s="41"/>
      <c r="AC16" s="11" t="s">
        <v>36</v>
      </c>
    </row>
    <row r="17" spans="1:29" ht="15" customHeight="1" thickTop="1" thickBot="1" x14ac:dyDescent="0.3">
      <c r="A17" s="41"/>
      <c r="B17" s="7">
        <v>7</v>
      </c>
      <c r="C17" s="1"/>
      <c r="D17" s="6">
        <f t="shared" ref="D17:D41" si="3">D16+C17</f>
        <v>0</v>
      </c>
      <c r="E17" s="19" t="str">
        <f t="shared" si="2"/>
        <v>Em Branco/Folga</v>
      </c>
      <c r="F17" s="26" t="str">
        <f t="shared" ref="F17:F41" si="4">IF(ISBLANK($C17),"Em Branco",IF(I17&gt;C17,"Está Arriscando Sua Banca",IF($C17&lt;=$H17,"Parabéns Seguiu Gerenciamento","Está Se Arriscando Acima De 3%")))</f>
        <v>Em Branco</v>
      </c>
      <c r="G17" s="58">
        <f>(($Z$11)*($N$11+SUM($C$11:C16)+SUM($K$11:K17)+SUM($L$11:L17)))</f>
        <v>0</v>
      </c>
      <c r="H17" s="58">
        <f>((0.01)*($N$11+SUM($C$11:C16)+SUM($K$11:K17)+SUM($L$11:L17))*3)</f>
        <v>0</v>
      </c>
      <c r="I17" s="58">
        <f t="shared" si="1"/>
        <v>0</v>
      </c>
      <c r="J17" s="7">
        <v>7</v>
      </c>
      <c r="K17" s="68"/>
      <c r="L17" s="38"/>
      <c r="M17" s="56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3"/>
      <c r="AB17" s="41"/>
      <c r="AC17" s="11" t="s">
        <v>37</v>
      </c>
    </row>
    <row r="18" spans="1:29" ht="15" customHeight="1" thickTop="1" thickBot="1" x14ac:dyDescent="0.3">
      <c r="A18" s="41"/>
      <c r="B18" s="7">
        <v>8</v>
      </c>
      <c r="C18" s="2"/>
      <c r="D18" s="6">
        <f t="shared" si="3"/>
        <v>0</v>
      </c>
      <c r="E18" s="19" t="str">
        <f t="shared" si="2"/>
        <v>Em Branco/Folga</v>
      </c>
      <c r="F18" s="26" t="str">
        <f t="shared" si="4"/>
        <v>Em Branco</v>
      </c>
      <c r="G18" s="58">
        <f>(($Z$11)*($N$11+SUM($C$11:C17)+SUM($K$11:K18)+SUM($L$11:L18)))</f>
        <v>0</v>
      </c>
      <c r="H18" s="58">
        <f>((0.01)*($N$11+SUM($C$11:C17)+SUM($K$11:K18)+SUM($L$11:L18))*3)</f>
        <v>0</v>
      </c>
      <c r="I18" s="58">
        <f t="shared" si="1"/>
        <v>0</v>
      </c>
      <c r="J18" s="7">
        <v>8</v>
      </c>
      <c r="K18" s="67"/>
      <c r="L18" s="37"/>
      <c r="M18" s="56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3"/>
      <c r="AB18" s="41"/>
      <c r="AC18" s="12"/>
    </row>
    <row r="19" spans="1:29" ht="15" customHeight="1" thickTop="1" thickBot="1" x14ac:dyDescent="0.3">
      <c r="A19" s="41"/>
      <c r="B19" s="7">
        <v>9</v>
      </c>
      <c r="C19" s="1"/>
      <c r="D19" s="6">
        <f t="shared" si="3"/>
        <v>0</v>
      </c>
      <c r="E19" s="19" t="str">
        <f t="shared" si="2"/>
        <v>Em Branco/Folga</v>
      </c>
      <c r="F19" s="26" t="str">
        <f t="shared" si="4"/>
        <v>Em Branco</v>
      </c>
      <c r="G19" s="58">
        <f>(($Z$11)*($N$11+SUM($C$11:C18)+SUM($K$11:K19)+SUM($L$11:L19)))</f>
        <v>0</v>
      </c>
      <c r="H19" s="58">
        <f>((0.01)*($N$11+SUM($C$11:C18)+SUM($K$11:K19)+SUM($L$11:L19))*3)</f>
        <v>0</v>
      </c>
      <c r="I19" s="58">
        <f t="shared" si="1"/>
        <v>0</v>
      </c>
      <c r="J19" s="7">
        <v>9</v>
      </c>
      <c r="K19" s="68"/>
      <c r="L19" s="38"/>
      <c r="M19" s="56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3"/>
      <c r="AB19" s="41"/>
      <c r="AC19" s="12"/>
    </row>
    <row r="20" spans="1:29" ht="15" customHeight="1" thickTop="1" thickBot="1" x14ac:dyDescent="0.3">
      <c r="A20" s="41"/>
      <c r="B20" s="7">
        <v>10</v>
      </c>
      <c r="C20" s="2"/>
      <c r="D20" s="6">
        <f t="shared" si="3"/>
        <v>0</v>
      </c>
      <c r="E20" s="19" t="str">
        <f t="shared" si="2"/>
        <v>Em Branco/Folga</v>
      </c>
      <c r="F20" s="26" t="str">
        <f t="shared" si="4"/>
        <v>Em Branco</v>
      </c>
      <c r="G20" s="58">
        <f>(($Z$11)*($N$11+SUM($C$11:C19)+SUM($K$11:K20)+SUM($L$11:L20)))</f>
        <v>0</v>
      </c>
      <c r="H20" s="58">
        <f>((0.01)*($N$11+SUM($C$11:C19)+SUM($K$11:K20)+SUM($L$11:L20))*3)</f>
        <v>0</v>
      </c>
      <c r="I20" s="58">
        <f t="shared" si="1"/>
        <v>0</v>
      </c>
      <c r="J20" s="7">
        <v>10</v>
      </c>
      <c r="K20" s="67"/>
      <c r="L20" s="37"/>
      <c r="M20" s="56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3"/>
      <c r="AB20" s="41"/>
      <c r="AC20" s="12"/>
    </row>
    <row r="21" spans="1:29" ht="15" customHeight="1" thickTop="1" thickBot="1" x14ac:dyDescent="0.3">
      <c r="A21" s="41"/>
      <c r="B21" s="7">
        <v>11</v>
      </c>
      <c r="C21" s="1"/>
      <c r="D21" s="6">
        <f t="shared" si="3"/>
        <v>0</v>
      </c>
      <c r="E21" s="19" t="str">
        <f t="shared" si="2"/>
        <v>Em Branco/Folga</v>
      </c>
      <c r="F21" s="26" t="str">
        <f t="shared" si="4"/>
        <v>Em Branco</v>
      </c>
      <c r="G21" s="58">
        <f>(($Z$11)*($N$11+SUM($C$11:C20)+SUM($K$11:K21)+SUM($L$11:L21)))</f>
        <v>0</v>
      </c>
      <c r="H21" s="58">
        <f>((0.01)*($N$11+SUM($C$11:C20)+SUM($K$11:K21)+SUM($L$11:L21))*3)</f>
        <v>0</v>
      </c>
      <c r="I21" s="58">
        <f t="shared" si="1"/>
        <v>0</v>
      </c>
      <c r="J21" s="7">
        <v>11</v>
      </c>
      <c r="K21" s="68"/>
      <c r="L21" s="38"/>
      <c r="M21" s="56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12"/>
    </row>
    <row r="22" spans="1:29" ht="15" customHeight="1" thickTop="1" thickBot="1" x14ac:dyDescent="0.3">
      <c r="A22" s="41"/>
      <c r="B22" s="7">
        <v>12</v>
      </c>
      <c r="C22" s="2"/>
      <c r="D22" s="6">
        <f t="shared" si="3"/>
        <v>0</v>
      </c>
      <c r="E22" s="19" t="str">
        <f t="shared" si="2"/>
        <v>Em Branco/Folga</v>
      </c>
      <c r="F22" s="26" t="str">
        <f t="shared" si="4"/>
        <v>Em Branco</v>
      </c>
      <c r="G22" s="58">
        <f>(($Z$11)*($N$11+SUM($C$11:C21)+SUM($K$11:K22)+SUM($L$11:L22)))</f>
        <v>0</v>
      </c>
      <c r="H22" s="58">
        <f>((0.01)*($N$11+SUM($C$11:C21)+SUM($K$11:K22)+SUM($L$11:L22))*3)</f>
        <v>0</v>
      </c>
      <c r="I22" s="58">
        <f t="shared" si="1"/>
        <v>0</v>
      </c>
      <c r="J22" s="7">
        <v>12</v>
      </c>
      <c r="K22" s="67"/>
      <c r="L22" s="37"/>
      <c r="M22" s="56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12"/>
    </row>
    <row r="23" spans="1:29" ht="15" customHeight="1" thickTop="1" thickBot="1" x14ac:dyDescent="0.3">
      <c r="A23" s="41"/>
      <c r="B23" s="7">
        <v>13</v>
      </c>
      <c r="C23" s="1"/>
      <c r="D23" s="6">
        <f t="shared" si="3"/>
        <v>0</v>
      </c>
      <c r="E23" s="19" t="str">
        <f t="shared" si="2"/>
        <v>Em Branco/Folga</v>
      </c>
      <c r="F23" s="26" t="str">
        <f t="shared" si="4"/>
        <v>Em Branco</v>
      </c>
      <c r="G23" s="58">
        <f>(($Z$11)*($N$11+SUM($C$11:C22)+SUM($K$11:K23)+SUM($L$11:L23)))</f>
        <v>0</v>
      </c>
      <c r="H23" s="58">
        <f>((0.01)*($N$11+SUM($C$11:C22)+SUM($K$11:K23)+SUM($L$11:L23))*3)</f>
        <v>0</v>
      </c>
      <c r="I23" s="58">
        <f t="shared" si="1"/>
        <v>0</v>
      </c>
      <c r="J23" s="7">
        <v>13</v>
      </c>
      <c r="K23" s="68"/>
      <c r="L23" s="38"/>
      <c r="M23" s="56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12"/>
    </row>
    <row r="24" spans="1:29" ht="15" customHeight="1" thickTop="1" thickBot="1" x14ac:dyDescent="0.3">
      <c r="A24" s="41"/>
      <c r="B24" s="7">
        <v>14</v>
      </c>
      <c r="C24" s="2"/>
      <c r="D24" s="6">
        <f t="shared" si="3"/>
        <v>0</v>
      </c>
      <c r="E24" s="19" t="str">
        <f t="shared" si="2"/>
        <v>Em Branco/Folga</v>
      </c>
      <c r="F24" s="26" t="str">
        <f t="shared" si="4"/>
        <v>Em Branco</v>
      </c>
      <c r="G24" s="58">
        <f>(($Z$11)*($N$11+SUM($C$11:C23)+SUM($K$11:K24)+SUM($L$11:L24)))</f>
        <v>0</v>
      </c>
      <c r="H24" s="58">
        <f>((0.01)*($N$11+SUM($C$11:C23)+SUM($K$11:K24)+SUM($L$11:L24))*3)</f>
        <v>0</v>
      </c>
      <c r="I24" s="58">
        <f t="shared" si="1"/>
        <v>0</v>
      </c>
      <c r="J24" s="7">
        <v>14</v>
      </c>
      <c r="K24" s="67"/>
      <c r="L24" s="37"/>
      <c r="M24" s="56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12"/>
    </row>
    <row r="25" spans="1:29" ht="15" customHeight="1" thickTop="1" thickBot="1" x14ac:dyDescent="0.3">
      <c r="A25" s="41"/>
      <c r="B25" s="7">
        <v>15</v>
      </c>
      <c r="C25" s="1"/>
      <c r="D25" s="6">
        <f t="shared" si="3"/>
        <v>0</v>
      </c>
      <c r="E25" s="19" t="str">
        <f t="shared" si="2"/>
        <v>Em Branco/Folga</v>
      </c>
      <c r="F25" s="26" t="str">
        <f t="shared" si="4"/>
        <v>Em Branco</v>
      </c>
      <c r="G25" s="58">
        <f>(($Z$11)*($N$11+SUM($C$11:C24)+SUM($K$11:K25)+SUM($L$11:L25)))</f>
        <v>0</v>
      </c>
      <c r="H25" s="58">
        <f>((0.01)*($N$11+SUM($C$11:C24)+SUM($K$11:K25)+SUM($L$11:L25))*3)</f>
        <v>0</v>
      </c>
      <c r="I25" s="58">
        <f t="shared" si="1"/>
        <v>0</v>
      </c>
      <c r="J25" s="7">
        <v>15</v>
      </c>
      <c r="K25" s="68"/>
      <c r="L25" s="38"/>
      <c r="M25" s="56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12"/>
    </row>
    <row r="26" spans="1:29" ht="15" customHeight="1" thickTop="1" thickBot="1" x14ac:dyDescent="0.3">
      <c r="A26" s="41"/>
      <c r="B26" s="7">
        <v>16</v>
      </c>
      <c r="C26" s="2"/>
      <c r="D26" s="6">
        <f t="shared" si="3"/>
        <v>0</v>
      </c>
      <c r="E26" s="19" t="str">
        <f t="shared" si="2"/>
        <v>Em Branco/Folga</v>
      </c>
      <c r="F26" s="26" t="str">
        <f t="shared" si="4"/>
        <v>Em Branco</v>
      </c>
      <c r="G26" s="58">
        <f>(($Z$11)*($N$11+SUM($C$11:C25)+SUM($K$11:K26)+SUM($L$11:L26)))</f>
        <v>0</v>
      </c>
      <c r="H26" s="58">
        <f>((0.01)*($N$11+SUM($C$11:C25)+SUM($K$11:K26)+SUM($L$11:L26))*3)</f>
        <v>0</v>
      </c>
      <c r="I26" s="58">
        <f t="shared" si="1"/>
        <v>0</v>
      </c>
      <c r="J26" s="7">
        <v>16</v>
      </c>
      <c r="K26" s="67"/>
      <c r="L26" s="37"/>
      <c r="M26" s="56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12"/>
    </row>
    <row r="27" spans="1:29" ht="15" customHeight="1" thickTop="1" thickBot="1" x14ac:dyDescent="0.3">
      <c r="A27" s="41"/>
      <c r="B27" s="7">
        <v>17</v>
      </c>
      <c r="C27" s="1"/>
      <c r="D27" s="6">
        <f t="shared" si="3"/>
        <v>0</v>
      </c>
      <c r="E27" s="19" t="str">
        <f t="shared" si="2"/>
        <v>Em Branco/Folga</v>
      </c>
      <c r="F27" s="26" t="str">
        <f t="shared" si="4"/>
        <v>Em Branco</v>
      </c>
      <c r="G27" s="58">
        <f>(($Z$11)*($N$11+SUM($C$11:C26)+SUM($K$11:K27)+SUM($L$11:L27)))</f>
        <v>0</v>
      </c>
      <c r="H27" s="58">
        <f>((0.01)*($N$11+SUM($C$11:C26)+SUM($K$11:K27)+SUM($L$11:L27))*3)</f>
        <v>0</v>
      </c>
      <c r="I27" s="58">
        <f t="shared" si="1"/>
        <v>0</v>
      </c>
      <c r="J27" s="7">
        <v>17</v>
      </c>
      <c r="K27" s="68"/>
      <c r="L27" s="38"/>
      <c r="M27" s="56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12"/>
    </row>
    <row r="28" spans="1:29" ht="15" customHeight="1" thickTop="1" thickBot="1" x14ac:dyDescent="0.3">
      <c r="A28" s="41"/>
      <c r="B28" s="7">
        <v>18</v>
      </c>
      <c r="C28" s="2"/>
      <c r="D28" s="6">
        <f t="shared" si="3"/>
        <v>0</v>
      </c>
      <c r="E28" s="19" t="str">
        <f t="shared" si="2"/>
        <v>Em Branco/Folga</v>
      </c>
      <c r="F28" s="26" t="str">
        <f t="shared" si="4"/>
        <v>Em Branco</v>
      </c>
      <c r="G28" s="58">
        <f>(($Z$11)*($N$11+SUM($C$11:C27)+SUM($K$11:K28)+SUM($L$11:L28)))</f>
        <v>0</v>
      </c>
      <c r="H28" s="58">
        <f>((0.01)*($N$11+SUM($C$11:C27)+SUM($K$11:K28)+SUM($L$11:L28))*3)</f>
        <v>0</v>
      </c>
      <c r="I28" s="58">
        <f t="shared" si="1"/>
        <v>0</v>
      </c>
      <c r="J28" s="7">
        <v>18</v>
      </c>
      <c r="K28" s="67"/>
      <c r="L28" s="37"/>
      <c r="M28" s="56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12"/>
    </row>
    <row r="29" spans="1:29" ht="15" customHeight="1" thickTop="1" thickBot="1" x14ac:dyDescent="0.3">
      <c r="A29" s="41"/>
      <c r="B29" s="7">
        <v>19</v>
      </c>
      <c r="C29" s="1"/>
      <c r="D29" s="6">
        <f t="shared" si="3"/>
        <v>0</v>
      </c>
      <c r="E29" s="19" t="str">
        <f t="shared" si="2"/>
        <v>Em Branco/Folga</v>
      </c>
      <c r="F29" s="26" t="str">
        <f t="shared" si="4"/>
        <v>Em Branco</v>
      </c>
      <c r="G29" s="58">
        <f>(($Z$11)*($N$11+SUM($C$11:C28)+SUM($K$11:K29)+SUM($L$11:L29)))</f>
        <v>0</v>
      </c>
      <c r="H29" s="58">
        <f>((0.01)*($N$11+SUM($C$11:C28)+SUM($K$11:K29)+SUM($L$11:L29))*3)</f>
        <v>0</v>
      </c>
      <c r="I29" s="58">
        <f t="shared" si="1"/>
        <v>0</v>
      </c>
      <c r="J29" s="7">
        <v>19</v>
      </c>
      <c r="K29" s="68"/>
      <c r="L29" s="38"/>
      <c r="M29" s="56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12"/>
    </row>
    <row r="30" spans="1:29" ht="15" customHeight="1" thickTop="1" thickBot="1" x14ac:dyDescent="0.3">
      <c r="A30" s="41"/>
      <c r="B30" s="7">
        <v>20</v>
      </c>
      <c r="C30" s="2"/>
      <c r="D30" s="6">
        <f t="shared" si="3"/>
        <v>0</v>
      </c>
      <c r="E30" s="19" t="str">
        <f t="shared" si="2"/>
        <v>Em Branco/Folga</v>
      </c>
      <c r="F30" s="26" t="str">
        <f t="shared" si="4"/>
        <v>Em Branco</v>
      </c>
      <c r="G30" s="58">
        <f>(($Z$11)*($N$11+SUM($C$11:C29)+SUM($K$11:K30)+SUM($L$11:L30)))</f>
        <v>0</v>
      </c>
      <c r="H30" s="58">
        <f>((0.01)*($N$11+SUM($C$11:C29)+SUM($K$11:K30)+SUM($L$11:L30))*3)</f>
        <v>0</v>
      </c>
      <c r="I30" s="58">
        <f t="shared" si="1"/>
        <v>0</v>
      </c>
      <c r="J30" s="7">
        <v>20</v>
      </c>
      <c r="K30" s="67"/>
      <c r="L30" s="37"/>
      <c r="M30" s="56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12"/>
    </row>
    <row r="31" spans="1:29" ht="15" customHeight="1" thickTop="1" thickBot="1" x14ac:dyDescent="0.3">
      <c r="A31" s="41"/>
      <c r="B31" s="7">
        <v>21</v>
      </c>
      <c r="C31" s="1"/>
      <c r="D31" s="6">
        <f t="shared" si="3"/>
        <v>0</v>
      </c>
      <c r="E31" s="19" t="str">
        <f t="shared" si="2"/>
        <v>Em Branco/Folga</v>
      </c>
      <c r="F31" s="26" t="str">
        <f t="shared" si="4"/>
        <v>Em Branco</v>
      </c>
      <c r="G31" s="58">
        <f>(($Z$11)*($N$11+SUM($C$11:C30)+SUM($K$11:K31)+SUM($L$11:L31)))</f>
        <v>0</v>
      </c>
      <c r="H31" s="58">
        <f>((0.01)*($N$11+SUM($C$11:C30)+SUM($K$11:K31)+SUM($L$11:L31))*3)</f>
        <v>0</v>
      </c>
      <c r="I31" s="58">
        <f t="shared" si="1"/>
        <v>0</v>
      </c>
      <c r="J31" s="7">
        <v>21</v>
      </c>
      <c r="K31" s="68"/>
      <c r="L31" s="38"/>
      <c r="M31" s="56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12"/>
    </row>
    <row r="32" spans="1:29" ht="15" customHeight="1" thickTop="1" thickBot="1" x14ac:dyDescent="0.3">
      <c r="A32" s="41"/>
      <c r="B32" s="7">
        <v>22</v>
      </c>
      <c r="C32" s="1"/>
      <c r="D32" s="6">
        <f t="shared" si="3"/>
        <v>0</v>
      </c>
      <c r="E32" s="19" t="str">
        <f t="shared" si="2"/>
        <v>Em Branco/Folga</v>
      </c>
      <c r="F32" s="26" t="str">
        <f t="shared" si="4"/>
        <v>Em Branco</v>
      </c>
      <c r="G32" s="58">
        <f>(($Z$11)*($N$11+SUM($C$11:C31)+SUM($K$11:K32)+SUM($L$11:L32)))</f>
        <v>0</v>
      </c>
      <c r="H32" s="58">
        <f>((0.01)*($N$11+SUM($C$11:C31)+SUM($K$11:K32)+SUM($L$11:L32))*3)</f>
        <v>0</v>
      </c>
      <c r="I32" s="58">
        <f t="shared" si="1"/>
        <v>0</v>
      </c>
      <c r="J32" s="7">
        <v>22</v>
      </c>
      <c r="K32" s="68"/>
      <c r="L32" s="38"/>
      <c r="M32" s="56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ht="15" customHeight="1" thickTop="1" thickBot="1" x14ac:dyDescent="0.3">
      <c r="A33" s="41"/>
      <c r="B33" s="7">
        <v>23</v>
      </c>
      <c r="C33" s="1"/>
      <c r="D33" s="6">
        <f t="shared" si="3"/>
        <v>0</v>
      </c>
      <c r="E33" s="19" t="str">
        <f t="shared" si="2"/>
        <v>Em Branco/Folga</v>
      </c>
      <c r="F33" s="26" t="str">
        <f t="shared" si="4"/>
        <v>Em Branco</v>
      </c>
      <c r="G33" s="58">
        <f>(($Z$11)*($N$11+SUM($C$11:C32)+SUM($K$11:K33)+SUM($L$11:L33)))</f>
        <v>0</v>
      </c>
      <c r="H33" s="58">
        <f>((0.01)*($N$11+SUM($C$11:C32)+SUM($K$11:K33)+SUM($L$11:L33))*3)</f>
        <v>0</v>
      </c>
      <c r="I33" s="58">
        <f t="shared" si="1"/>
        <v>0</v>
      </c>
      <c r="J33" s="7">
        <v>23</v>
      </c>
      <c r="K33" s="68"/>
      <c r="L33" s="38"/>
      <c r="M33" s="56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ht="15" customHeight="1" thickTop="1" thickBot="1" x14ac:dyDescent="0.3">
      <c r="A34" s="41"/>
      <c r="B34" s="7">
        <v>24</v>
      </c>
      <c r="C34" s="1"/>
      <c r="D34" s="6">
        <f t="shared" si="3"/>
        <v>0</v>
      </c>
      <c r="E34" s="19" t="str">
        <f t="shared" si="2"/>
        <v>Em Branco/Folga</v>
      </c>
      <c r="F34" s="26" t="str">
        <f t="shared" si="4"/>
        <v>Em Branco</v>
      </c>
      <c r="G34" s="58">
        <f>(($Z$11)*($N$11+SUM($C$11:C33)+SUM($K$11:K34)+SUM($L$11:L34)))</f>
        <v>0</v>
      </c>
      <c r="H34" s="58">
        <f>((0.01)*($N$11+SUM($C$11:C33)+SUM($K$11:K34)+SUM($L$11:L34))*3)</f>
        <v>0</v>
      </c>
      <c r="I34" s="58">
        <f t="shared" si="1"/>
        <v>0</v>
      </c>
      <c r="J34" s="7">
        <v>24</v>
      </c>
      <c r="K34" s="68"/>
      <c r="L34" s="38"/>
      <c r="M34" s="56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ht="15" customHeight="1" thickTop="1" thickBot="1" x14ac:dyDescent="0.3">
      <c r="A35" s="41"/>
      <c r="B35" s="7">
        <v>25</v>
      </c>
      <c r="C35" s="1"/>
      <c r="D35" s="6">
        <f t="shared" si="3"/>
        <v>0</v>
      </c>
      <c r="E35" s="19" t="str">
        <f t="shared" si="2"/>
        <v>Em Branco/Folga</v>
      </c>
      <c r="F35" s="26" t="str">
        <f t="shared" si="4"/>
        <v>Em Branco</v>
      </c>
      <c r="G35" s="58">
        <f>(($Z$11)*($N$11+SUM($C$11:C34)+SUM($K$11:K35)+SUM($L$11:L35)))</f>
        <v>0</v>
      </c>
      <c r="H35" s="58">
        <f>((0.01)*($N$11+SUM($C$11:C34)+SUM($K$11:K35)+SUM($L$11:L35))*3)</f>
        <v>0</v>
      </c>
      <c r="I35" s="58">
        <f t="shared" si="1"/>
        <v>0</v>
      </c>
      <c r="J35" s="7">
        <v>25</v>
      </c>
      <c r="K35" s="68"/>
      <c r="L35" s="38"/>
      <c r="M35" s="56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ht="15" customHeight="1" thickTop="1" thickBot="1" x14ac:dyDescent="0.3">
      <c r="A36" s="41"/>
      <c r="B36" s="7">
        <v>26</v>
      </c>
      <c r="C36" s="1"/>
      <c r="D36" s="6">
        <f t="shared" si="3"/>
        <v>0</v>
      </c>
      <c r="E36" s="19" t="str">
        <f t="shared" si="2"/>
        <v>Em Branco/Folga</v>
      </c>
      <c r="F36" s="26" t="str">
        <f t="shared" si="4"/>
        <v>Em Branco</v>
      </c>
      <c r="G36" s="58">
        <f>(($Z$11)*($N$11+SUM($C$11:C35)+SUM($K$11:K36)+SUM($L$11:L36)))</f>
        <v>0</v>
      </c>
      <c r="H36" s="58">
        <f>((0.01)*($N$11+SUM($C$11:C35)+SUM($K$11:K36)+SUM($L$11:L36))*3)</f>
        <v>0</v>
      </c>
      <c r="I36" s="58">
        <f t="shared" si="1"/>
        <v>0</v>
      </c>
      <c r="J36" s="7">
        <v>26</v>
      </c>
      <c r="K36" s="68"/>
      <c r="L36" s="38"/>
      <c r="M36" s="56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  <row r="37" spans="1:28" ht="15" customHeight="1" thickTop="1" thickBot="1" x14ac:dyDescent="0.3">
      <c r="A37" s="41"/>
      <c r="B37" s="7">
        <v>27</v>
      </c>
      <c r="C37" s="1"/>
      <c r="D37" s="6">
        <f t="shared" si="3"/>
        <v>0</v>
      </c>
      <c r="E37" s="19" t="str">
        <f t="shared" si="2"/>
        <v>Em Branco/Folga</v>
      </c>
      <c r="F37" s="26" t="str">
        <f t="shared" si="4"/>
        <v>Em Branco</v>
      </c>
      <c r="G37" s="58">
        <f>(($Z$11)*($N$11+SUM($C$11:C36)+SUM($K$11:K37)+SUM($L$11:L37)))</f>
        <v>0</v>
      </c>
      <c r="H37" s="58">
        <f>((0.01)*($N$11+SUM($C$11:C36)+SUM($K$11:K37)+SUM($L$11:L37))*3)</f>
        <v>0</v>
      </c>
      <c r="I37" s="58">
        <f t="shared" si="1"/>
        <v>0</v>
      </c>
      <c r="J37" s="7">
        <v>27</v>
      </c>
      <c r="K37" s="68"/>
      <c r="L37" s="38"/>
      <c r="M37" s="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</row>
    <row r="38" spans="1:28" ht="15" customHeight="1" thickTop="1" thickBot="1" x14ac:dyDescent="0.3">
      <c r="A38" s="41"/>
      <c r="B38" s="7">
        <v>28</v>
      </c>
      <c r="C38" s="1"/>
      <c r="D38" s="6">
        <f t="shared" si="3"/>
        <v>0</v>
      </c>
      <c r="E38" s="19" t="str">
        <f t="shared" si="2"/>
        <v>Em Branco/Folga</v>
      </c>
      <c r="F38" s="26" t="str">
        <f t="shared" si="4"/>
        <v>Em Branco</v>
      </c>
      <c r="G38" s="58">
        <f>(($Z$11)*($N$11+SUM($C$11:C37)+SUM($K$11:K38)+SUM($L$11:L38)))</f>
        <v>0</v>
      </c>
      <c r="H38" s="58">
        <f>((0.01)*($N$11+SUM($C$11:C37)+SUM($K$11:K38)+SUM($L$11:L38))*3)</f>
        <v>0</v>
      </c>
      <c r="I38" s="58">
        <f t="shared" si="1"/>
        <v>0</v>
      </c>
      <c r="J38" s="7">
        <v>28</v>
      </c>
      <c r="K38" s="68"/>
      <c r="L38" s="38"/>
      <c r="M38" s="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</row>
    <row r="39" spans="1:28" ht="15" customHeight="1" thickTop="1" thickBot="1" x14ac:dyDescent="0.3">
      <c r="A39" s="41"/>
      <c r="B39" s="7">
        <v>29</v>
      </c>
      <c r="C39" s="2"/>
      <c r="D39" s="6">
        <f t="shared" si="3"/>
        <v>0</v>
      </c>
      <c r="E39" s="19" t="str">
        <f t="shared" si="2"/>
        <v>Em Branco/Folga</v>
      </c>
      <c r="F39" s="26" t="str">
        <f t="shared" si="4"/>
        <v>Em Branco</v>
      </c>
      <c r="G39" s="58">
        <f>(($Z$11)*($N$11+SUM($C$11:C38)+SUM($K$11:K39)+SUM($L$11:L39)))</f>
        <v>0</v>
      </c>
      <c r="H39" s="58">
        <f>((0.01)*($N$11+SUM($C$11:C38)+SUM($K$11:K39)+SUM($L$11:L39))*3)</f>
        <v>0</v>
      </c>
      <c r="I39" s="58">
        <f t="shared" si="1"/>
        <v>0</v>
      </c>
      <c r="J39" s="7">
        <v>29</v>
      </c>
      <c r="K39" s="67"/>
      <c r="L39" s="37"/>
      <c r="M39" s="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</row>
    <row r="40" spans="1:28" ht="15" customHeight="1" thickTop="1" thickBot="1" x14ac:dyDescent="0.3">
      <c r="A40" s="41"/>
      <c r="B40" s="7">
        <v>30</v>
      </c>
      <c r="C40" s="1"/>
      <c r="D40" s="6">
        <f t="shared" si="3"/>
        <v>0</v>
      </c>
      <c r="E40" s="19" t="str">
        <f t="shared" si="2"/>
        <v>Em Branco/Folga</v>
      </c>
      <c r="F40" s="26" t="str">
        <f t="shared" si="4"/>
        <v>Em Branco</v>
      </c>
      <c r="G40" s="58">
        <f>(($Z$11)*($N$11+SUM($C$11:C39)+SUM($K$11:K40)+SUM($L$11:L40)))</f>
        <v>0</v>
      </c>
      <c r="H40" s="58">
        <f>((0.01)*($N$11+SUM($C$11:C39)+SUM($K$11:K40)+SUM($L$11:L40))*3)</f>
        <v>0</v>
      </c>
      <c r="I40" s="58">
        <f t="shared" si="1"/>
        <v>0</v>
      </c>
      <c r="J40" s="7">
        <v>30</v>
      </c>
      <c r="K40" s="68"/>
      <c r="L40" s="38"/>
      <c r="M40" s="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</row>
    <row r="41" spans="1:28" ht="15.75" customHeight="1" thickTop="1" thickBot="1" x14ac:dyDescent="0.3">
      <c r="A41" s="41"/>
      <c r="B41" s="8">
        <v>31</v>
      </c>
      <c r="C41" s="3"/>
      <c r="D41" s="9">
        <f t="shared" si="3"/>
        <v>0</v>
      </c>
      <c r="E41" s="20" t="str">
        <f t="shared" si="2"/>
        <v>Em Branco/Folga</v>
      </c>
      <c r="F41" s="27" t="str">
        <f t="shared" si="4"/>
        <v>Em Branco</v>
      </c>
      <c r="G41" s="58">
        <f>(($Z$11)*($N$11+SUM($C$11:C40)+SUM($K$11:K41)+SUM($L$11:L41)))</f>
        <v>0</v>
      </c>
      <c r="H41" s="58">
        <f>((0.01)*($N$11+SUM($C$11:C40)+SUM($K$11:K41)+SUM($L$11:L41))*3)</f>
        <v>0</v>
      </c>
      <c r="I41" s="58">
        <f t="shared" si="1"/>
        <v>0</v>
      </c>
      <c r="J41" s="8">
        <v>31</v>
      </c>
      <c r="K41" s="69"/>
      <c r="L41" s="39"/>
      <c r="M41" s="56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</row>
    <row r="42" spans="1:28" x14ac:dyDescent="0.25">
      <c r="A42" s="41"/>
      <c r="B42" s="41"/>
      <c r="C42" s="41"/>
      <c r="D42" s="51"/>
      <c r="E42" s="41"/>
      <c r="F42" s="42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</row>
  </sheetData>
  <sheetProtection algorithmName="SHA-512" hashValue="Z9mPUkQJUN23j/BngEJBvdiCevANBWkYdYnw68ryN4lSX+/5KIeGdkqd9U2Ss8JSdgPpJP9apEZqk9716qMRVw==" saltValue="0qwkxS6/ITe5PfZQDLmeMg==" spinCount="100000" sheet="1" selectLockedCells="1"/>
  <mergeCells count="11">
    <mergeCell ref="D2:E2"/>
    <mergeCell ref="B9:D9"/>
    <mergeCell ref="E9:F9"/>
    <mergeCell ref="J9:L9"/>
    <mergeCell ref="N10:O10"/>
    <mergeCell ref="R10:S10"/>
    <mergeCell ref="V10:W10"/>
    <mergeCell ref="N11:O11"/>
    <mergeCell ref="P11:Q11"/>
    <mergeCell ref="R11:S11"/>
    <mergeCell ref="P10:Q10"/>
  </mergeCells>
  <conditionalFormatting sqref="C11:C31 C41">
    <cfRule type="containsBlanks" dxfId="218" priority="40">
      <formula>LEN(TRIM(C11))=0</formula>
    </cfRule>
    <cfRule type="cellIs" dxfId="217" priority="41" operator="equal">
      <formula>0</formula>
    </cfRule>
    <cfRule type="cellIs" dxfId="216" priority="42" operator="greaterThan">
      <formula>0</formula>
    </cfRule>
    <cfRule type="cellIs" dxfId="215" priority="43" operator="lessThan">
      <formula>0</formula>
    </cfRule>
  </conditionalFormatting>
  <conditionalFormatting sqref="E11:F41">
    <cfRule type="containsText" dxfId="214" priority="37" operator="containsText" text="Não Atingiu">
      <formula>NOT(ISERROR(SEARCH("Não Atingiu",E11)))</formula>
    </cfRule>
    <cfRule type="containsText" dxfId="213" priority="38" operator="containsText" text="Prejuizo">
      <formula>NOT(ISERROR(SEARCH("Prejuizo",E11)))</formula>
    </cfRule>
    <cfRule type="containsText" dxfId="212" priority="39" operator="containsText" text="Atingiu">
      <formula>NOT(ISERROR(SEARCH("Atingiu",E11)))</formula>
    </cfRule>
  </conditionalFormatting>
  <conditionalFormatting sqref="E12:F12">
    <cfRule type="cellIs" dxfId="211" priority="36" operator="equal">
      <formula>"Em Branco/Folga"</formula>
    </cfRule>
  </conditionalFormatting>
  <conditionalFormatting sqref="E11:F11">
    <cfRule type="cellIs" dxfId="210" priority="35" operator="equal">
      <formula>"Em Branco/Folga"</formula>
    </cfRule>
  </conditionalFormatting>
  <conditionalFormatting sqref="E13:F41">
    <cfRule type="cellIs" dxfId="209" priority="34" operator="equal">
      <formula>"Em Branco/Folga"</formula>
    </cfRule>
  </conditionalFormatting>
  <conditionalFormatting sqref="F11">
    <cfRule type="cellIs" dxfId="208" priority="26" operator="equal">
      <formula>"Está Arriscando Sua Banca"</formula>
    </cfRule>
    <cfRule type="cellIs" dxfId="207" priority="31" operator="equal">
      <formula>"Está Se Arriscando Acima De 3%"</formula>
    </cfRule>
    <cfRule type="cellIs" dxfId="206" priority="32" operator="equal">
      <formula>"Parabéns Seguiu Gerenciamento"</formula>
    </cfRule>
    <cfRule type="cellIs" dxfId="205" priority="33" operator="equal">
      <formula>"Em Branco"</formula>
    </cfRule>
  </conditionalFormatting>
  <conditionalFormatting sqref="F12:F41">
    <cfRule type="cellIs" dxfId="204" priority="30" operator="equal">
      <formula>"Em Branco/Folga"</formula>
    </cfRule>
  </conditionalFormatting>
  <conditionalFormatting sqref="F12:F41">
    <cfRule type="cellIs" dxfId="203" priority="27" operator="equal">
      <formula>"Está Se Arriscando Acima De 3%"</formula>
    </cfRule>
    <cfRule type="cellIs" dxfId="202" priority="28" operator="equal">
      <formula>"Parabéns Seguiu Gerenciamento"</formula>
    </cfRule>
    <cfRule type="cellIs" dxfId="201" priority="29" operator="equal">
      <formula>"Em Branco"</formula>
    </cfRule>
  </conditionalFormatting>
  <conditionalFormatting sqref="F12:F41">
    <cfRule type="cellIs" dxfId="200" priority="25" operator="equal">
      <formula>"Em Branco/Folga"</formula>
    </cfRule>
  </conditionalFormatting>
  <conditionalFormatting sqref="F12:F41">
    <cfRule type="cellIs" dxfId="199" priority="21" operator="equal">
      <formula>"Está Arriscando Sua Banca"</formula>
    </cfRule>
    <cfRule type="cellIs" dxfId="198" priority="22" operator="equal">
      <formula>"Está Se Arriscando Acima De 3%"</formula>
    </cfRule>
    <cfRule type="cellIs" dxfId="197" priority="23" operator="equal">
      <formula>"Parabéns Seguiu Gerenciamento"</formula>
    </cfRule>
    <cfRule type="cellIs" dxfId="196" priority="24" operator="equal">
      <formula>"Em Branco"</formula>
    </cfRule>
  </conditionalFormatting>
  <conditionalFormatting sqref="C32:C40">
    <cfRule type="containsBlanks" dxfId="195" priority="17">
      <formula>LEN(TRIM(C32))=0</formula>
    </cfRule>
    <cfRule type="cellIs" dxfId="194" priority="18" operator="equal">
      <formula>0</formula>
    </cfRule>
    <cfRule type="cellIs" dxfId="193" priority="19" operator="greaterThan">
      <formula>0</formula>
    </cfRule>
    <cfRule type="cellIs" dxfId="192" priority="20" operator="lessThan">
      <formula>0</formula>
    </cfRule>
  </conditionalFormatting>
  <conditionalFormatting sqref="K11:K31 K41">
    <cfRule type="containsBlanks" dxfId="191" priority="13">
      <formula>LEN(TRIM(K11))=0</formula>
    </cfRule>
    <cfRule type="cellIs" dxfId="190" priority="14" operator="equal">
      <formula>0</formula>
    </cfRule>
    <cfRule type="cellIs" dxfId="189" priority="15" operator="greaterThan">
      <formula>0</formula>
    </cfRule>
    <cfRule type="cellIs" dxfId="188" priority="16" operator="lessThan">
      <formula>0</formula>
    </cfRule>
  </conditionalFormatting>
  <conditionalFormatting sqref="K32:K40">
    <cfRule type="containsBlanks" dxfId="187" priority="9">
      <formula>LEN(TRIM(K32))=0</formula>
    </cfRule>
    <cfRule type="cellIs" dxfId="186" priority="10" operator="equal">
      <formula>0</formula>
    </cfRule>
    <cfRule type="cellIs" dxfId="185" priority="11" operator="greaterThan">
      <formula>0</formula>
    </cfRule>
    <cfRule type="cellIs" dxfId="184" priority="12" operator="lessThan">
      <formula>0</formula>
    </cfRule>
  </conditionalFormatting>
  <conditionalFormatting sqref="L11:M31 L41:M41">
    <cfRule type="containsBlanks" dxfId="183" priority="5">
      <formula>LEN(TRIM(L11))=0</formula>
    </cfRule>
    <cfRule type="cellIs" dxfId="182" priority="6" operator="equal">
      <formula>0</formula>
    </cfRule>
    <cfRule type="cellIs" dxfId="181" priority="7" operator="greaterThan">
      <formula>0</formula>
    </cfRule>
    <cfRule type="cellIs" dxfId="180" priority="8" operator="lessThan">
      <formula>0</formula>
    </cfRule>
  </conditionalFormatting>
  <conditionalFormatting sqref="L32:M40">
    <cfRule type="containsBlanks" dxfId="179" priority="1">
      <formula>LEN(TRIM(L32))=0</formula>
    </cfRule>
    <cfRule type="cellIs" dxfId="178" priority="2" operator="equal">
      <formula>0</formula>
    </cfRule>
    <cfRule type="cellIs" dxfId="177" priority="3" operator="greaterThan">
      <formula>0</formula>
    </cfRule>
    <cfRule type="cellIs" dxfId="176" priority="4" operator="lessThan">
      <formula>0</formula>
    </cfRule>
  </conditionalFormatting>
  <dataValidations count="7">
    <dataValidation type="decimal" allowBlank="1" showErrorMessage="1" errorTitle="ATENÇÃO" error="APENAS NÚMEROS" sqref="K11:K41" xr:uid="{BCD491E5-35BB-4C9F-8362-1AE3A1FF9468}">
      <formula1>-999999999999999000</formula1>
      <formula2>999999999999999000</formula2>
    </dataValidation>
    <dataValidation type="decimal" allowBlank="1" showInputMessage="1" showErrorMessage="1" errorTitle="ATENÇÃO" error="APENAS NÚMEROS" promptTitle="SAQUES" prompt="COLOCAR SINAL NEGATIVO" sqref="L11:L41" xr:uid="{15DBF7FE-DA4F-4985-BA17-71AC5A74416E}">
      <formula1>-999999999999999000</formula1>
      <formula2>999999999999999000</formula2>
    </dataValidation>
    <dataValidation allowBlank="1" showInputMessage="1" showErrorMessage="1" errorTitle="ATENÇÃO" error="SELECIONE O MÊS DE REFERÊNCIA" sqref="J9 M9" xr:uid="{23751CBF-F026-494F-9D3F-4BA5B4838893}"/>
    <dataValidation type="decimal" allowBlank="1" showInputMessage="1" showErrorMessage="1" errorTitle="ATENÇÃO" error="APENAS NÚMEROS" sqref="N11:O11 C11:C41 M11:M41" xr:uid="{2D00B36B-4C0A-4138-AC2C-9D369FCB42FE}">
      <formula1>-999999999999999000</formula1>
      <formula2>999999999999999000</formula2>
    </dataValidation>
    <dataValidation type="list" allowBlank="1" showInputMessage="1" showErrorMessage="1" errorTitle="ATENÇÃO" error="SELECIONE O MÊS DE REFERÊNCIA" sqref="E9" xr:uid="{EA7417C4-E89C-4125-A08E-7DFF6D46D70B}">
      <formula1>$AC$6:$AC$17</formula1>
    </dataValidation>
    <dataValidation type="decimal" allowBlank="1" showInputMessage="1" showErrorMessage="1" errorTitle="GERENCIAMENTO" error="SIGA O GERENCIAMENTO DE 1% A 3%" sqref="Z11" xr:uid="{6C3B3730-AEC9-4DDE-9DFF-3C12BE189E08}">
      <formula1>0.000001</formula1>
      <formula2>0.03</formula2>
    </dataValidation>
    <dataValidation type="list" allowBlank="1" showInputMessage="1" showErrorMessage="1" sqref="E13:E41" xr:uid="{067A5448-61EE-49FA-935C-F82B195F6447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0279D-A6E4-415E-9947-F1B7770BC472}">
  <sheetPr codeName="Planilha16">
    <tabColor rgb="FFFFC000"/>
  </sheetPr>
  <dimension ref="A1:AC42"/>
  <sheetViews>
    <sheetView showGridLines="0" showRowColHeaders="0" zoomScale="85" zoomScaleNormal="85" workbookViewId="0">
      <selection activeCell="E9" sqref="E9:F9"/>
    </sheetView>
  </sheetViews>
  <sheetFormatPr defaultColWidth="0" defaultRowHeight="15" customHeight="1" zeroHeight="1" x14ac:dyDescent="0.25"/>
  <cols>
    <col min="1" max="1" width="3.7109375" style="4" customWidth="1"/>
    <col min="2" max="2" width="4.5703125" style="4" customWidth="1"/>
    <col min="3" max="3" width="12.7109375" style="4" customWidth="1"/>
    <col min="4" max="4" width="12.140625" style="4" customWidth="1"/>
    <col min="5" max="5" width="15.7109375" style="4" customWidth="1"/>
    <col min="6" max="6" width="30.7109375" style="25" customWidth="1"/>
    <col min="7" max="9" width="0.5703125" style="4" customWidth="1"/>
    <col min="10" max="10" width="4.5703125" style="4" customWidth="1"/>
    <col min="11" max="12" width="15.7109375" style="4" customWidth="1"/>
    <col min="13" max="13" width="1.7109375" style="4" customWidth="1"/>
    <col min="14" max="14" width="15.7109375" style="4" customWidth="1"/>
    <col min="15" max="15" width="9.5703125" style="4" bestFit="1" customWidth="1"/>
    <col min="16" max="20" width="9.140625" style="4" customWidth="1"/>
    <col min="21" max="21" width="12.140625" style="4" customWidth="1"/>
    <col min="22" max="22" width="12.85546875" style="4" customWidth="1"/>
    <col min="23" max="23" width="18" style="4" customWidth="1"/>
    <col min="24" max="24" width="13.85546875" style="4" customWidth="1"/>
    <col min="25" max="25" width="15.140625" style="4" customWidth="1"/>
    <col min="26" max="26" width="9.7109375" style="4" bestFit="1" customWidth="1"/>
    <col min="27" max="28" width="2.28515625" style="4" customWidth="1"/>
    <col min="29" max="16384" width="9.140625" style="4" hidden="1"/>
  </cols>
  <sheetData>
    <row r="1" spans="1:29" x14ac:dyDescent="0.25">
      <c r="A1" s="41"/>
      <c r="B1" s="41"/>
      <c r="C1" s="41"/>
      <c r="D1" s="41"/>
      <c r="E1" s="41"/>
      <c r="F1" s="42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3"/>
      <c r="AB1" s="41"/>
      <c r="AC1" s="10">
        <v>0.01</v>
      </c>
    </row>
    <row r="2" spans="1:29" x14ac:dyDescent="0.25">
      <c r="A2" s="41"/>
      <c r="B2" s="41"/>
      <c r="C2" s="44" t="s">
        <v>103</v>
      </c>
      <c r="D2" s="79">
        <f ca="1">TODAY()</f>
        <v>44422</v>
      </c>
      <c r="E2" s="80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59" t="s">
        <v>110</v>
      </c>
      <c r="Z2" s="41"/>
      <c r="AA2" s="43"/>
      <c r="AB2" s="41"/>
      <c r="AC2" s="10"/>
    </row>
    <row r="3" spans="1:29" x14ac:dyDescent="0.25">
      <c r="A3" s="41"/>
      <c r="B3" s="41"/>
      <c r="C3" s="41"/>
      <c r="D3" s="41"/>
      <c r="E3" s="41"/>
      <c r="F3" s="42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3"/>
      <c r="AB3" s="41"/>
      <c r="AC3" s="10"/>
    </row>
    <row r="4" spans="1:29" x14ac:dyDescent="0.25">
      <c r="A4" s="41"/>
      <c r="B4" s="41"/>
      <c r="C4" s="41"/>
      <c r="D4" s="41"/>
      <c r="E4" s="41"/>
      <c r="F4" s="42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3"/>
      <c r="AB4" s="41"/>
      <c r="AC4" s="10">
        <v>0.02</v>
      </c>
    </row>
    <row r="5" spans="1:29" x14ac:dyDescent="0.25">
      <c r="A5" s="41"/>
      <c r="B5" s="41"/>
      <c r="C5" s="41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3"/>
      <c r="AB5" s="41"/>
      <c r="AC5" s="10">
        <v>0.03</v>
      </c>
    </row>
    <row r="6" spans="1:29" x14ac:dyDescent="0.25">
      <c r="A6" s="41"/>
      <c r="B6" s="41"/>
      <c r="C6" s="41"/>
      <c r="D6" s="41"/>
      <c r="E6" s="41"/>
      <c r="F6" s="42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3"/>
      <c r="AB6" s="41"/>
      <c r="AC6" s="11" t="s">
        <v>26</v>
      </c>
    </row>
    <row r="7" spans="1:29" x14ac:dyDescent="0.25">
      <c r="A7" s="41"/>
      <c r="B7" s="41"/>
      <c r="C7" s="41"/>
      <c r="D7" s="41"/>
      <c r="E7" s="41"/>
      <c r="F7" s="42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3"/>
      <c r="AB7" s="41"/>
      <c r="AC7" s="11" t="s">
        <v>27</v>
      </c>
    </row>
    <row r="8" spans="1:29" ht="15.75" thickBot="1" x14ac:dyDescent="0.3">
      <c r="A8" s="41"/>
      <c r="B8" s="41"/>
      <c r="C8" s="41"/>
      <c r="D8" s="41"/>
      <c r="E8" s="41"/>
      <c r="F8" s="42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3"/>
      <c r="AB8" s="41"/>
      <c r="AC8" s="11" t="s">
        <v>28</v>
      </c>
    </row>
    <row r="9" spans="1:29" ht="19.5" thickBot="1" x14ac:dyDescent="0.3">
      <c r="A9" s="41"/>
      <c r="B9" s="81" t="s">
        <v>38</v>
      </c>
      <c r="C9" s="82"/>
      <c r="D9" s="83"/>
      <c r="E9" s="84" t="s">
        <v>34</v>
      </c>
      <c r="F9" s="85"/>
      <c r="G9" s="57"/>
      <c r="H9" s="57"/>
      <c r="I9" s="57"/>
      <c r="J9" s="81" t="s">
        <v>107</v>
      </c>
      <c r="K9" s="82"/>
      <c r="L9" s="88"/>
      <c r="M9" s="55"/>
      <c r="N9" s="5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3"/>
      <c r="AB9" s="41"/>
      <c r="AC9" s="11" t="s">
        <v>29</v>
      </c>
    </row>
    <row r="10" spans="1:29" ht="16.5" thickBot="1" x14ac:dyDescent="0.3">
      <c r="A10" s="41"/>
      <c r="B10" s="60" t="s">
        <v>0</v>
      </c>
      <c r="C10" s="61" t="s">
        <v>1</v>
      </c>
      <c r="D10" s="61" t="s">
        <v>3</v>
      </c>
      <c r="E10" s="61" t="s">
        <v>2</v>
      </c>
      <c r="F10" s="62" t="s">
        <v>105</v>
      </c>
      <c r="G10" s="57"/>
      <c r="H10" s="57"/>
      <c r="I10" s="57"/>
      <c r="J10" s="63" t="s">
        <v>0</v>
      </c>
      <c r="K10" s="64" t="s">
        <v>108</v>
      </c>
      <c r="L10" s="65" t="s">
        <v>109</v>
      </c>
      <c r="M10" s="40"/>
      <c r="N10" s="86" t="s">
        <v>5</v>
      </c>
      <c r="O10" s="87"/>
      <c r="P10" s="87" t="s">
        <v>4</v>
      </c>
      <c r="Q10" s="87"/>
      <c r="R10" s="87" t="s">
        <v>6</v>
      </c>
      <c r="S10" s="87"/>
      <c r="T10" s="53" t="s">
        <v>24</v>
      </c>
      <c r="U10" s="53" t="s">
        <v>23</v>
      </c>
      <c r="V10" s="75" t="s">
        <v>21</v>
      </c>
      <c r="W10" s="75"/>
      <c r="X10" s="53" t="s">
        <v>7</v>
      </c>
      <c r="Y10" s="53" t="s">
        <v>102</v>
      </c>
      <c r="Z10" s="5" t="s">
        <v>25</v>
      </c>
      <c r="AA10" s="43"/>
      <c r="AB10" s="41"/>
      <c r="AC10" s="11" t="s">
        <v>30</v>
      </c>
    </row>
    <row r="11" spans="1:29" ht="16.5" thickBot="1" x14ac:dyDescent="0.3">
      <c r="A11" s="41"/>
      <c r="B11" s="21">
        <v>1</v>
      </c>
      <c r="C11" s="22"/>
      <c r="D11" s="23">
        <f>N11+C11</f>
        <v>0</v>
      </c>
      <c r="E11" s="24" t="str">
        <f>IF(ISBLANK($C11),"Em Branco/Folga",IF($C11&gt;=$G11,"Atingiu",IF($C11&lt;0,"Prejuizo",IF($C11&lt;$G11,"Não Atingiu"))))</f>
        <v>Em Branco/Folga</v>
      </c>
      <c r="F11" s="26" t="str">
        <f t="shared" ref="F11:F15" si="0">IF(ISBLANK($C11),"Em Branco",IF($I11&gt;$C11,"Está Arriscando Sua Banca",IF($C11&lt;=$H11,"Parabéns Seguiu Gerenciamento","Está Se Arriscando Acima De 3%")))</f>
        <v>Em Branco</v>
      </c>
      <c r="G11" s="58">
        <f>(($Z$11)*($N$11+SUM($K$11:K11)+SUM($L$11:L11)))</f>
        <v>0</v>
      </c>
      <c r="H11" s="58">
        <f>((0.01)*($N$11+SUM($K$11:K11)+SUM($L$11:L11))*3)</f>
        <v>0</v>
      </c>
      <c r="I11" s="58">
        <f t="shared" ref="I11:I41" si="1">-$H11</f>
        <v>0</v>
      </c>
      <c r="J11" s="21">
        <v>1</v>
      </c>
      <c r="K11" s="66"/>
      <c r="L11" s="36"/>
      <c r="M11" s="56"/>
      <c r="N11" s="76">
        <v>0</v>
      </c>
      <c r="O11" s="77"/>
      <c r="P11" s="78">
        <f>Z11*R11</f>
        <v>0</v>
      </c>
      <c r="Q11" s="78"/>
      <c r="R11" s="78">
        <f>(SUM(N11+SUM(C11:C41)))+(SUM(K11:K41))+(SUM(L11:L41))</f>
        <v>0</v>
      </c>
      <c r="S11" s="78"/>
      <c r="T11" s="52">
        <f>P11*0.2</f>
        <v>0</v>
      </c>
      <c r="U11" s="46">
        <f>R11*0.03</f>
        <v>0</v>
      </c>
      <c r="V11" s="47">
        <f>(R11)-(N11)-(SUM(K11:K41))-(SUM(L11:L41))</f>
        <v>0</v>
      </c>
      <c r="W11" s="48">
        <f>V11*Y11</f>
        <v>0</v>
      </c>
      <c r="X11" s="49" t="e">
        <f>(($R$11-$N$11)/$N$11)</f>
        <v>#DIV/0!</v>
      </c>
      <c r="Y11" s="18">
        <f>COTAÇÃO!B6/1000000</f>
        <v>5.2</v>
      </c>
      <c r="Z11" s="73">
        <v>0.01</v>
      </c>
      <c r="AA11" s="43"/>
      <c r="AB11" s="41"/>
      <c r="AC11" s="11" t="s">
        <v>31</v>
      </c>
    </row>
    <row r="12" spans="1:29" ht="15" customHeight="1" thickTop="1" thickBot="1" x14ac:dyDescent="0.3">
      <c r="A12" s="41"/>
      <c r="B12" s="7">
        <v>2</v>
      </c>
      <c r="C12" s="2"/>
      <c r="D12" s="6">
        <f>D11+C12</f>
        <v>0</v>
      </c>
      <c r="E12" s="19" t="str">
        <f>IF(ISBLANK($C12),"Em Branco/Folga",IF($C12&gt;=$G12,"Atingiu",IF($C12&lt;0,"Prejuizo",IF($C12&lt;$G12,"Não Atingiu"))))</f>
        <v>Em Branco/Folga</v>
      </c>
      <c r="F12" s="26" t="str">
        <f t="shared" si="0"/>
        <v>Em Branco</v>
      </c>
      <c r="G12" s="58">
        <f>(($Z$11)*($N$11+SUM($C$11:C11)+SUM($K$11:K12)+SUM($L$11:L12)))</f>
        <v>0</v>
      </c>
      <c r="H12" s="58">
        <f>((0.01)*($N$11+SUM($C$11:C11)+SUM($K$11:K12)+SUM($L$11:L12))*3)</f>
        <v>0</v>
      </c>
      <c r="I12" s="58">
        <f t="shared" si="1"/>
        <v>0</v>
      </c>
      <c r="J12" s="7">
        <v>2</v>
      </c>
      <c r="K12" s="67"/>
      <c r="L12" s="37"/>
      <c r="M12" s="56"/>
      <c r="N12" s="50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3"/>
      <c r="AB12" s="41"/>
      <c r="AC12" s="11" t="s">
        <v>32</v>
      </c>
    </row>
    <row r="13" spans="1:29" ht="15" customHeight="1" thickTop="1" thickBot="1" x14ac:dyDescent="0.3">
      <c r="A13" s="41"/>
      <c r="B13" s="7">
        <v>3</v>
      </c>
      <c r="C13" s="1"/>
      <c r="D13" s="6">
        <f>D12+C13</f>
        <v>0</v>
      </c>
      <c r="E13" s="19" t="str">
        <f t="shared" ref="E13:E41" si="2">IF(ISBLANK($C13),"Em Branco/Folga",IF($C13&gt;=$G13,"Atingiu",IF($C13&lt;0,"Prejuizo",IF($C13&lt;$G13,"Não Atingiu"))))</f>
        <v>Em Branco/Folga</v>
      </c>
      <c r="F13" s="26" t="str">
        <f t="shared" si="0"/>
        <v>Em Branco</v>
      </c>
      <c r="G13" s="58">
        <f>(($Z$11)*($N$11+SUM($C$11:C12)+SUM($K$11:K13)+SUM($L$11:L13)))</f>
        <v>0</v>
      </c>
      <c r="H13" s="58">
        <f>((0.01)*($N$11+SUM($C$11:C12)+SUM($K$11:K13)+SUM($L$11:L13))*3)</f>
        <v>0</v>
      </c>
      <c r="I13" s="58">
        <f t="shared" si="1"/>
        <v>0</v>
      </c>
      <c r="J13" s="7">
        <v>3</v>
      </c>
      <c r="K13" s="68"/>
      <c r="L13" s="38"/>
      <c r="M13" s="56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3"/>
      <c r="AB13" s="41"/>
      <c r="AC13" s="11" t="s">
        <v>33</v>
      </c>
    </row>
    <row r="14" spans="1:29" ht="15" customHeight="1" thickTop="1" thickBot="1" x14ac:dyDescent="0.3">
      <c r="A14" s="41"/>
      <c r="B14" s="7">
        <v>4</v>
      </c>
      <c r="C14" s="2"/>
      <c r="D14" s="6">
        <f>D13+C14</f>
        <v>0</v>
      </c>
      <c r="E14" s="19" t="str">
        <f t="shared" si="2"/>
        <v>Em Branco/Folga</v>
      </c>
      <c r="F14" s="26" t="str">
        <f t="shared" si="0"/>
        <v>Em Branco</v>
      </c>
      <c r="G14" s="58">
        <f>(($Z$11)*($N$11+SUM($C$11:C13)+SUM($K$11:K14)+SUM($L$11:L14)))</f>
        <v>0</v>
      </c>
      <c r="H14" s="58">
        <f>((0.01)*($N$11+SUM($C$11:C13)+SUM($K$11:K14)+SUM($L$11:L14))*3)</f>
        <v>0</v>
      </c>
      <c r="I14" s="58">
        <f t="shared" si="1"/>
        <v>0</v>
      </c>
      <c r="J14" s="7">
        <v>4</v>
      </c>
      <c r="K14" s="67"/>
      <c r="L14" s="37"/>
      <c r="M14" s="56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3"/>
      <c r="AB14" s="41"/>
      <c r="AC14" s="11" t="s">
        <v>34</v>
      </c>
    </row>
    <row r="15" spans="1:29" ht="15" customHeight="1" thickTop="1" thickBot="1" x14ac:dyDescent="0.3">
      <c r="A15" s="41"/>
      <c r="B15" s="7">
        <v>5</v>
      </c>
      <c r="C15" s="1"/>
      <c r="D15" s="6">
        <f>D14+C15</f>
        <v>0</v>
      </c>
      <c r="E15" s="19" t="str">
        <f t="shared" si="2"/>
        <v>Em Branco/Folga</v>
      </c>
      <c r="F15" s="26" t="str">
        <f t="shared" si="0"/>
        <v>Em Branco</v>
      </c>
      <c r="G15" s="58">
        <f>(($Z$11)*($N$11+SUM($C$11:C14)+SUM($K$11:K15)+SUM($L$11:L15)))</f>
        <v>0</v>
      </c>
      <c r="H15" s="58">
        <f>((0.01)*($N$11+SUM($C$11:C14)+SUM($K$11:K15)+SUM($L$11:L15))*3)</f>
        <v>0</v>
      </c>
      <c r="I15" s="58">
        <f t="shared" si="1"/>
        <v>0</v>
      </c>
      <c r="J15" s="7">
        <v>5</v>
      </c>
      <c r="K15" s="68"/>
      <c r="L15" s="38"/>
      <c r="M15" s="56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3"/>
      <c r="AB15" s="41"/>
      <c r="AC15" s="11" t="s">
        <v>35</v>
      </c>
    </row>
    <row r="16" spans="1:29" ht="15" customHeight="1" thickTop="1" thickBot="1" x14ac:dyDescent="0.3">
      <c r="A16" s="41"/>
      <c r="B16" s="7">
        <v>6</v>
      </c>
      <c r="C16" s="2"/>
      <c r="D16" s="6">
        <f>D15+C16</f>
        <v>0</v>
      </c>
      <c r="E16" s="19" t="str">
        <f t="shared" si="2"/>
        <v>Em Branco/Folga</v>
      </c>
      <c r="F16" s="26" t="str">
        <f>IF(ISBLANK($C16),"Em Branco",IF($I16&gt;$C16,"Está Arriscando Sua Banca",IF($C16&lt;=$H16,"Parabéns Seguiu Gerenciamento","Está Se Arriscando Acima De 3%")))</f>
        <v>Em Branco</v>
      </c>
      <c r="G16" s="58">
        <f>(($Z$11)*($N$11+SUM($C$11:C15)+SUM($K$11:K16)+SUM($L$11:L16)))</f>
        <v>0</v>
      </c>
      <c r="H16" s="58">
        <f>((0.01)*($N$11+SUM($C$11:C15)+SUM($K$11:K16)+SUM($L$11:L16))*3)</f>
        <v>0</v>
      </c>
      <c r="I16" s="58">
        <f t="shared" si="1"/>
        <v>0</v>
      </c>
      <c r="J16" s="7">
        <v>6</v>
      </c>
      <c r="K16" s="67"/>
      <c r="L16" s="37"/>
      <c r="M16" s="56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3"/>
      <c r="AB16" s="41"/>
      <c r="AC16" s="11" t="s">
        <v>36</v>
      </c>
    </row>
    <row r="17" spans="1:29" ht="15" customHeight="1" thickTop="1" thickBot="1" x14ac:dyDescent="0.3">
      <c r="A17" s="41"/>
      <c r="B17" s="7">
        <v>7</v>
      </c>
      <c r="C17" s="1"/>
      <c r="D17" s="6">
        <f t="shared" ref="D17:D41" si="3">D16+C17</f>
        <v>0</v>
      </c>
      <c r="E17" s="19" t="str">
        <f t="shared" si="2"/>
        <v>Em Branco/Folga</v>
      </c>
      <c r="F17" s="26" t="str">
        <f t="shared" ref="F17:F41" si="4">IF(ISBLANK($C17),"Em Branco",IF(I17&gt;C17,"Está Arriscando Sua Banca",IF($C17&lt;=$H17,"Parabéns Seguiu Gerenciamento","Está Se Arriscando Acima De 3%")))</f>
        <v>Em Branco</v>
      </c>
      <c r="G17" s="58">
        <f>(($Z$11)*($N$11+SUM($C$11:C16)+SUM($K$11:K17)+SUM($L$11:L17)))</f>
        <v>0</v>
      </c>
      <c r="H17" s="58">
        <f>((0.01)*($N$11+SUM($C$11:C16)+SUM($K$11:K17)+SUM($L$11:L17))*3)</f>
        <v>0</v>
      </c>
      <c r="I17" s="58">
        <f t="shared" si="1"/>
        <v>0</v>
      </c>
      <c r="J17" s="7">
        <v>7</v>
      </c>
      <c r="K17" s="68"/>
      <c r="L17" s="38"/>
      <c r="M17" s="56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3"/>
      <c r="AB17" s="41"/>
      <c r="AC17" s="11" t="s">
        <v>37</v>
      </c>
    </row>
    <row r="18" spans="1:29" ht="15" customHeight="1" thickTop="1" thickBot="1" x14ac:dyDescent="0.3">
      <c r="A18" s="41"/>
      <c r="B18" s="7">
        <v>8</v>
      </c>
      <c r="C18" s="2"/>
      <c r="D18" s="6">
        <f t="shared" si="3"/>
        <v>0</v>
      </c>
      <c r="E18" s="19" t="str">
        <f t="shared" si="2"/>
        <v>Em Branco/Folga</v>
      </c>
      <c r="F18" s="26" t="str">
        <f t="shared" si="4"/>
        <v>Em Branco</v>
      </c>
      <c r="G18" s="58">
        <f>(($Z$11)*($N$11+SUM($C$11:C17)+SUM($K$11:K18)+SUM($L$11:L18)))</f>
        <v>0</v>
      </c>
      <c r="H18" s="58">
        <f>((0.01)*($N$11+SUM($C$11:C17)+SUM($K$11:K18)+SUM($L$11:L18))*3)</f>
        <v>0</v>
      </c>
      <c r="I18" s="58">
        <f t="shared" si="1"/>
        <v>0</v>
      </c>
      <c r="J18" s="7">
        <v>8</v>
      </c>
      <c r="K18" s="67"/>
      <c r="L18" s="37"/>
      <c r="M18" s="56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3"/>
      <c r="AB18" s="41"/>
      <c r="AC18" s="12"/>
    </row>
    <row r="19" spans="1:29" ht="15" customHeight="1" thickTop="1" thickBot="1" x14ac:dyDescent="0.3">
      <c r="A19" s="41"/>
      <c r="B19" s="7">
        <v>9</v>
      </c>
      <c r="C19" s="1"/>
      <c r="D19" s="6">
        <f t="shared" si="3"/>
        <v>0</v>
      </c>
      <c r="E19" s="19" t="str">
        <f t="shared" si="2"/>
        <v>Em Branco/Folga</v>
      </c>
      <c r="F19" s="26" t="str">
        <f t="shared" si="4"/>
        <v>Em Branco</v>
      </c>
      <c r="G19" s="58">
        <f>(($Z$11)*($N$11+SUM($C$11:C18)+SUM($K$11:K19)+SUM($L$11:L19)))</f>
        <v>0</v>
      </c>
      <c r="H19" s="58">
        <f>((0.01)*($N$11+SUM($C$11:C18)+SUM($K$11:K19)+SUM($L$11:L19))*3)</f>
        <v>0</v>
      </c>
      <c r="I19" s="58">
        <f t="shared" si="1"/>
        <v>0</v>
      </c>
      <c r="J19" s="7">
        <v>9</v>
      </c>
      <c r="K19" s="68"/>
      <c r="L19" s="38"/>
      <c r="M19" s="56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3"/>
      <c r="AB19" s="41"/>
      <c r="AC19" s="12"/>
    </row>
    <row r="20" spans="1:29" ht="15" customHeight="1" thickTop="1" thickBot="1" x14ac:dyDescent="0.3">
      <c r="A20" s="41"/>
      <c r="B20" s="7">
        <v>10</v>
      </c>
      <c r="C20" s="2"/>
      <c r="D20" s="6">
        <f t="shared" si="3"/>
        <v>0</v>
      </c>
      <c r="E20" s="19" t="str">
        <f t="shared" si="2"/>
        <v>Em Branco/Folga</v>
      </c>
      <c r="F20" s="26" t="str">
        <f t="shared" si="4"/>
        <v>Em Branco</v>
      </c>
      <c r="G20" s="58">
        <f>(($Z$11)*($N$11+SUM($C$11:C19)+SUM($K$11:K20)+SUM($L$11:L20)))</f>
        <v>0</v>
      </c>
      <c r="H20" s="58">
        <f>((0.01)*($N$11+SUM($C$11:C19)+SUM($K$11:K20)+SUM($L$11:L20))*3)</f>
        <v>0</v>
      </c>
      <c r="I20" s="58">
        <f t="shared" si="1"/>
        <v>0</v>
      </c>
      <c r="J20" s="7">
        <v>10</v>
      </c>
      <c r="K20" s="67"/>
      <c r="L20" s="37"/>
      <c r="M20" s="56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3"/>
      <c r="AB20" s="41"/>
      <c r="AC20" s="12"/>
    </row>
    <row r="21" spans="1:29" ht="15" customHeight="1" thickTop="1" thickBot="1" x14ac:dyDescent="0.3">
      <c r="A21" s="41"/>
      <c r="B21" s="7">
        <v>11</v>
      </c>
      <c r="C21" s="1"/>
      <c r="D21" s="6">
        <f t="shared" si="3"/>
        <v>0</v>
      </c>
      <c r="E21" s="19" t="str">
        <f t="shared" si="2"/>
        <v>Em Branco/Folga</v>
      </c>
      <c r="F21" s="26" t="str">
        <f t="shared" si="4"/>
        <v>Em Branco</v>
      </c>
      <c r="G21" s="58">
        <f>(($Z$11)*($N$11+SUM($C$11:C20)+SUM($K$11:K21)+SUM($L$11:L21)))</f>
        <v>0</v>
      </c>
      <c r="H21" s="58">
        <f>((0.01)*($N$11+SUM($C$11:C20)+SUM($K$11:K21)+SUM($L$11:L21))*3)</f>
        <v>0</v>
      </c>
      <c r="I21" s="58">
        <f t="shared" si="1"/>
        <v>0</v>
      </c>
      <c r="J21" s="7">
        <v>11</v>
      </c>
      <c r="K21" s="68"/>
      <c r="L21" s="38"/>
      <c r="M21" s="56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12"/>
    </row>
    <row r="22" spans="1:29" ht="15" customHeight="1" thickTop="1" thickBot="1" x14ac:dyDescent="0.3">
      <c r="A22" s="41"/>
      <c r="B22" s="7">
        <v>12</v>
      </c>
      <c r="C22" s="2"/>
      <c r="D22" s="6">
        <f t="shared" si="3"/>
        <v>0</v>
      </c>
      <c r="E22" s="19" t="str">
        <f t="shared" si="2"/>
        <v>Em Branco/Folga</v>
      </c>
      <c r="F22" s="26" t="str">
        <f t="shared" si="4"/>
        <v>Em Branco</v>
      </c>
      <c r="G22" s="58">
        <f>(($Z$11)*($N$11+SUM($C$11:C21)+SUM($K$11:K22)+SUM($L$11:L22)))</f>
        <v>0</v>
      </c>
      <c r="H22" s="58">
        <f>((0.01)*($N$11+SUM($C$11:C21)+SUM($K$11:K22)+SUM($L$11:L22))*3)</f>
        <v>0</v>
      </c>
      <c r="I22" s="58">
        <f t="shared" si="1"/>
        <v>0</v>
      </c>
      <c r="J22" s="7">
        <v>12</v>
      </c>
      <c r="K22" s="67"/>
      <c r="L22" s="37"/>
      <c r="M22" s="56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12"/>
    </row>
    <row r="23" spans="1:29" ht="15" customHeight="1" thickTop="1" thickBot="1" x14ac:dyDescent="0.3">
      <c r="A23" s="41"/>
      <c r="B23" s="7">
        <v>13</v>
      </c>
      <c r="C23" s="1"/>
      <c r="D23" s="6">
        <f t="shared" si="3"/>
        <v>0</v>
      </c>
      <c r="E23" s="19" t="str">
        <f t="shared" si="2"/>
        <v>Em Branco/Folga</v>
      </c>
      <c r="F23" s="26" t="str">
        <f t="shared" si="4"/>
        <v>Em Branco</v>
      </c>
      <c r="G23" s="58">
        <f>(($Z$11)*($N$11+SUM($C$11:C22)+SUM($K$11:K23)+SUM($L$11:L23)))</f>
        <v>0</v>
      </c>
      <c r="H23" s="58">
        <f>((0.01)*($N$11+SUM($C$11:C22)+SUM($K$11:K23)+SUM($L$11:L23))*3)</f>
        <v>0</v>
      </c>
      <c r="I23" s="58">
        <f t="shared" si="1"/>
        <v>0</v>
      </c>
      <c r="J23" s="7">
        <v>13</v>
      </c>
      <c r="K23" s="68"/>
      <c r="L23" s="38"/>
      <c r="M23" s="56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12"/>
    </row>
    <row r="24" spans="1:29" ht="15" customHeight="1" thickTop="1" thickBot="1" x14ac:dyDescent="0.3">
      <c r="A24" s="41"/>
      <c r="B24" s="7">
        <v>14</v>
      </c>
      <c r="C24" s="2"/>
      <c r="D24" s="6">
        <f t="shared" si="3"/>
        <v>0</v>
      </c>
      <c r="E24" s="19" t="str">
        <f t="shared" si="2"/>
        <v>Em Branco/Folga</v>
      </c>
      <c r="F24" s="26" t="str">
        <f t="shared" si="4"/>
        <v>Em Branco</v>
      </c>
      <c r="G24" s="58">
        <f>(($Z$11)*($N$11+SUM($C$11:C23)+SUM($K$11:K24)+SUM($L$11:L24)))</f>
        <v>0</v>
      </c>
      <c r="H24" s="58">
        <f>((0.01)*($N$11+SUM($C$11:C23)+SUM($K$11:K24)+SUM($L$11:L24))*3)</f>
        <v>0</v>
      </c>
      <c r="I24" s="58">
        <f t="shared" si="1"/>
        <v>0</v>
      </c>
      <c r="J24" s="7">
        <v>14</v>
      </c>
      <c r="K24" s="67"/>
      <c r="L24" s="37"/>
      <c r="M24" s="56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12"/>
    </row>
    <row r="25" spans="1:29" ht="15" customHeight="1" thickTop="1" thickBot="1" x14ac:dyDescent="0.3">
      <c r="A25" s="41"/>
      <c r="B25" s="7">
        <v>15</v>
      </c>
      <c r="C25" s="1"/>
      <c r="D25" s="6">
        <f t="shared" si="3"/>
        <v>0</v>
      </c>
      <c r="E25" s="19" t="str">
        <f t="shared" si="2"/>
        <v>Em Branco/Folga</v>
      </c>
      <c r="F25" s="26" t="str">
        <f t="shared" si="4"/>
        <v>Em Branco</v>
      </c>
      <c r="G25" s="58">
        <f>(($Z$11)*($N$11+SUM($C$11:C24)+SUM($K$11:K25)+SUM($L$11:L25)))</f>
        <v>0</v>
      </c>
      <c r="H25" s="58">
        <f>((0.01)*($N$11+SUM($C$11:C24)+SUM($K$11:K25)+SUM($L$11:L25))*3)</f>
        <v>0</v>
      </c>
      <c r="I25" s="58">
        <f t="shared" si="1"/>
        <v>0</v>
      </c>
      <c r="J25" s="7">
        <v>15</v>
      </c>
      <c r="K25" s="68"/>
      <c r="L25" s="38"/>
      <c r="M25" s="56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12"/>
    </row>
    <row r="26" spans="1:29" ht="15" customHeight="1" thickTop="1" thickBot="1" x14ac:dyDescent="0.3">
      <c r="A26" s="41"/>
      <c r="B26" s="7">
        <v>16</v>
      </c>
      <c r="C26" s="2"/>
      <c r="D26" s="6">
        <f t="shared" si="3"/>
        <v>0</v>
      </c>
      <c r="E26" s="19" t="str">
        <f t="shared" si="2"/>
        <v>Em Branco/Folga</v>
      </c>
      <c r="F26" s="26" t="str">
        <f t="shared" si="4"/>
        <v>Em Branco</v>
      </c>
      <c r="G26" s="58">
        <f>(($Z$11)*($N$11+SUM($C$11:C25)+SUM($K$11:K26)+SUM($L$11:L26)))</f>
        <v>0</v>
      </c>
      <c r="H26" s="58">
        <f>((0.01)*($N$11+SUM($C$11:C25)+SUM($K$11:K26)+SUM($L$11:L26))*3)</f>
        <v>0</v>
      </c>
      <c r="I26" s="58">
        <f t="shared" si="1"/>
        <v>0</v>
      </c>
      <c r="J26" s="7">
        <v>16</v>
      </c>
      <c r="K26" s="67"/>
      <c r="L26" s="37"/>
      <c r="M26" s="56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12"/>
    </row>
    <row r="27" spans="1:29" ht="15" customHeight="1" thickTop="1" thickBot="1" x14ac:dyDescent="0.3">
      <c r="A27" s="41"/>
      <c r="B27" s="7">
        <v>17</v>
      </c>
      <c r="C27" s="1"/>
      <c r="D27" s="6">
        <f t="shared" si="3"/>
        <v>0</v>
      </c>
      <c r="E27" s="19" t="str">
        <f t="shared" si="2"/>
        <v>Em Branco/Folga</v>
      </c>
      <c r="F27" s="26" t="str">
        <f t="shared" si="4"/>
        <v>Em Branco</v>
      </c>
      <c r="G27" s="58">
        <f>(($Z$11)*($N$11+SUM($C$11:C26)+SUM($K$11:K27)+SUM($L$11:L27)))</f>
        <v>0</v>
      </c>
      <c r="H27" s="58">
        <f>((0.01)*($N$11+SUM($C$11:C26)+SUM($K$11:K27)+SUM($L$11:L27))*3)</f>
        <v>0</v>
      </c>
      <c r="I27" s="58">
        <f t="shared" si="1"/>
        <v>0</v>
      </c>
      <c r="J27" s="7">
        <v>17</v>
      </c>
      <c r="K27" s="68"/>
      <c r="L27" s="38"/>
      <c r="M27" s="56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12"/>
    </row>
    <row r="28" spans="1:29" ht="15" customHeight="1" thickTop="1" thickBot="1" x14ac:dyDescent="0.3">
      <c r="A28" s="41"/>
      <c r="B28" s="7">
        <v>18</v>
      </c>
      <c r="C28" s="2"/>
      <c r="D28" s="6">
        <f t="shared" si="3"/>
        <v>0</v>
      </c>
      <c r="E28" s="19" t="str">
        <f t="shared" si="2"/>
        <v>Em Branco/Folga</v>
      </c>
      <c r="F28" s="26" t="str">
        <f t="shared" si="4"/>
        <v>Em Branco</v>
      </c>
      <c r="G28" s="58">
        <f>(($Z$11)*($N$11+SUM($C$11:C27)+SUM($K$11:K28)+SUM($L$11:L28)))</f>
        <v>0</v>
      </c>
      <c r="H28" s="58">
        <f>((0.01)*($N$11+SUM($C$11:C27)+SUM($K$11:K28)+SUM($L$11:L28))*3)</f>
        <v>0</v>
      </c>
      <c r="I28" s="58">
        <f t="shared" si="1"/>
        <v>0</v>
      </c>
      <c r="J28" s="7">
        <v>18</v>
      </c>
      <c r="K28" s="67"/>
      <c r="L28" s="37"/>
      <c r="M28" s="56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12"/>
    </row>
    <row r="29" spans="1:29" ht="15" customHeight="1" thickTop="1" thickBot="1" x14ac:dyDescent="0.3">
      <c r="A29" s="41"/>
      <c r="B29" s="7">
        <v>19</v>
      </c>
      <c r="C29" s="1"/>
      <c r="D29" s="6">
        <f t="shared" si="3"/>
        <v>0</v>
      </c>
      <c r="E29" s="19" t="str">
        <f t="shared" si="2"/>
        <v>Em Branco/Folga</v>
      </c>
      <c r="F29" s="26" t="str">
        <f t="shared" si="4"/>
        <v>Em Branco</v>
      </c>
      <c r="G29" s="58">
        <f>(($Z$11)*($N$11+SUM($C$11:C28)+SUM($K$11:K29)+SUM($L$11:L29)))</f>
        <v>0</v>
      </c>
      <c r="H29" s="58">
        <f>((0.01)*($N$11+SUM($C$11:C28)+SUM($K$11:K29)+SUM($L$11:L29))*3)</f>
        <v>0</v>
      </c>
      <c r="I29" s="58">
        <f t="shared" si="1"/>
        <v>0</v>
      </c>
      <c r="J29" s="7">
        <v>19</v>
      </c>
      <c r="K29" s="68"/>
      <c r="L29" s="38"/>
      <c r="M29" s="56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12"/>
    </row>
    <row r="30" spans="1:29" ht="15" customHeight="1" thickTop="1" thickBot="1" x14ac:dyDescent="0.3">
      <c r="A30" s="41"/>
      <c r="B30" s="7">
        <v>20</v>
      </c>
      <c r="C30" s="2"/>
      <c r="D30" s="6">
        <f t="shared" si="3"/>
        <v>0</v>
      </c>
      <c r="E30" s="19" t="str">
        <f t="shared" si="2"/>
        <v>Em Branco/Folga</v>
      </c>
      <c r="F30" s="26" t="str">
        <f t="shared" si="4"/>
        <v>Em Branco</v>
      </c>
      <c r="G30" s="58">
        <f>(($Z$11)*($N$11+SUM($C$11:C29)+SUM($K$11:K30)+SUM($L$11:L30)))</f>
        <v>0</v>
      </c>
      <c r="H30" s="58">
        <f>((0.01)*($N$11+SUM($C$11:C29)+SUM($K$11:K30)+SUM($L$11:L30))*3)</f>
        <v>0</v>
      </c>
      <c r="I30" s="58">
        <f t="shared" si="1"/>
        <v>0</v>
      </c>
      <c r="J30" s="7">
        <v>20</v>
      </c>
      <c r="K30" s="67"/>
      <c r="L30" s="37"/>
      <c r="M30" s="56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12"/>
    </row>
    <row r="31" spans="1:29" ht="15" customHeight="1" thickTop="1" thickBot="1" x14ac:dyDescent="0.3">
      <c r="A31" s="41"/>
      <c r="B31" s="7">
        <v>21</v>
      </c>
      <c r="C31" s="1"/>
      <c r="D31" s="6">
        <f t="shared" si="3"/>
        <v>0</v>
      </c>
      <c r="E31" s="19" t="str">
        <f t="shared" si="2"/>
        <v>Em Branco/Folga</v>
      </c>
      <c r="F31" s="26" t="str">
        <f t="shared" si="4"/>
        <v>Em Branco</v>
      </c>
      <c r="G31" s="58">
        <f>(($Z$11)*($N$11+SUM($C$11:C30)+SUM($K$11:K31)+SUM($L$11:L31)))</f>
        <v>0</v>
      </c>
      <c r="H31" s="58">
        <f>((0.01)*($N$11+SUM($C$11:C30)+SUM($K$11:K31)+SUM($L$11:L31))*3)</f>
        <v>0</v>
      </c>
      <c r="I31" s="58">
        <f t="shared" si="1"/>
        <v>0</v>
      </c>
      <c r="J31" s="7">
        <v>21</v>
      </c>
      <c r="K31" s="68"/>
      <c r="L31" s="38"/>
      <c r="M31" s="56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12"/>
    </row>
    <row r="32" spans="1:29" ht="15" customHeight="1" thickTop="1" thickBot="1" x14ac:dyDescent="0.3">
      <c r="A32" s="41"/>
      <c r="B32" s="7">
        <v>22</v>
      </c>
      <c r="C32" s="1"/>
      <c r="D32" s="6">
        <f t="shared" si="3"/>
        <v>0</v>
      </c>
      <c r="E32" s="19" t="str">
        <f t="shared" si="2"/>
        <v>Em Branco/Folga</v>
      </c>
      <c r="F32" s="26" t="str">
        <f t="shared" si="4"/>
        <v>Em Branco</v>
      </c>
      <c r="G32" s="58">
        <f>(($Z$11)*($N$11+SUM($C$11:C31)+SUM($K$11:K32)+SUM($L$11:L32)))</f>
        <v>0</v>
      </c>
      <c r="H32" s="58">
        <f>((0.01)*($N$11+SUM($C$11:C31)+SUM($K$11:K32)+SUM($L$11:L32))*3)</f>
        <v>0</v>
      </c>
      <c r="I32" s="58">
        <f t="shared" si="1"/>
        <v>0</v>
      </c>
      <c r="J32" s="7">
        <v>22</v>
      </c>
      <c r="K32" s="68"/>
      <c r="L32" s="38"/>
      <c r="M32" s="56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ht="15" customHeight="1" thickTop="1" thickBot="1" x14ac:dyDescent="0.3">
      <c r="A33" s="41"/>
      <c r="B33" s="7">
        <v>23</v>
      </c>
      <c r="C33" s="1"/>
      <c r="D33" s="6">
        <f t="shared" si="3"/>
        <v>0</v>
      </c>
      <c r="E33" s="19" t="str">
        <f t="shared" si="2"/>
        <v>Em Branco/Folga</v>
      </c>
      <c r="F33" s="26" t="str">
        <f t="shared" si="4"/>
        <v>Em Branco</v>
      </c>
      <c r="G33" s="58">
        <f>(($Z$11)*($N$11+SUM($C$11:C32)+SUM($K$11:K33)+SUM($L$11:L33)))</f>
        <v>0</v>
      </c>
      <c r="H33" s="58">
        <f>((0.01)*($N$11+SUM($C$11:C32)+SUM($K$11:K33)+SUM($L$11:L33))*3)</f>
        <v>0</v>
      </c>
      <c r="I33" s="58">
        <f t="shared" si="1"/>
        <v>0</v>
      </c>
      <c r="J33" s="7">
        <v>23</v>
      </c>
      <c r="K33" s="68"/>
      <c r="L33" s="38"/>
      <c r="M33" s="56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ht="15" customHeight="1" thickTop="1" thickBot="1" x14ac:dyDescent="0.3">
      <c r="A34" s="41"/>
      <c r="B34" s="7">
        <v>24</v>
      </c>
      <c r="C34" s="1"/>
      <c r="D34" s="6">
        <f t="shared" si="3"/>
        <v>0</v>
      </c>
      <c r="E34" s="19" t="str">
        <f t="shared" si="2"/>
        <v>Em Branco/Folga</v>
      </c>
      <c r="F34" s="26" t="str">
        <f t="shared" si="4"/>
        <v>Em Branco</v>
      </c>
      <c r="G34" s="58">
        <f>(($Z$11)*($N$11+SUM($C$11:C33)+SUM($K$11:K34)+SUM($L$11:L34)))</f>
        <v>0</v>
      </c>
      <c r="H34" s="58">
        <f>((0.01)*($N$11+SUM($C$11:C33)+SUM($K$11:K34)+SUM($L$11:L34))*3)</f>
        <v>0</v>
      </c>
      <c r="I34" s="58">
        <f t="shared" si="1"/>
        <v>0</v>
      </c>
      <c r="J34" s="7">
        <v>24</v>
      </c>
      <c r="K34" s="68"/>
      <c r="L34" s="38"/>
      <c r="M34" s="56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ht="15" customHeight="1" thickTop="1" thickBot="1" x14ac:dyDescent="0.3">
      <c r="A35" s="41"/>
      <c r="B35" s="7">
        <v>25</v>
      </c>
      <c r="C35" s="1"/>
      <c r="D35" s="6">
        <f t="shared" si="3"/>
        <v>0</v>
      </c>
      <c r="E35" s="19" t="str">
        <f t="shared" si="2"/>
        <v>Em Branco/Folga</v>
      </c>
      <c r="F35" s="26" t="str">
        <f t="shared" si="4"/>
        <v>Em Branco</v>
      </c>
      <c r="G35" s="58">
        <f>(($Z$11)*($N$11+SUM($C$11:C34)+SUM($K$11:K35)+SUM($L$11:L35)))</f>
        <v>0</v>
      </c>
      <c r="H35" s="58">
        <f>((0.01)*($N$11+SUM($C$11:C34)+SUM($K$11:K35)+SUM($L$11:L35))*3)</f>
        <v>0</v>
      </c>
      <c r="I35" s="58">
        <f t="shared" si="1"/>
        <v>0</v>
      </c>
      <c r="J35" s="7">
        <v>25</v>
      </c>
      <c r="K35" s="68"/>
      <c r="L35" s="38"/>
      <c r="M35" s="56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ht="15" customHeight="1" thickTop="1" thickBot="1" x14ac:dyDescent="0.3">
      <c r="A36" s="41"/>
      <c r="B36" s="7">
        <v>26</v>
      </c>
      <c r="C36" s="1"/>
      <c r="D36" s="6">
        <f t="shared" si="3"/>
        <v>0</v>
      </c>
      <c r="E36" s="19" t="str">
        <f t="shared" si="2"/>
        <v>Em Branco/Folga</v>
      </c>
      <c r="F36" s="26" t="str">
        <f t="shared" si="4"/>
        <v>Em Branco</v>
      </c>
      <c r="G36" s="58">
        <f>(($Z$11)*($N$11+SUM($C$11:C35)+SUM($K$11:K36)+SUM($L$11:L36)))</f>
        <v>0</v>
      </c>
      <c r="H36" s="58">
        <f>((0.01)*($N$11+SUM($C$11:C35)+SUM($K$11:K36)+SUM($L$11:L36))*3)</f>
        <v>0</v>
      </c>
      <c r="I36" s="58">
        <f t="shared" si="1"/>
        <v>0</v>
      </c>
      <c r="J36" s="7">
        <v>26</v>
      </c>
      <c r="K36" s="68"/>
      <c r="L36" s="38"/>
      <c r="M36" s="56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  <row r="37" spans="1:28" ht="15" customHeight="1" thickTop="1" thickBot="1" x14ac:dyDescent="0.3">
      <c r="A37" s="41"/>
      <c r="B37" s="7">
        <v>27</v>
      </c>
      <c r="C37" s="1"/>
      <c r="D37" s="6">
        <f t="shared" si="3"/>
        <v>0</v>
      </c>
      <c r="E37" s="19" t="str">
        <f t="shared" si="2"/>
        <v>Em Branco/Folga</v>
      </c>
      <c r="F37" s="26" t="str">
        <f t="shared" si="4"/>
        <v>Em Branco</v>
      </c>
      <c r="G37" s="58">
        <f>(($Z$11)*($N$11+SUM($C$11:C36)+SUM($K$11:K37)+SUM($L$11:L37)))</f>
        <v>0</v>
      </c>
      <c r="H37" s="58">
        <f>((0.01)*($N$11+SUM($C$11:C36)+SUM($K$11:K37)+SUM($L$11:L37))*3)</f>
        <v>0</v>
      </c>
      <c r="I37" s="58">
        <f t="shared" si="1"/>
        <v>0</v>
      </c>
      <c r="J37" s="7">
        <v>27</v>
      </c>
      <c r="K37" s="68"/>
      <c r="L37" s="38"/>
      <c r="M37" s="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</row>
    <row r="38" spans="1:28" ht="15" customHeight="1" thickTop="1" thickBot="1" x14ac:dyDescent="0.3">
      <c r="A38" s="41"/>
      <c r="B38" s="7">
        <v>28</v>
      </c>
      <c r="C38" s="1"/>
      <c r="D38" s="6">
        <f t="shared" si="3"/>
        <v>0</v>
      </c>
      <c r="E38" s="19" t="str">
        <f t="shared" si="2"/>
        <v>Em Branco/Folga</v>
      </c>
      <c r="F38" s="26" t="str">
        <f t="shared" si="4"/>
        <v>Em Branco</v>
      </c>
      <c r="G38" s="58">
        <f>(($Z$11)*($N$11+SUM($C$11:C37)+SUM($K$11:K38)+SUM($L$11:L38)))</f>
        <v>0</v>
      </c>
      <c r="H38" s="58">
        <f>((0.01)*($N$11+SUM($C$11:C37)+SUM($K$11:K38)+SUM($L$11:L38))*3)</f>
        <v>0</v>
      </c>
      <c r="I38" s="58">
        <f t="shared" si="1"/>
        <v>0</v>
      </c>
      <c r="J38" s="7">
        <v>28</v>
      </c>
      <c r="K38" s="68"/>
      <c r="L38" s="38"/>
      <c r="M38" s="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</row>
    <row r="39" spans="1:28" ht="15" customHeight="1" thickTop="1" thickBot="1" x14ac:dyDescent="0.3">
      <c r="A39" s="41"/>
      <c r="B39" s="7">
        <v>29</v>
      </c>
      <c r="C39" s="2"/>
      <c r="D39" s="6">
        <f t="shared" si="3"/>
        <v>0</v>
      </c>
      <c r="E39" s="19" t="str">
        <f t="shared" si="2"/>
        <v>Em Branco/Folga</v>
      </c>
      <c r="F39" s="26" t="str">
        <f t="shared" si="4"/>
        <v>Em Branco</v>
      </c>
      <c r="G39" s="58">
        <f>(($Z$11)*($N$11+SUM($C$11:C38)+SUM($K$11:K39)+SUM($L$11:L39)))</f>
        <v>0</v>
      </c>
      <c r="H39" s="58">
        <f>((0.01)*($N$11+SUM($C$11:C38)+SUM($K$11:K39)+SUM($L$11:L39))*3)</f>
        <v>0</v>
      </c>
      <c r="I39" s="58">
        <f t="shared" si="1"/>
        <v>0</v>
      </c>
      <c r="J39" s="7">
        <v>29</v>
      </c>
      <c r="K39" s="67"/>
      <c r="L39" s="37"/>
      <c r="M39" s="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</row>
    <row r="40" spans="1:28" ht="15" customHeight="1" thickTop="1" thickBot="1" x14ac:dyDescent="0.3">
      <c r="A40" s="41"/>
      <c r="B40" s="7">
        <v>30</v>
      </c>
      <c r="C40" s="1"/>
      <c r="D40" s="6">
        <f t="shared" si="3"/>
        <v>0</v>
      </c>
      <c r="E40" s="19" t="str">
        <f t="shared" si="2"/>
        <v>Em Branco/Folga</v>
      </c>
      <c r="F40" s="26" t="str">
        <f t="shared" si="4"/>
        <v>Em Branco</v>
      </c>
      <c r="G40" s="58">
        <f>(($Z$11)*($N$11+SUM($C$11:C39)+SUM($K$11:K40)+SUM($L$11:L40)))</f>
        <v>0</v>
      </c>
      <c r="H40" s="58">
        <f>((0.01)*($N$11+SUM($C$11:C39)+SUM($K$11:K40)+SUM($L$11:L40))*3)</f>
        <v>0</v>
      </c>
      <c r="I40" s="58">
        <f t="shared" si="1"/>
        <v>0</v>
      </c>
      <c r="J40" s="7">
        <v>30</v>
      </c>
      <c r="K40" s="68"/>
      <c r="L40" s="38"/>
      <c r="M40" s="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</row>
    <row r="41" spans="1:28" ht="15.75" customHeight="1" thickTop="1" thickBot="1" x14ac:dyDescent="0.3">
      <c r="A41" s="41"/>
      <c r="B41" s="8">
        <v>31</v>
      </c>
      <c r="C41" s="3"/>
      <c r="D41" s="9">
        <f t="shared" si="3"/>
        <v>0</v>
      </c>
      <c r="E41" s="20" t="str">
        <f t="shared" si="2"/>
        <v>Em Branco/Folga</v>
      </c>
      <c r="F41" s="27" t="str">
        <f t="shared" si="4"/>
        <v>Em Branco</v>
      </c>
      <c r="G41" s="58">
        <f>(($Z$11)*($N$11+SUM($C$11:C40)+SUM($K$11:K41)+SUM($L$11:L41)))</f>
        <v>0</v>
      </c>
      <c r="H41" s="58">
        <f>((0.01)*($N$11+SUM($C$11:C40)+SUM($K$11:K41)+SUM($L$11:L41))*3)</f>
        <v>0</v>
      </c>
      <c r="I41" s="58">
        <f t="shared" si="1"/>
        <v>0</v>
      </c>
      <c r="J41" s="8">
        <v>31</v>
      </c>
      <c r="K41" s="69"/>
      <c r="L41" s="39"/>
      <c r="M41" s="56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</row>
    <row r="42" spans="1:28" x14ac:dyDescent="0.25">
      <c r="A42" s="41"/>
      <c r="B42" s="41"/>
      <c r="C42" s="41"/>
      <c r="D42" s="51"/>
      <c r="E42" s="41"/>
      <c r="F42" s="42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</row>
  </sheetData>
  <sheetProtection algorithmName="SHA-512" hashValue="w8NDVDarVAENqQF5BETKejPFHMHL4PZETqvmdUpbFYi81hf0Wkkg2UZ/2V94+aYq+KCMvJQpZB6T95Htj3KJwA==" saltValue="RF8JmbTBidlRbfM9Dw4MyA==" spinCount="100000" sheet="1" selectLockedCells="1"/>
  <mergeCells count="11">
    <mergeCell ref="D2:E2"/>
    <mergeCell ref="B9:D9"/>
    <mergeCell ref="E9:F9"/>
    <mergeCell ref="J9:L9"/>
    <mergeCell ref="N10:O10"/>
    <mergeCell ref="R10:S10"/>
    <mergeCell ref="V10:W10"/>
    <mergeCell ref="N11:O11"/>
    <mergeCell ref="P11:Q11"/>
    <mergeCell ref="R11:S11"/>
    <mergeCell ref="P10:Q10"/>
  </mergeCells>
  <conditionalFormatting sqref="C11:C31 C41">
    <cfRule type="containsBlanks" dxfId="175" priority="40">
      <formula>LEN(TRIM(C11))=0</formula>
    </cfRule>
    <cfRule type="cellIs" dxfId="174" priority="41" operator="equal">
      <formula>0</formula>
    </cfRule>
    <cfRule type="cellIs" dxfId="173" priority="42" operator="greaterThan">
      <formula>0</formula>
    </cfRule>
    <cfRule type="cellIs" dxfId="172" priority="43" operator="lessThan">
      <formula>0</formula>
    </cfRule>
  </conditionalFormatting>
  <conditionalFormatting sqref="E11:F41">
    <cfRule type="containsText" dxfId="171" priority="37" operator="containsText" text="Não Atingiu">
      <formula>NOT(ISERROR(SEARCH("Não Atingiu",E11)))</formula>
    </cfRule>
    <cfRule type="containsText" dxfId="170" priority="38" operator="containsText" text="Prejuizo">
      <formula>NOT(ISERROR(SEARCH("Prejuizo",E11)))</formula>
    </cfRule>
    <cfRule type="containsText" dxfId="169" priority="39" operator="containsText" text="Atingiu">
      <formula>NOT(ISERROR(SEARCH("Atingiu",E11)))</formula>
    </cfRule>
  </conditionalFormatting>
  <conditionalFormatting sqref="E12:F12">
    <cfRule type="cellIs" dxfId="168" priority="36" operator="equal">
      <formula>"Em Branco/Folga"</formula>
    </cfRule>
  </conditionalFormatting>
  <conditionalFormatting sqref="E11:F11">
    <cfRule type="cellIs" dxfId="167" priority="35" operator="equal">
      <formula>"Em Branco/Folga"</formula>
    </cfRule>
  </conditionalFormatting>
  <conditionalFormatting sqref="E13:F41">
    <cfRule type="cellIs" dxfId="166" priority="34" operator="equal">
      <formula>"Em Branco/Folga"</formula>
    </cfRule>
  </conditionalFormatting>
  <conditionalFormatting sqref="F11">
    <cfRule type="cellIs" dxfId="165" priority="26" operator="equal">
      <formula>"Está Arriscando Sua Banca"</formula>
    </cfRule>
    <cfRule type="cellIs" dxfId="164" priority="31" operator="equal">
      <formula>"Está Se Arriscando Acima De 3%"</formula>
    </cfRule>
    <cfRule type="cellIs" dxfId="163" priority="32" operator="equal">
      <formula>"Parabéns Seguiu Gerenciamento"</formula>
    </cfRule>
    <cfRule type="cellIs" dxfId="162" priority="33" operator="equal">
      <formula>"Em Branco"</formula>
    </cfRule>
  </conditionalFormatting>
  <conditionalFormatting sqref="F12:F41">
    <cfRule type="cellIs" dxfId="161" priority="30" operator="equal">
      <formula>"Em Branco/Folga"</formula>
    </cfRule>
  </conditionalFormatting>
  <conditionalFormatting sqref="F12:F41">
    <cfRule type="cellIs" dxfId="160" priority="27" operator="equal">
      <formula>"Está Se Arriscando Acima De 3%"</formula>
    </cfRule>
    <cfRule type="cellIs" dxfId="159" priority="28" operator="equal">
      <formula>"Parabéns Seguiu Gerenciamento"</formula>
    </cfRule>
    <cfRule type="cellIs" dxfId="158" priority="29" operator="equal">
      <formula>"Em Branco"</formula>
    </cfRule>
  </conditionalFormatting>
  <conditionalFormatting sqref="F12:F41">
    <cfRule type="cellIs" dxfId="157" priority="25" operator="equal">
      <formula>"Em Branco/Folga"</formula>
    </cfRule>
  </conditionalFormatting>
  <conditionalFormatting sqref="F12:F41">
    <cfRule type="cellIs" dxfId="156" priority="21" operator="equal">
      <formula>"Está Arriscando Sua Banca"</formula>
    </cfRule>
    <cfRule type="cellIs" dxfId="155" priority="22" operator="equal">
      <formula>"Está Se Arriscando Acima De 3%"</formula>
    </cfRule>
    <cfRule type="cellIs" dxfId="154" priority="23" operator="equal">
      <formula>"Parabéns Seguiu Gerenciamento"</formula>
    </cfRule>
    <cfRule type="cellIs" dxfId="153" priority="24" operator="equal">
      <formula>"Em Branco"</formula>
    </cfRule>
  </conditionalFormatting>
  <conditionalFormatting sqref="C32:C40">
    <cfRule type="containsBlanks" dxfId="152" priority="17">
      <formula>LEN(TRIM(C32))=0</formula>
    </cfRule>
    <cfRule type="cellIs" dxfId="151" priority="18" operator="equal">
      <formula>0</formula>
    </cfRule>
    <cfRule type="cellIs" dxfId="150" priority="19" operator="greaterThan">
      <formula>0</formula>
    </cfRule>
    <cfRule type="cellIs" dxfId="149" priority="20" operator="lessThan">
      <formula>0</formula>
    </cfRule>
  </conditionalFormatting>
  <conditionalFormatting sqref="K11:K31 K41">
    <cfRule type="containsBlanks" dxfId="148" priority="13">
      <formula>LEN(TRIM(K11))=0</formula>
    </cfRule>
    <cfRule type="cellIs" dxfId="147" priority="14" operator="equal">
      <formula>0</formula>
    </cfRule>
    <cfRule type="cellIs" dxfId="146" priority="15" operator="greaterThan">
      <formula>0</formula>
    </cfRule>
    <cfRule type="cellIs" dxfId="145" priority="16" operator="lessThan">
      <formula>0</formula>
    </cfRule>
  </conditionalFormatting>
  <conditionalFormatting sqref="K32:K40">
    <cfRule type="containsBlanks" dxfId="144" priority="9">
      <formula>LEN(TRIM(K32))=0</formula>
    </cfRule>
    <cfRule type="cellIs" dxfId="143" priority="10" operator="equal">
      <formula>0</formula>
    </cfRule>
    <cfRule type="cellIs" dxfId="142" priority="11" operator="greaterThan">
      <formula>0</formula>
    </cfRule>
    <cfRule type="cellIs" dxfId="141" priority="12" operator="lessThan">
      <formula>0</formula>
    </cfRule>
  </conditionalFormatting>
  <conditionalFormatting sqref="L11:M31 L41:M41">
    <cfRule type="containsBlanks" dxfId="140" priority="5">
      <formula>LEN(TRIM(L11))=0</formula>
    </cfRule>
    <cfRule type="cellIs" dxfId="139" priority="6" operator="equal">
      <formula>0</formula>
    </cfRule>
    <cfRule type="cellIs" dxfId="138" priority="7" operator="greaterThan">
      <formula>0</formula>
    </cfRule>
    <cfRule type="cellIs" dxfId="137" priority="8" operator="lessThan">
      <formula>0</formula>
    </cfRule>
  </conditionalFormatting>
  <conditionalFormatting sqref="L32:M40">
    <cfRule type="containsBlanks" dxfId="136" priority="1">
      <formula>LEN(TRIM(L32))=0</formula>
    </cfRule>
    <cfRule type="cellIs" dxfId="135" priority="2" operator="equal">
      <formula>0</formula>
    </cfRule>
    <cfRule type="cellIs" dxfId="134" priority="3" operator="greaterThan">
      <formula>0</formula>
    </cfRule>
    <cfRule type="cellIs" dxfId="133" priority="4" operator="lessThan">
      <formula>0</formula>
    </cfRule>
  </conditionalFormatting>
  <dataValidations count="7">
    <dataValidation type="list" allowBlank="1" showInputMessage="1" showErrorMessage="1" sqref="E13:E41" xr:uid="{4A9A444A-2069-4056-80BC-E8A15F240834}">
      <formula1>#REF!</formula1>
    </dataValidation>
    <dataValidation type="decimal" allowBlank="1" showInputMessage="1" showErrorMessage="1" errorTitle="GERENCIAMENTO" error="SIGA O GERENCIAMENTO DE 1% A 3%" sqref="Z11" xr:uid="{D591C30B-AA16-4494-81B1-39C75DC82F75}">
      <formula1>0.000001</formula1>
      <formula2>0.03</formula2>
    </dataValidation>
    <dataValidation type="list" allowBlank="1" showInputMessage="1" showErrorMessage="1" errorTitle="ATENÇÃO" error="SELECIONE O MÊS DE REFERÊNCIA" sqref="E9" xr:uid="{714715BA-3EBE-4CA8-A80A-FAFFF07F3036}">
      <formula1>$AC$6:$AC$17</formula1>
    </dataValidation>
    <dataValidation type="decimal" allowBlank="1" showInputMessage="1" showErrorMessage="1" errorTitle="ATENÇÃO" error="APENAS NÚMEROS" sqref="N11:O11 C11:C41 M11:M41" xr:uid="{04D35D8B-77DE-4807-B8F1-3120791BED84}">
      <formula1>-999999999999999000</formula1>
      <formula2>999999999999999000</formula2>
    </dataValidation>
    <dataValidation allowBlank="1" showInputMessage="1" showErrorMessage="1" errorTitle="ATENÇÃO" error="SELECIONE O MÊS DE REFERÊNCIA" sqref="J9 M9" xr:uid="{DA8E98C1-92C3-4EAF-9CEB-C1EA8D4ED823}"/>
    <dataValidation type="decimal" allowBlank="1" showInputMessage="1" showErrorMessage="1" errorTitle="ATENÇÃO" error="APENAS NÚMEROS" promptTitle="SAQUES" prompt="COLOCAR SINAL NEGATIVO" sqref="L11:L41" xr:uid="{ACB6BDE1-87AB-449D-908F-A18183786D2E}">
      <formula1>-999999999999999000</formula1>
      <formula2>999999999999999000</formula2>
    </dataValidation>
    <dataValidation type="decimal" allowBlank="1" showErrorMessage="1" errorTitle="ATENÇÃO" error="APENAS NÚMEROS" sqref="K11:K41" xr:uid="{943D8E33-D330-4A74-B364-324E99C1790E}">
      <formula1>-999999999999999000</formula1>
      <formula2>999999999999999000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E5479-4BE4-4394-994A-3A923671F359}">
  <sheetPr codeName="Planilha17">
    <tabColor rgb="FFFFC000"/>
  </sheetPr>
  <dimension ref="A1:AC42"/>
  <sheetViews>
    <sheetView showGridLines="0" showRowColHeaders="0" zoomScale="85" zoomScaleNormal="85" workbookViewId="0">
      <selection activeCell="E9" sqref="E9:F9"/>
    </sheetView>
  </sheetViews>
  <sheetFormatPr defaultColWidth="0" defaultRowHeight="15" customHeight="1" zeroHeight="1" x14ac:dyDescent="0.25"/>
  <cols>
    <col min="1" max="1" width="3.7109375" style="4" customWidth="1"/>
    <col min="2" max="2" width="4.5703125" style="4" customWidth="1"/>
    <col min="3" max="3" width="12.7109375" style="4" customWidth="1"/>
    <col min="4" max="4" width="12.140625" style="4" customWidth="1"/>
    <col min="5" max="5" width="15.7109375" style="4" customWidth="1"/>
    <col min="6" max="6" width="30.7109375" style="25" customWidth="1"/>
    <col min="7" max="9" width="0.5703125" style="4" customWidth="1"/>
    <col min="10" max="10" width="4.5703125" style="4" customWidth="1"/>
    <col min="11" max="12" width="15.7109375" style="4" customWidth="1"/>
    <col min="13" max="13" width="1.7109375" style="4" customWidth="1"/>
    <col min="14" max="14" width="15.7109375" style="4" customWidth="1"/>
    <col min="15" max="15" width="9.5703125" style="4" bestFit="1" customWidth="1"/>
    <col min="16" max="20" width="9.140625" style="4" customWidth="1"/>
    <col min="21" max="21" width="12.140625" style="4" customWidth="1"/>
    <col min="22" max="22" width="12.85546875" style="4" customWidth="1"/>
    <col min="23" max="23" width="18" style="4" customWidth="1"/>
    <col min="24" max="24" width="13.85546875" style="4" customWidth="1"/>
    <col min="25" max="25" width="15.140625" style="4" customWidth="1"/>
    <col min="26" max="26" width="9.7109375" style="4" bestFit="1" customWidth="1"/>
    <col min="27" max="28" width="2.28515625" style="4" customWidth="1"/>
    <col min="29" max="16384" width="9.140625" style="4" hidden="1"/>
  </cols>
  <sheetData>
    <row r="1" spans="1:29" x14ac:dyDescent="0.25">
      <c r="A1" s="41"/>
      <c r="B1" s="41"/>
      <c r="C1" s="41"/>
      <c r="D1" s="41"/>
      <c r="E1" s="41"/>
      <c r="F1" s="42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3"/>
      <c r="AB1" s="41"/>
      <c r="AC1" s="10">
        <v>0.01</v>
      </c>
    </row>
    <row r="2" spans="1:29" x14ac:dyDescent="0.25">
      <c r="A2" s="41"/>
      <c r="B2" s="41"/>
      <c r="C2" s="44" t="s">
        <v>103</v>
      </c>
      <c r="D2" s="79">
        <f ca="1">TODAY()</f>
        <v>44422</v>
      </c>
      <c r="E2" s="80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59" t="s">
        <v>110</v>
      </c>
      <c r="Z2" s="41"/>
      <c r="AA2" s="43"/>
      <c r="AB2" s="41"/>
      <c r="AC2" s="10"/>
    </row>
    <row r="3" spans="1:29" x14ac:dyDescent="0.25">
      <c r="A3" s="41"/>
      <c r="B3" s="41"/>
      <c r="C3" s="41"/>
      <c r="D3" s="41"/>
      <c r="E3" s="41"/>
      <c r="F3" s="42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3"/>
      <c r="AB3" s="41"/>
      <c r="AC3" s="10"/>
    </row>
    <row r="4" spans="1:29" x14ac:dyDescent="0.25">
      <c r="A4" s="41"/>
      <c r="B4" s="41"/>
      <c r="C4" s="41"/>
      <c r="D4" s="41"/>
      <c r="E4" s="41"/>
      <c r="F4" s="42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3"/>
      <c r="AB4" s="41"/>
      <c r="AC4" s="10">
        <v>0.02</v>
      </c>
    </row>
    <row r="5" spans="1:29" x14ac:dyDescent="0.25">
      <c r="A5" s="41"/>
      <c r="B5" s="41"/>
      <c r="C5" s="41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3"/>
      <c r="AB5" s="41"/>
      <c r="AC5" s="10">
        <v>0.03</v>
      </c>
    </row>
    <row r="6" spans="1:29" x14ac:dyDescent="0.25">
      <c r="A6" s="41"/>
      <c r="B6" s="41"/>
      <c r="C6" s="41"/>
      <c r="D6" s="41"/>
      <c r="E6" s="41"/>
      <c r="F6" s="42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3"/>
      <c r="AB6" s="41"/>
      <c r="AC6" s="11" t="s">
        <v>26</v>
      </c>
    </row>
    <row r="7" spans="1:29" x14ac:dyDescent="0.25">
      <c r="A7" s="41"/>
      <c r="B7" s="41"/>
      <c r="C7" s="41"/>
      <c r="D7" s="41"/>
      <c r="E7" s="41"/>
      <c r="F7" s="42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3"/>
      <c r="AB7" s="41"/>
      <c r="AC7" s="11" t="s">
        <v>27</v>
      </c>
    </row>
    <row r="8" spans="1:29" ht="15.75" thickBot="1" x14ac:dyDescent="0.3">
      <c r="A8" s="41"/>
      <c r="B8" s="41"/>
      <c r="C8" s="41"/>
      <c r="D8" s="41"/>
      <c r="E8" s="41"/>
      <c r="F8" s="42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3"/>
      <c r="AB8" s="41"/>
      <c r="AC8" s="11" t="s">
        <v>28</v>
      </c>
    </row>
    <row r="9" spans="1:29" ht="19.5" thickBot="1" x14ac:dyDescent="0.3">
      <c r="A9" s="41"/>
      <c r="B9" s="81" t="s">
        <v>38</v>
      </c>
      <c r="C9" s="82"/>
      <c r="D9" s="83"/>
      <c r="E9" s="84" t="s">
        <v>35</v>
      </c>
      <c r="F9" s="85"/>
      <c r="G9" s="57"/>
      <c r="H9" s="57"/>
      <c r="I9" s="57"/>
      <c r="J9" s="81" t="s">
        <v>107</v>
      </c>
      <c r="K9" s="82"/>
      <c r="L9" s="88"/>
      <c r="M9" s="55"/>
      <c r="N9" s="5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3"/>
      <c r="AB9" s="41"/>
      <c r="AC9" s="11" t="s">
        <v>29</v>
      </c>
    </row>
    <row r="10" spans="1:29" ht="16.5" thickBot="1" x14ac:dyDescent="0.3">
      <c r="A10" s="41"/>
      <c r="B10" s="60" t="s">
        <v>0</v>
      </c>
      <c r="C10" s="61" t="s">
        <v>1</v>
      </c>
      <c r="D10" s="61" t="s">
        <v>3</v>
      </c>
      <c r="E10" s="61" t="s">
        <v>2</v>
      </c>
      <c r="F10" s="62" t="s">
        <v>105</v>
      </c>
      <c r="G10" s="57"/>
      <c r="H10" s="57"/>
      <c r="I10" s="57"/>
      <c r="J10" s="63" t="s">
        <v>0</v>
      </c>
      <c r="K10" s="64" t="s">
        <v>108</v>
      </c>
      <c r="L10" s="65" t="s">
        <v>109</v>
      </c>
      <c r="M10" s="40"/>
      <c r="N10" s="86" t="s">
        <v>5</v>
      </c>
      <c r="O10" s="87"/>
      <c r="P10" s="87" t="s">
        <v>4</v>
      </c>
      <c r="Q10" s="87"/>
      <c r="R10" s="87" t="s">
        <v>6</v>
      </c>
      <c r="S10" s="87"/>
      <c r="T10" s="53" t="s">
        <v>24</v>
      </c>
      <c r="U10" s="53" t="s">
        <v>23</v>
      </c>
      <c r="V10" s="75" t="s">
        <v>21</v>
      </c>
      <c r="W10" s="75"/>
      <c r="X10" s="53" t="s">
        <v>7</v>
      </c>
      <c r="Y10" s="53" t="s">
        <v>102</v>
      </c>
      <c r="Z10" s="5" t="s">
        <v>25</v>
      </c>
      <c r="AA10" s="43"/>
      <c r="AB10" s="41"/>
      <c r="AC10" s="11" t="s">
        <v>30</v>
      </c>
    </row>
    <row r="11" spans="1:29" ht="16.5" thickBot="1" x14ac:dyDescent="0.3">
      <c r="A11" s="41"/>
      <c r="B11" s="21">
        <v>1</v>
      </c>
      <c r="C11" s="22"/>
      <c r="D11" s="23">
        <f>N11+C11</f>
        <v>0</v>
      </c>
      <c r="E11" s="24" t="str">
        <f>IF(ISBLANK($C11),"Em Branco/Folga",IF($C11&gt;=$G11,"Atingiu",IF($C11&lt;0,"Prejuizo",IF($C11&lt;$G11,"Não Atingiu"))))</f>
        <v>Em Branco/Folga</v>
      </c>
      <c r="F11" s="26" t="str">
        <f t="shared" ref="F11:F15" si="0">IF(ISBLANK($C11),"Em Branco",IF($I11&gt;$C11,"Está Arriscando Sua Banca",IF($C11&lt;=$H11,"Parabéns Seguiu Gerenciamento","Está Se Arriscando Acima De 3%")))</f>
        <v>Em Branco</v>
      </c>
      <c r="G11" s="58">
        <f>(($Z$11)*($N$11+SUM($K$11:K11)+SUM($L$11:L11)))</f>
        <v>0</v>
      </c>
      <c r="H11" s="58">
        <f>((0.01)*($N$11+SUM($K$11:K11)+SUM($L$11:L11))*3)</f>
        <v>0</v>
      </c>
      <c r="I11" s="58">
        <f t="shared" ref="I11:I41" si="1">-$H11</f>
        <v>0</v>
      </c>
      <c r="J11" s="21">
        <v>1</v>
      </c>
      <c r="K11" s="66"/>
      <c r="L11" s="36"/>
      <c r="M11" s="56"/>
      <c r="N11" s="76">
        <v>0</v>
      </c>
      <c r="O11" s="77"/>
      <c r="P11" s="78">
        <f>Z11*R11</f>
        <v>0</v>
      </c>
      <c r="Q11" s="78"/>
      <c r="R11" s="78">
        <f>(SUM(N11+SUM(C11:C41)))+(SUM(K11:K41))+(SUM(L11:L41))</f>
        <v>0</v>
      </c>
      <c r="S11" s="78"/>
      <c r="T11" s="52">
        <f>P11*0.2</f>
        <v>0</v>
      </c>
      <c r="U11" s="46">
        <f>R11*0.03</f>
        <v>0</v>
      </c>
      <c r="V11" s="47">
        <f>(R11)-(N11)-(SUM(K11:K41))-(SUM(L11:L41))</f>
        <v>0</v>
      </c>
      <c r="W11" s="48">
        <f>V11*Y11</f>
        <v>0</v>
      </c>
      <c r="X11" s="49" t="e">
        <f>(($R$11-$N$11)/$N$11)</f>
        <v>#DIV/0!</v>
      </c>
      <c r="Y11" s="18">
        <f>COTAÇÃO!B6/1000000</f>
        <v>5.2</v>
      </c>
      <c r="Z11" s="73">
        <v>0.01</v>
      </c>
      <c r="AA11" s="43"/>
      <c r="AB11" s="41"/>
      <c r="AC11" s="11" t="s">
        <v>31</v>
      </c>
    </row>
    <row r="12" spans="1:29" ht="15" customHeight="1" thickTop="1" thickBot="1" x14ac:dyDescent="0.3">
      <c r="A12" s="41"/>
      <c r="B12" s="7">
        <v>2</v>
      </c>
      <c r="C12" s="2"/>
      <c r="D12" s="6">
        <f>D11+C12</f>
        <v>0</v>
      </c>
      <c r="E12" s="19" t="str">
        <f>IF(ISBLANK($C12),"Em Branco/Folga",IF($C12&gt;=$G12,"Atingiu",IF($C12&lt;0,"Prejuizo",IF($C12&lt;$G12,"Não Atingiu"))))</f>
        <v>Em Branco/Folga</v>
      </c>
      <c r="F12" s="26" t="str">
        <f t="shared" si="0"/>
        <v>Em Branco</v>
      </c>
      <c r="G12" s="58">
        <f>(($Z$11)*($N$11+SUM($C$11:C11)+SUM($K$11:K12)+SUM($L$11:L12)))</f>
        <v>0</v>
      </c>
      <c r="H12" s="58">
        <f>((0.01)*($N$11+SUM($C$11:C11)+SUM($K$11:K12)+SUM($L$11:L12))*3)</f>
        <v>0</v>
      </c>
      <c r="I12" s="58">
        <f t="shared" si="1"/>
        <v>0</v>
      </c>
      <c r="J12" s="7">
        <v>2</v>
      </c>
      <c r="K12" s="67"/>
      <c r="L12" s="37"/>
      <c r="M12" s="56"/>
      <c r="N12" s="50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3"/>
      <c r="AB12" s="41"/>
      <c r="AC12" s="11" t="s">
        <v>32</v>
      </c>
    </row>
    <row r="13" spans="1:29" ht="15" customHeight="1" thickTop="1" thickBot="1" x14ac:dyDescent="0.3">
      <c r="A13" s="41"/>
      <c r="B13" s="7">
        <v>3</v>
      </c>
      <c r="C13" s="1"/>
      <c r="D13" s="6">
        <f>D12+C13</f>
        <v>0</v>
      </c>
      <c r="E13" s="19" t="str">
        <f t="shared" ref="E13:E41" si="2">IF(ISBLANK($C13),"Em Branco/Folga",IF($C13&gt;=$G13,"Atingiu",IF($C13&lt;0,"Prejuizo",IF($C13&lt;$G13,"Não Atingiu"))))</f>
        <v>Em Branco/Folga</v>
      </c>
      <c r="F13" s="26" t="str">
        <f t="shared" si="0"/>
        <v>Em Branco</v>
      </c>
      <c r="G13" s="58">
        <f>(($Z$11)*($N$11+SUM($C$11:C12)+SUM($K$11:K13)+SUM($L$11:L13)))</f>
        <v>0</v>
      </c>
      <c r="H13" s="58">
        <f>((0.01)*($N$11+SUM($C$11:C12)+SUM($K$11:K13)+SUM($L$11:L13))*3)</f>
        <v>0</v>
      </c>
      <c r="I13" s="58">
        <f t="shared" si="1"/>
        <v>0</v>
      </c>
      <c r="J13" s="7">
        <v>3</v>
      </c>
      <c r="K13" s="68"/>
      <c r="L13" s="38"/>
      <c r="M13" s="56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3"/>
      <c r="AB13" s="41"/>
      <c r="AC13" s="11" t="s">
        <v>33</v>
      </c>
    </row>
    <row r="14" spans="1:29" ht="15" customHeight="1" thickTop="1" thickBot="1" x14ac:dyDescent="0.3">
      <c r="A14" s="41"/>
      <c r="B14" s="7">
        <v>4</v>
      </c>
      <c r="C14" s="2"/>
      <c r="D14" s="6">
        <f>D13+C14</f>
        <v>0</v>
      </c>
      <c r="E14" s="19" t="str">
        <f t="shared" si="2"/>
        <v>Em Branco/Folga</v>
      </c>
      <c r="F14" s="26" t="str">
        <f t="shared" si="0"/>
        <v>Em Branco</v>
      </c>
      <c r="G14" s="58">
        <f>(($Z$11)*($N$11+SUM($C$11:C13)+SUM($K$11:K14)+SUM($L$11:L14)))</f>
        <v>0</v>
      </c>
      <c r="H14" s="58">
        <f>((0.01)*($N$11+SUM($C$11:C13)+SUM($K$11:K14)+SUM($L$11:L14))*3)</f>
        <v>0</v>
      </c>
      <c r="I14" s="58">
        <f t="shared" si="1"/>
        <v>0</v>
      </c>
      <c r="J14" s="7">
        <v>4</v>
      </c>
      <c r="K14" s="67"/>
      <c r="L14" s="37"/>
      <c r="M14" s="56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3"/>
      <c r="AB14" s="41"/>
      <c r="AC14" s="11" t="s">
        <v>34</v>
      </c>
    </row>
    <row r="15" spans="1:29" ht="15" customHeight="1" thickTop="1" thickBot="1" x14ac:dyDescent="0.3">
      <c r="A15" s="41"/>
      <c r="B15" s="7">
        <v>5</v>
      </c>
      <c r="C15" s="1"/>
      <c r="D15" s="6">
        <f>D14+C15</f>
        <v>0</v>
      </c>
      <c r="E15" s="19" t="str">
        <f t="shared" si="2"/>
        <v>Em Branco/Folga</v>
      </c>
      <c r="F15" s="26" t="str">
        <f t="shared" si="0"/>
        <v>Em Branco</v>
      </c>
      <c r="G15" s="58">
        <f>(($Z$11)*($N$11+SUM($C$11:C14)+SUM($K$11:K15)+SUM($L$11:L15)))</f>
        <v>0</v>
      </c>
      <c r="H15" s="58">
        <f>((0.01)*($N$11+SUM($C$11:C14)+SUM($K$11:K15)+SUM($L$11:L15))*3)</f>
        <v>0</v>
      </c>
      <c r="I15" s="58">
        <f t="shared" si="1"/>
        <v>0</v>
      </c>
      <c r="J15" s="7">
        <v>5</v>
      </c>
      <c r="K15" s="68"/>
      <c r="L15" s="38"/>
      <c r="M15" s="56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3"/>
      <c r="AB15" s="41"/>
      <c r="AC15" s="11" t="s">
        <v>35</v>
      </c>
    </row>
    <row r="16" spans="1:29" ht="15" customHeight="1" thickTop="1" thickBot="1" x14ac:dyDescent="0.3">
      <c r="A16" s="41"/>
      <c r="B16" s="7">
        <v>6</v>
      </c>
      <c r="C16" s="2"/>
      <c r="D16" s="6">
        <f>D15+C16</f>
        <v>0</v>
      </c>
      <c r="E16" s="19" t="str">
        <f t="shared" si="2"/>
        <v>Em Branco/Folga</v>
      </c>
      <c r="F16" s="26" t="str">
        <f>IF(ISBLANK($C16),"Em Branco",IF($I16&gt;$C16,"Está Arriscando Sua Banca",IF($C16&lt;=$H16,"Parabéns Seguiu Gerenciamento","Está Se Arriscando Acima De 3%")))</f>
        <v>Em Branco</v>
      </c>
      <c r="G16" s="58">
        <f>(($Z$11)*($N$11+SUM($C$11:C15)+SUM($K$11:K16)+SUM($L$11:L16)))</f>
        <v>0</v>
      </c>
      <c r="H16" s="58">
        <f>((0.01)*($N$11+SUM($C$11:C15)+SUM($K$11:K16)+SUM($L$11:L16))*3)</f>
        <v>0</v>
      </c>
      <c r="I16" s="58">
        <f t="shared" si="1"/>
        <v>0</v>
      </c>
      <c r="J16" s="7">
        <v>6</v>
      </c>
      <c r="K16" s="67"/>
      <c r="L16" s="37"/>
      <c r="M16" s="56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3"/>
      <c r="AB16" s="41"/>
      <c r="AC16" s="11" t="s">
        <v>36</v>
      </c>
    </row>
    <row r="17" spans="1:29" ht="15" customHeight="1" thickTop="1" thickBot="1" x14ac:dyDescent="0.3">
      <c r="A17" s="41"/>
      <c r="B17" s="7">
        <v>7</v>
      </c>
      <c r="C17" s="1"/>
      <c r="D17" s="6">
        <f t="shared" ref="D17:D41" si="3">D16+C17</f>
        <v>0</v>
      </c>
      <c r="E17" s="19" t="str">
        <f t="shared" si="2"/>
        <v>Em Branco/Folga</v>
      </c>
      <c r="F17" s="26" t="str">
        <f t="shared" ref="F17:F41" si="4">IF(ISBLANK($C17),"Em Branco",IF(I17&gt;C17,"Está Arriscando Sua Banca",IF($C17&lt;=$H17,"Parabéns Seguiu Gerenciamento","Está Se Arriscando Acima De 3%")))</f>
        <v>Em Branco</v>
      </c>
      <c r="G17" s="58">
        <f>(($Z$11)*($N$11+SUM($C$11:C16)+SUM($K$11:K17)+SUM($L$11:L17)))</f>
        <v>0</v>
      </c>
      <c r="H17" s="58">
        <f>((0.01)*($N$11+SUM($C$11:C16)+SUM($K$11:K17)+SUM($L$11:L17))*3)</f>
        <v>0</v>
      </c>
      <c r="I17" s="58">
        <f t="shared" si="1"/>
        <v>0</v>
      </c>
      <c r="J17" s="7">
        <v>7</v>
      </c>
      <c r="K17" s="68"/>
      <c r="L17" s="38"/>
      <c r="M17" s="56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3"/>
      <c r="AB17" s="41"/>
      <c r="AC17" s="11" t="s">
        <v>37</v>
      </c>
    </row>
    <row r="18" spans="1:29" ht="15" customHeight="1" thickTop="1" thickBot="1" x14ac:dyDescent="0.3">
      <c r="A18" s="41"/>
      <c r="B18" s="7">
        <v>8</v>
      </c>
      <c r="C18" s="2"/>
      <c r="D18" s="6">
        <f t="shared" si="3"/>
        <v>0</v>
      </c>
      <c r="E18" s="19" t="str">
        <f t="shared" si="2"/>
        <v>Em Branco/Folga</v>
      </c>
      <c r="F18" s="26" t="str">
        <f t="shared" si="4"/>
        <v>Em Branco</v>
      </c>
      <c r="G18" s="58">
        <f>(($Z$11)*($N$11+SUM($C$11:C17)+SUM($K$11:K18)+SUM($L$11:L18)))</f>
        <v>0</v>
      </c>
      <c r="H18" s="58">
        <f>((0.01)*($N$11+SUM($C$11:C17)+SUM($K$11:K18)+SUM($L$11:L18))*3)</f>
        <v>0</v>
      </c>
      <c r="I18" s="58">
        <f t="shared" si="1"/>
        <v>0</v>
      </c>
      <c r="J18" s="7">
        <v>8</v>
      </c>
      <c r="K18" s="67"/>
      <c r="L18" s="37"/>
      <c r="M18" s="56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3"/>
      <c r="AB18" s="41"/>
      <c r="AC18" s="12"/>
    </row>
    <row r="19" spans="1:29" ht="15" customHeight="1" thickTop="1" thickBot="1" x14ac:dyDescent="0.3">
      <c r="A19" s="41"/>
      <c r="B19" s="7">
        <v>9</v>
      </c>
      <c r="C19" s="1"/>
      <c r="D19" s="6">
        <f t="shared" si="3"/>
        <v>0</v>
      </c>
      <c r="E19" s="19" t="str">
        <f t="shared" si="2"/>
        <v>Em Branco/Folga</v>
      </c>
      <c r="F19" s="26" t="str">
        <f t="shared" si="4"/>
        <v>Em Branco</v>
      </c>
      <c r="G19" s="58">
        <f>(($Z$11)*($N$11+SUM($C$11:C18)+SUM($K$11:K19)+SUM($L$11:L19)))</f>
        <v>0</v>
      </c>
      <c r="H19" s="58">
        <f>((0.01)*($N$11+SUM($C$11:C18)+SUM($K$11:K19)+SUM($L$11:L19))*3)</f>
        <v>0</v>
      </c>
      <c r="I19" s="58">
        <f t="shared" si="1"/>
        <v>0</v>
      </c>
      <c r="J19" s="7">
        <v>9</v>
      </c>
      <c r="K19" s="68"/>
      <c r="L19" s="38"/>
      <c r="M19" s="56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3"/>
      <c r="AB19" s="41"/>
      <c r="AC19" s="12"/>
    </row>
    <row r="20" spans="1:29" ht="15" customHeight="1" thickTop="1" thickBot="1" x14ac:dyDescent="0.3">
      <c r="A20" s="41"/>
      <c r="B20" s="7">
        <v>10</v>
      </c>
      <c r="C20" s="2"/>
      <c r="D20" s="6">
        <f t="shared" si="3"/>
        <v>0</v>
      </c>
      <c r="E20" s="19" t="str">
        <f t="shared" si="2"/>
        <v>Em Branco/Folga</v>
      </c>
      <c r="F20" s="26" t="str">
        <f t="shared" si="4"/>
        <v>Em Branco</v>
      </c>
      <c r="G20" s="58">
        <f>(($Z$11)*($N$11+SUM($C$11:C19)+SUM($K$11:K20)+SUM($L$11:L20)))</f>
        <v>0</v>
      </c>
      <c r="H20" s="58">
        <f>((0.01)*($N$11+SUM($C$11:C19)+SUM($K$11:K20)+SUM($L$11:L20))*3)</f>
        <v>0</v>
      </c>
      <c r="I20" s="58">
        <f t="shared" si="1"/>
        <v>0</v>
      </c>
      <c r="J20" s="7">
        <v>10</v>
      </c>
      <c r="K20" s="67"/>
      <c r="L20" s="37"/>
      <c r="M20" s="56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3"/>
      <c r="AB20" s="41"/>
      <c r="AC20" s="12"/>
    </row>
    <row r="21" spans="1:29" ht="15" customHeight="1" thickTop="1" thickBot="1" x14ac:dyDescent="0.3">
      <c r="A21" s="41"/>
      <c r="B21" s="7">
        <v>11</v>
      </c>
      <c r="C21" s="1"/>
      <c r="D21" s="6">
        <f t="shared" si="3"/>
        <v>0</v>
      </c>
      <c r="E21" s="19" t="str">
        <f t="shared" si="2"/>
        <v>Em Branco/Folga</v>
      </c>
      <c r="F21" s="26" t="str">
        <f t="shared" si="4"/>
        <v>Em Branco</v>
      </c>
      <c r="G21" s="58">
        <f>(($Z$11)*($N$11+SUM($C$11:C20)+SUM($K$11:K21)+SUM($L$11:L21)))</f>
        <v>0</v>
      </c>
      <c r="H21" s="58">
        <f>((0.01)*($N$11+SUM($C$11:C20)+SUM($K$11:K21)+SUM($L$11:L21))*3)</f>
        <v>0</v>
      </c>
      <c r="I21" s="58">
        <f t="shared" si="1"/>
        <v>0</v>
      </c>
      <c r="J21" s="7">
        <v>11</v>
      </c>
      <c r="K21" s="68"/>
      <c r="L21" s="38"/>
      <c r="M21" s="56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12"/>
    </row>
    <row r="22" spans="1:29" ht="15" customHeight="1" thickTop="1" thickBot="1" x14ac:dyDescent="0.3">
      <c r="A22" s="41"/>
      <c r="B22" s="7">
        <v>12</v>
      </c>
      <c r="C22" s="2"/>
      <c r="D22" s="6">
        <f t="shared" si="3"/>
        <v>0</v>
      </c>
      <c r="E22" s="19" t="str">
        <f t="shared" si="2"/>
        <v>Em Branco/Folga</v>
      </c>
      <c r="F22" s="26" t="str">
        <f t="shared" si="4"/>
        <v>Em Branco</v>
      </c>
      <c r="G22" s="58">
        <f>(($Z$11)*($N$11+SUM($C$11:C21)+SUM($K$11:K22)+SUM($L$11:L22)))</f>
        <v>0</v>
      </c>
      <c r="H22" s="58">
        <f>((0.01)*($N$11+SUM($C$11:C21)+SUM($K$11:K22)+SUM($L$11:L22))*3)</f>
        <v>0</v>
      </c>
      <c r="I22" s="58">
        <f t="shared" si="1"/>
        <v>0</v>
      </c>
      <c r="J22" s="7">
        <v>12</v>
      </c>
      <c r="K22" s="67"/>
      <c r="L22" s="37"/>
      <c r="M22" s="56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12"/>
    </row>
    <row r="23" spans="1:29" ht="15" customHeight="1" thickTop="1" thickBot="1" x14ac:dyDescent="0.3">
      <c r="A23" s="41"/>
      <c r="B23" s="7">
        <v>13</v>
      </c>
      <c r="C23" s="1"/>
      <c r="D23" s="6">
        <f t="shared" si="3"/>
        <v>0</v>
      </c>
      <c r="E23" s="19" t="str">
        <f t="shared" si="2"/>
        <v>Em Branco/Folga</v>
      </c>
      <c r="F23" s="26" t="str">
        <f t="shared" si="4"/>
        <v>Em Branco</v>
      </c>
      <c r="G23" s="58">
        <f>(($Z$11)*($N$11+SUM($C$11:C22)+SUM($K$11:K23)+SUM($L$11:L23)))</f>
        <v>0</v>
      </c>
      <c r="H23" s="58">
        <f>((0.01)*($N$11+SUM($C$11:C22)+SUM($K$11:K23)+SUM($L$11:L23))*3)</f>
        <v>0</v>
      </c>
      <c r="I23" s="58">
        <f t="shared" si="1"/>
        <v>0</v>
      </c>
      <c r="J23" s="7">
        <v>13</v>
      </c>
      <c r="K23" s="68"/>
      <c r="L23" s="38"/>
      <c r="M23" s="56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12"/>
    </row>
    <row r="24" spans="1:29" ht="15" customHeight="1" thickTop="1" thickBot="1" x14ac:dyDescent="0.3">
      <c r="A24" s="41"/>
      <c r="B24" s="7">
        <v>14</v>
      </c>
      <c r="C24" s="2"/>
      <c r="D24" s="6">
        <f t="shared" si="3"/>
        <v>0</v>
      </c>
      <c r="E24" s="19" t="str">
        <f t="shared" si="2"/>
        <v>Em Branco/Folga</v>
      </c>
      <c r="F24" s="26" t="str">
        <f t="shared" si="4"/>
        <v>Em Branco</v>
      </c>
      <c r="G24" s="58">
        <f>(($Z$11)*($N$11+SUM($C$11:C23)+SUM($K$11:K24)+SUM($L$11:L24)))</f>
        <v>0</v>
      </c>
      <c r="H24" s="58">
        <f>((0.01)*($N$11+SUM($C$11:C23)+SUM($K$11:K24)+SUM($L$11:L24))*3)</f>
        <v>0</v>
      </c>
      <c r="I24" s="58">
        <f t="shared" si="1"/>
        <v>0</v>
      </c>
      <c r="J24" s="7">
        <v>14</v>
      </c>
      <c r="K24" s="67"/>
      <c r="L24" s="37"/>
      <c r="M24" s="56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12"/>
    </row>
    <row r="25" spans="1:29" ht="15" customHeight="1" thickTop="1" thickBot="1" x14ac:dyDescent="0.3">
      <c r="A25" s="41"/>
      <c r="B25" s="7">
        <v>15</v>
      </c>
      <c r="C25" s="1"/>
      <c r="D25" s="6">
        <f t="shared" si="3"/>
        <v>0</v>
      </c>
      <c r="E25" s="19" t="str">
        <f t="shared" si="2"/>
        <v>Em Branco/Folga</v>
      </c>
      <c r="F25" s="26" t="str">
        <f t="shared" si="4"/>
        <v>Em Branco</v>
      </c>
      <c r="G25" s="58">
        <f>(($Z$11)*($N$11+SUM($C$11:C24)+SUM($K$11:K25)+SUM($L$11:L25)))</f>
        <v>0</v>
      </c>
      <c r="H25" s="58">
        <f>((0.01)*($N$11+SUM($C$11:C24)+SUM($K$11:K25)+SUM($L$11:L25))*3)</f>
        <v>0</v>
      </c>
      <c r="I25" s="58">
        <f t="shared" si="1"/>
        <v>0</v>
      </c>
      <c r="J25" s="7">
        <v>15</v>
      </c>
      <c r="K25" s="68"/>
      <c r="L25" s="38"/>
      <c r="M25" s="56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12"/>
    </row>
    <row r="26" spans="1:29" ht="15" customHeight="1" thickTop="1" thickBot="1" x14ac:dyDescent="0.3">
      <c r="A26" s="41"/>
      <c r="B26" s="7">
        <v>16</v>
      </c>
      <c r="C26" s="2"/>
      <c r="D26" s="6">
        <f t="shared" si="3"/>
        <v>0</v>
      </c>
      <c r="E26" s="19" t="str">
        <f t="shared" si="2"/>
        <v>Em Branco/Folga</v>
      </c>
      <c r="F26" s="26" t="str">
        <f t="shared" si="4"/>
        <v>Em Branco</v>
      </c>
      <c r="G26" s="58">
        <f>(($Z$11)*($N$11+SUM($C$11:C25)+SUM($K$11:K26)+SUM($L$11:L26)))</f>
        <v>0</v>
      </c>
      <c r="H26" s="58">
        <f>((0.01)*($N$11+SUM($C$11:C25)+SUM($K$11:K26)+SUM($L$11:L26))*3)</f>
        <v>0</v>
      </c>
      <c r="I26" s="58">
        <f t="shared" si="1"/>
        <v>0</v>
      </c>
      <c r="J26" s="7">
        <v>16</v>
      </c>
      <c r="K26" s="67"/>
      <c r="L26" s="37"/>
      <c r="M26" s="56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12"/>
    </row>
    <row r="27" spans="1:29" ht="15" customHeight="1" thickTop="1" thickBot="1" x14ac:dyDescent="0.3">
      <c r="A27" s="41"/>
      <c r="B27" s="7">
        <v>17</v>
      </c>
      <c r="C27" s="1"/>
      <c r="D27" s="6">
        <f t="shared" si="3"/>
        <v>0</v>
      </c>
      <c r="E27" s="19" t="str">
        <f t="shared" si="2"/>
        <v>Em Branco/Folga</v>
      </c>
      <c r="F27" s="26" t="str">
        <f t="shared" si="4"/>
        <v>Em Branco</v>
      </c>
      <c r="G27" s="58">
        <f>(($Z$11)*($N$11+SUM($C$11:C26)+SUM($K$11:K27)+SUM($L$11:L27)))</f>
        <v>0</v>
      </c>
      <c r="H27" s="58">
        <f>((0.01)*($N$11+SUM($C$11:C26)+SUM($K$11:K27)+SUM($L$11:L27))*3)</f>
        <v>0</v>
      </c>
      <c r="I27" s="58">
        <f t="shared" si="1"/>
        <v>0</v>
      </c>
      <c r="J27" s="7">
        <v>17</v>
      </c>
      <c r="K27" s="68"/>
      <c r="L27" s="38"/>
      <c r="M27" s="56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12"/>
    </row>
    <row r="28" spans="1:29" ht="15" customHeight="1" thickTop="1" thickBot="1" x14ac:dyDescent="0.3">
      <c r="A28" s="41"/>
      <c r="B28" s="7">
        <v>18</v>
      </c>
      <c r="C28" s="2"/>
      <c r="D28" s="6">
        <f t="shared" si="3"/>
        <v>0</v>
      </c>
      <c r="E28" s="19" t="str">
        <f t="shared" si="2"/>
        <v>Em Branco/Folga</v>
      </c>
      <c r="F28" s="26" t="str">
        <f t="shared" si="4"/>
        <v>Em Branco</v>
      </c>
      <c r="G28" s="58">
        <f>(($Z$11)*($N$11+SUM($C$11:C27)+SUM($K$11:K28)+SUM($L$11:L28)))</f>
        <v>0</v>
      </c>
      <c r="H28" s="58">
        <f>((0.01)*($N$11+SUM($C$11:C27)+SUM($K$11:K28)+SUM($L$11:L28))*3)</f>
        <v>0</v>
      </c>
      <c r="I28" s="58">
        <f t="shared" si="1"/>
        <v>0</v>
      </c>
      <c r="J28" s="7">
        <v>18</v>
      </c>
      <c r="K28" s="67"/>
      <c r="L28" s="37"/>
      <c r="M28" s="56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12"/>
    </row>
    <row r="29" spans="1:29" ht="15" customHeight="1" thickTop="1" thickBot="1" x14ac:dyDescent="0.3">
      <c r="A29" s="41"/>
      <c r="B29" s="7">
        <v>19</v>
      </c>
      <c r="C29" s="1"/>
      <c r="D29" s="6">
        <f t="shared" si="3"/>
        <v>0</v>
      </c>
      <c r="E29" s="19" t="str">
        <f t="shared" si="2"/>
        <v>Em Branco/Folga</v>
      </c>
      <c r="F29" s="26" t="str">
        <f t="shared" si="4"/>
        <v>Em Branco</v>
      </c>
      <c r="G29" s="58">
        <f>(($Z$11)*($N$11+SUM($C$11:C28)+SUM($K$11:K29)+SUM($L$11:L29)))</f>
        <v>0</v>
      </c>
      <c r="H29" s="58">
        <f>((0.01)*($N$11+SUM($C$11:C28)+SUM($K$11:K29)+SUM($L$11:L29))*3)</f>
        <v>0</v>
      </c>
      <c r="I29" s="58">
        <f t="shared" si="1"/>
        <v>0</v>
      </c>
      <c r="J29" s="7">
        <v>19</v>
      </c>
      <c r="K29" s="68"/>
      <c r="L29" s="38"/>
      <c r="M29" s="56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12"/>
    </row>
    <row r="30" spans="1:29" ht="15" customHeight="1" thickTop="1" thickBot="1" x14ac:dyDescent="0.3">
      <c r="A30" s="41"/>
      <c r="B30" s="7">
        <v>20</v>
      </c>
      <c r="C30" s="2"/>
      <c r="D30" s="6">
        <f t="shared" si="3"/>
        <v>0</v>
      </c>
      <c r="E30" s="19" t="str">
        <f t="shared" si="2"/>
        <v>Em Branco/Folga</v>
      </c>
      <c r="F30" s="26" t="str">
        <f t="shared" si="4"/>
        <v>Em Branco</v>
      </c>
      <c r="G30" s="58">
        <f>(($Z$11)*($N$11+SUM($C$11:C29)+SUM($K$11:K30)+SUM($L$11:L30)))</f>
        <v>0</v>
      </c>
      <c r="H30" s="58">
        <f>((0.01)*($N$11+SUM($C$11:C29)+SUM($K$11:K30)+SUM($L$11:L30))*3)</f>
        <v>0</v>
      </c>
      <c r="I30" s="58">
        <f t="shared" si="1"/>
        <v>0</v>
      </c>
      <c r="J30" s="7">
        <v>20</v>
      </c>
      <c r="K30" s="67"/>
      <c r="L30" s="37"/>
      <c r="M30" s="56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12"/>
    </row>
    <row r="31" spans="1:29" ht="15" customHeight="1" thickTop="1" thickBot="1" x14ac:dyDescent="0.3">
      <c r="A31" s="41"/>
      <c r="B31" s="7">
        <v>21</v>
      </c>
      <c r="C31" s="1"/>
      <c r="D31" s="6">
        <f t="shared" si="3"/>
        <v>0</v>
      </c>
      <c r="E31" s="19" t="str">
        <f t="shared" si="2"/>
        <v>Em Branco/Folga</v>
      </c>
      <c r="F31" s="26" t="str">
        <f t="shared" si="4"/>
        <v>Em Branco</v>
      </c>
      <c r="G31" s="58">
        <f>(($Z$11)*($N$11+SUM($C$11:C30)+SUM($K$11:K31)+SUM($L$11:L31)))</f>
        <v>0</v>
      </c>
      <c r="H31" s="58">
        <f>((0.01)*($N$11+SUM($C$11:C30)+SUM($K$11:K31)+SUM($L$11:L31))*3)</f>
        <v>0</v>
      </c>
      <c r="I31" s="58">
        <f t="shared" si="1"/>
        <v>0</v>
      </c>
      <c r="J31" s="7">
        <v>21</v>
      </c>
      <c r="K31" s="68"/>
      <c r="L31" s="38"/>
      <c r="M31" s="56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12"/>
    </row>
    <row r="32" spans="1:29" ht="15" customHeight="1" thickTop="1" thickBot="1" x14ac:dyDescent="0.3">
      <c r="A32" s="41"/>
      <c r="B32" s="7">
        <v>22</v>
      </c>
      <c r="C32" s="1"/>
      <c r="D32" s="6">
        <f t="shared" si="3"/>
        <v>0</v>
      </c>
      <c r="E32" s="19" t="str">
        <f t="shared" si="2"/>
        <v>Em Branco/Folga</v>
      </c>
      <c r="F32" s="26" t="str">
        <f t="shared" si="4"/>
        <v>Em Branco</v>
      </c>
      <c r="G32" s="58">
        <f>(($Z$11)*($N$11+SUM($C$11:C31)+SUM($K$11:K32)+SUM($L$11:L32)))</f>
        <v>0</v>
      </c>
      <c r="H32" s="58">
        <f>((0.01)*($N$11+SUM($C$11:C31)+SUM($K$11:K32)+SUM($L$11:L32))*3)</f>
        <v>0</v>
      </c>
      <c r="I32" s="58">
        <f t="shared" si="1"/>
        <v>0</v>
      </c>
      <c r="J32" s="7">
        <v>22</v>
      </c>
      <c r="K32" s="68"/>
      <c r="L32" s="38"/>
      <c r="M32" s="56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ht="15" customHeight="1" thickTop="1" thickBot="1" x14ac:dyDescent="0.3">
      <c r="A33" s="41"/>
      <c r="B33" s="7">
        <v>23</v>
      </c>
      <c r="C33" s="1"/>
      <c r="D33" s="6">
        <f t="shared" si="3"/>
        <v>0</v>
      </c>
      <c r="E33" s="19" t="str">
        <f t="shared" si="2"/>
        <v>Em Branco/Folga</v>
      </c>
      <c r="F33" s="26" t="str">
        <f t="shared" si="4"/>
        <v>Em Branco</v>
      </c>
      <c r="G33" s="58">
        <f>(($Z$11)*($N$11+SUM($C$11:C32)+SUM($K$11:K33)+SUM($L$11:L33)))</f>
        <v>0</v>
      </c>
      <c r="H33" s="58">
        <f>((0.01)*($N$11+SUM($C$11:C32)+SUM($K$11:K33)+SUM($L$11:L33))*3)</f>
        <v>0</v>
      </c>
      <c r="I33" s="58">
        <f t="shared" si="1"/>
        <v>0</v>
      </c>
      <c r="J33" s="7">
        <v>23</v>
      </c>
      <c r="K33" s="68"/>
      <c r="L33" s="38"/>
      <c r="M33" s="56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ht="15" customHeight="1" thickTop="1" thickBot="1" x14ac:dyDescent="0.3">
      <c r="A34" s="41"/>
      <c r="B34" s="7">
        <v>24</v>
      </c>
      <c r="C34" s="1"/>
      <c r="D34" s="6">
        <f t="shared" si="3"/>
        <v>0</v>
      </c>
      <c r="E34" s="19" t="str">
        <f t="shared" si="2"/>
        <v>Em Branco/Folga</v>
      </c>
      <c r="F34" s="26" t="str">
        <f t="shared" si="4"/>
        <v>Em Branco</v>
      </c>
      <c r="G34" s="58">
        <f>(($Z$11)*($N$11+SUM($C$11:C33)+SUM($K$11:K34)+SUM($L$11:L34)))</f>
        <v>0</v>
      </c>
      <c r="H34" s="58">
        <f>((0.01)*($N$11+SUM($C$11:C33)+SUM($K$11:K34)+SUM($L$11:L34))*3)</f>
        <v>0</v>
      </c>
      <c r="I34" s="58">
        <f t="shared" si="1"/>
        <v>0</v>
      </c>
      <c r="J34" s="7">
        <v>24</v>
      </c>
      <c r="K34" s="68"/>
      <c r="L34" s="38"/>
      <c r="M34" s="56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ht="15" customHeight="1" thickTop="1" thickBot="1" x14ac:dyDescent="0.3">
      <c r="A35" s="41"/>
      <c r="B35" s="7">
        <v>25</v>
      </c>
      <c r="C35" s="1"/>
      <c r="D35" s="6">
        <f t="shared" si="3"/>
        <v>0</v>
      </c>
      <c r="E35" s="19" t="str">
        <f t="shared" si="2"/>
        <v>Em Branco/Folga</v>
      </c>
      <c r="F35" s="26" t="str">
        <f t="shared" si="4"/>
        <v>Em Branco</v>
      </c>
      <c r="G35" s="58">
        <f>(($Z$11)*($N$11+SUM($C$11:C34)+SUM($K$11:K35)+SUM($L$11:L35)))</f>
        <v>0</v>
      </c>
      <c r="H35" s="58">
        <f>((0.01)*($N$11+SUM($C$11:C34)+SUM($K$11:K35)+SUM($L$11:L35))*3)</f>
        <v>0</v>
      </c>
      <c r="I35" s="58">
        <f t="shared" si="1"/>
        <v>0</v>
      </c>
      <c r="J35" s="7">
        <v>25</v>
      </c>
      <c r="K35" s="68"/>
      <c r="L35" s="38"/>
      <c r="M35" s="56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ht="15" customHeight="1" thickTop="1" thickBot="1" x14ac:dyDescent="0.3">
      <c r="A36" s="41"/>
      <c r="B36" s="7">
        <v>26</v>
      </c>
      <c r="C36" s="1"/>
      <c r="D36" s="6">
        <f t="shared" si="3"/>
        <v>0</v>
      </c>
      <c r="E36" s="19" t="str">
        <f t="shared" si="2"/>
        <v>Em Branco/Folga</v>
      </c>
      <c r="F36" s="26" t="str">
        <f t="shared" si="4"/>
        <v>Em Branco</v>
      </c>
      <c r="G36" s="58">
        <f>(($Z$11)*($N$11+SUM($C$11:C35)+SUM($K$11:K36)+SUM($L$11:L36)))</f>
        <v>0</v>
      </c>
      <c r="H36" s="58">
        <f>((0.01)*($N$11+SUM($C$11:C35)+SUM($K$11:K36)+SUM($L$11:L36))*3)</f>
        <v>0</v>
      </c>
      <c r="I36" s="58">
        <f t="shared" si="1"/>
        <v>0</v>
      </c>
      <c r="J36" s="7">
        <v>26</v>
      </c>
      <c r="K36" s="68"/>
      <c r="L36" s="38"/>
      <c r="M36" s="56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  <row r="37" spans="1:28" ht="15" customHeight="1" thickTop="1" thickBot="1" x14ac:dyDescent="0.3">
      <c r="A37" s="41"/>
      <c r="B37" s="7">
        <v>27</v>
      </c>
      <c r="C37" s="1"/>
      <c r="D37" s="6">
        <f t="shared" si="3"/>
        <v>0</v>
      </c>
      <c r="E37" s="19" t="str">
        <f t="shared" si="2"/>
        <v>Em Branco/Folga</v>
      </c>
      <c r="F37" s="26" t="str">
        <f t="shared" si="4"/>
        <v>Em Branco</v>
      </c>
      <c r="G37" s="58">
        <f>(($Z$11)*($N$11+SUM($C$11:C36)+SUM($K$11:K37)+SUM($L$11:L37)))</f>
        <v>0</v>
      </c>
      <c r="H37" s="58">
        <f>((0.01)*($N$11+SUM($C$11:C36)+SUM($K$11:K37)+SUM($L$11:L37))*3)</f>
        <v>0</v>
      </c>
      <c r="I37" s="58">
        <f t="shared" si="1"/>
        <v>0</v>
      </c>
      <c r="J37" s="7">
        <v>27</v>
      </c>
      <c r="K37" s="68"/>
      <c r="L37" s="38"/>
      <c r="M37" s="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</row>
    <row r="38" spans="1:28" ht="15" customHeight="1" thickTop="1" thickBot="1" x14ac:dyDescent="0.3">
      <c r="A38" s="41"/>
      <c r="B38" s="7">
        <v>28</v>
      </c>
      <c r="C38" s="1"/>
      <c r="D38" s="6">
        <f t="shared" si="3"/>
        <v>0</v>
      </c>
      <c r="E38" s="19" t="str">
        <f t="shared" si="2"/>
        <v>Em Branco/Folga</v>
      </c>
      <c r="F38" s="26" t="str">
        <f t="shared" si="4"/>
        <v>Em Branco</v>
      </c>
      <c r="G38" s="58">
        <f>(($Z$11)*($N$11+SUM($C$11:C37)+SUM($K$11:K38)+SUM($L$11:L38)))</f>
        <v>0</v>
      </c>
      <c r="H38" s="58">
        <f>((0.01)*($N$11+SUM($C$11:C37)+SUM($K$11:K38)+SUM($L$11:L38))*3)</f>
        <v>0</v>
      </c>
      <c r="I38" s="58">
        <f t="shared" si="1"/>
        <v>0</v>
      </c>
      <c r="J38" s="7">
        <v>28</v>
      </c>
      <c r="K38" s="68"/>
      <c r="L38" s="38"/>
      <c r="M38" s="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</row>
    <row r="39" spans="1:28" ht="15" customHeight="1" thickTop="1" thickBot="1" x14ac:dyDescent="0.3">
      <c r="A39" s="41"/>
      <c r="B39" s="7">
        <v>29</v>
      </c>
      <c r="C39" s="2"/>
      <c r="D39" s="6">
        <f t="shared" si="3"/>
        <v>0</v>
      </c>
      <c r="E39" s="19" t="str">
        <f t="shared" si="2"/>
        <v>Em Branco/Folga</v>
      </c>
      <c r="F39" s="26" t="str">
        <f t="shared" si="4"/>
        <v>Em Branco</v>
      </c>
      <c r="G39" s="58">
        <f>(($Z$11)*($N$11+SUM($C$11:C38)+SUM($K$11:K39)+SUM($L$11:L39)))</f>
        <v>0</v>
      </c>
      <c r="H39" s="58">
        <f>((0.01)*($N$11+SUM($C$11:C38)+SUM($K$11:K39)+SUM($L$11:L39))*3)</f>
        <v>0</v>
      </c>
      <c r="I39" s="58">
        <f t="shared" si="1"/>
        <v>0</v>
      </c>
      <c r="J39" s="7">
        <v>29</v>
      </c>
      <c r="K39" s="67"/>
      <c r="L39" s="37"/>
      <c r="M39" s="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</row>
    <row r="40" spans="1:28" ht="15" customHeight="1" thickTop="1" thickBot="1" x14ac:dyDescent="0.3">
      <c r="A40" s="41"/>
      <c r="B40" s="7">
        <v>30</v>
      </c>
      <c r="C40" s="1"/>
      <c r="D40" s="6">
        <f t="shared" si="3"/>
        <v>0</v>
      </c>
      <c r="E40" s="19" t="str">
        <f t="shared" si="2"/>
        <v>Em Branco/Folga</v>
      </c>
      <c r="F40" s="26" t="str">
        <f t="shared" si="4"/>
        <v>Em Branco</v>
      </c>
      <c r="G40" s="58">
        <f>(($Z$11)*($N$11+SUM($C$11:C39)+SUM($K$11:K40)+SUM($L$11:L40)))</f>
        <v>0</v>
      </c>
      <c r="H40" s="58">
        <f>((0.01)*($N$11+SUM($C$11:C39)+SUM($K$11:K40)+SUM($L$11:L40))*3)</f>
        <v>0</v>
      </c>
      <c r="I40" s="58">
        <f t="shared" si="1"/>
        <v>0</v>
      </c>
      <c r="J40" s="7">
        <v>30</v>
      </c>
      <c r="K40" s="68"/>
      <c r="L40" s="38"/>
      <c r="M40" s="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</row>
    <row r="41" spans="1:28" ht="15.75" customHeight="1" thickTop="1" thickBot="1" x14ac:dyDescent="0.3">
      <c r="A41" s="41"/>
      <c r="B41" s="8">
        <v>31</v>
      </c>
      <c r="C41" s="3"/>
      <c r="D41" s="9">
        <f t="shared" si="3"/>
        <v>0</v>
      </c>
      <c r="E41" s="20" t="str">
        <f t="shared" si="2"/>
        <v>Em Branco/Folga</v>
      </c>
      <c r="F41" s="27" t="str">
        <f t="shared" si="4"/>
        <v>Em Branco</v>
      </c>
      <c r="G41" s="58">
        <f>(($Z$11)*($N$11+SUM($C$11:C40)+SUM($K$11:K41)+SUM($L$11:L41)))</f>
        <v>0</v>
      </c>
      <c r="H41" s="58">
        <f>((0.01)*($N$11+SUM($C$11:C40)+SUM($K$11:K41)+SUM($L$11:L41))*3)</f>
        <v>0</v>
      </c>
      <c r="I41" s="58">
        <f t="shared" si="1"/>
        <v>0</v>
      </c>
      <c r="J41" s="8">
        <v>31</v>
      </c>
      <c r="K41" s="69"/>
      <c r="L41" s="39"/>
      <c r="M41" s="56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</row>
    <row r="42" spans="1:28" x14ac:dyDescent="0.25">
      <c r="A42" s="41"/>
      <c r="B42" s="41"/>
      <c r="C42" s="41"/>
      <c r="D42" s="51"/>
      <c r="E42" s="41"/>
      <c r="F42" s="42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</row>
  </sheetData>
  <sheetProtection algorithmName="SHA-512" hashValue="vz+775asoIFAF9Vg/ssmga30+oGB9vwGZXnWO2M/D0dKRR6EJqvYjZWs3RIt9aDyMNvWJhw8rm7kKmCH84l7gA==" saltValue="5GEeLgDuW44NagFwfK+r7A==" spinCount="100000" sheet="1" selectLockedCells="1"/>
  <mergeCells count="11">
    <mergeCell ref="D2:E2"/>
    <mergeCell ref="B9:D9"/>
    <mergeCell ref="E9:F9"/>
    <mergeCell ref="J9:L9"/>
    <mergeCell ref="N10:O10"/>
    <mergeCell ref="R10:S10"/>
    <mergeCell ref="V10:W10"/>
    <mergeCell ref="N11:O11"/>
    <mergeCell ref="P11:Q11"/>
    <mergeCell ref="R11:S11"/>
    <mergeCell ref="P10:Q10"/>
  </mergeCells>
  <conditionalFormatting sqref="C11:C31 C41">
    <cfRule type="containsBlanks" dxfId="132" priority="40">
      <formula>LEN(TRIM(C11))=0</formula>
    </cfRule>
    <cfRule type="cellIs" dxfId="131" priority="41" operator="equal">
      <formula>0</formula>
    </cfRule>
    <cfRule type="cellIs" dxfId="130" priority="42" operator="greaterThan">
      <formula>0</formula>
    </cfRule>
    <cfRule type="cellIs" dxfId="129" priority="43" operator="lessThan">
      <formula>0</formula>
    </cfRule>
  </conditionalFormatting>
  <conditionalFormatting sqref="E11:F41">
    <cfRule type="containsText" dxfId="128" priority="37" operator="containsText" text="Não Atingiu">
      <formula>NOT(ISERROR(SEARCH("Não Atingiu",E11)))</formula>
    </cfRule>
    <cfRule type="containsText" dxfId="127" priority="38" operator="containsText" text="Prejuizo">
      <formula>NOT(ISERROR(SEARCH("Prejuizo",E11)))</formula>
    </cfRule>
    <cfRule type="containsText" dxfId="126" priority="39" operator="containsText" text="Atingiu">
      <formula>NOT(ISERROR(SEARCH("Atingiu",E11)))</formula>
    </cfRule>
  </conditionalFormatting>
  <conditionalFormatting sqref="E12:F12">
    <cfRule type="cellIs" dxfId="125" priority="36" operator="equal">
      <formula>"Em Branco/Folga"</formula>
    </cfRule>
  </conditionalFormatting>
  <conditionalFormatting sqref="E11:F11">
    <cfRule type="cellIs" dxfId="124" priority="35" operator="equal">
      <formula>"Em Branco/Folga"</formula>
    </cfRule>
  </conditionalFormatting>
  <conditionalFormatting sqref="E13:F41">
    <cfRule type="cellIs" dxfId="123" priority="34" operator="equal">
      <formula>"Em Branco/Folga"</formula>
    </cfRule>
  </conditionalFormatting>
  <conditionalFormatting sqref="F11">
    <cfRule type="cellIs" dxfId="122" priority="26" operator="equal">
      <formula>"Está Arriscando Sua Banca"</formula>
    </cfRule>
    <cfRule type="cellIs" dxfId="121" priority="31" operator="equal">
      <formula>"Está Se Arriscando Acima De 3%"</formula>
    </cfRule>
    <cfRule type="cellIs" dxfId="120" priority="32" operator="equal">
      <formula>"Parabéns Seguiu Gerenciamento"</formula>
    </cfRule>
    <cfRule type="cellIs" dxfId="119" priority="33" operator="equal">
      <formula>"Em Branco"</formula>
    </cfRule>
  </conditionalFormatting>
  <conditionalFormatting sqref="F12:F41">
    <cfRule type="cellIs" dxfId="118" priority="30" operator="equal">
      <formula>"Em Branco/Folga"</formula>
    </cfRule>
  </conditionalFormatting>
  <conditionalFormatting sqref="F12:F41">
    <cfRule type="cellIs" dxfId="117" priority="27" operator="equal">
      <formula>"Está Se Arriscando Acima De 3%"</formula>
    </cfRule>
    <cfRule type="cellIs" dxfId="116" priority="28" operator="equal">
      <formula>"Parabéns Seguiu Gerenciamento"</formula>
    </cfRule>
    <cfRule type="cellIs" dxfId="115" priority="29" operator="equal">
      <formula>"Em Branco"</formula>
    </cfRule>
  </conditionalFormatting>
  <conditionalFormatting sqref="F12:F41">
    <cfRule type="cellIs" dxfId="114" priority="25" operator="equal">
      <formula>"Em Branco/Folga"</formula>
    </cfRule>
  </conditionalFormatting>
  <conditionalFormatting sqref="F12:F41">
    <cfRule type="cellIs" dxfId="113" priority="21" operator="equal">
      <formula>"Está Arriscando Sua Banca"</formula>
    </cfRule>
    <cfRule type="cellIs" dxfId="112" priority="22" operator="equal">
      <formula>"Está Se Arriscando Acima De 3%"</formula>
    </cfRule>
    <cfRule type="cellIs" dxfId="111" priority="23" operator="equal">
      <formula>"Parabéns Seguiu Gerenciamento"</formula>
    </cfRule>
    <cfRule type="cellIs" dxfId="110" priority="24" operator="equal">
      <formula>"Em Branco"</formula>
    </cfRule>
  </conditionalFormatting>
  <conditionalFormatting sqref="C32:C40">
    <cfRule type="containsBlanks" dxfId="109" priority="17">
      <formula>LEN(TRIM(C32))=0</formula>
    </cfRule>
    <cfRule type="cellIs" dxfId="108" priority="18" operator="equal">
      <formula>0</formula>
    </cfRule>
    <cfRule type="cellIs" dxfId="107" priority="19" operator="greaterThan">
      <formula>0</formula>
    </cfRule>
    <cfRule type="cellIs" dxfId="106" priority="20" operator="lessThan">
      <formula>0</formula>
    </cfRule>
  </conditionalFormatting>
  <conditionalFormatting sqref="K11:K31 K41">
    <cfRule type="containsBlanks" dxfId="105" priority="13">
      <formula>LEN(TRIM(K11))=0</formula>
    </cfRule>
    <cfRule type="cellIs" dxfId="104" priority="14" operator="equal">
      <formula>0</formula>
    </cfRule>
    <cfRule type="cellIs" dxfId="103" priority="15" operator="greaterThan">
      <formula>0</formula>
    </cfRule>
    <cfRule type="cellIs" dxfId="102" priority="16" operator="lessThan">
      <formula>0</formula>
    </cfRule>
  </conditionalFormatting>
  <conditionalFormatting sqref="K32:K40">
    <cfRule type="containsBlanks" dxfId="101" priority="9">
      <formula>LEN(TRIM(K32))=0</formula>
    </cfRule>
    <cfRule type="cellIs" dxfId="100" priority="10" operator="equal">
      <formula>0</formula>
    </cfRule>
    <cfRule type="cellIs" dxfId="99" priority="11" operator="greaterThan">
      <formula>0</formula>
    </cfRule>
    <cfRule type="cellIs" dxfId="98" priority="12" operator="lessThan">
      <formula>0</formula>
    </cfRule>
  </conditionalFormatting>
  <conditionalFormatting sqref="L11:M31 L41:M41">
    <cfRule type="containsBlanks" dxfId="97" priority="5">
      <formula>LEN(TRIM(L11))=0</formula>
    </cfRule>
    <cfRule type="cellIs" dxfId="96" priority="6" operator="equal">
      <formula>0</formula>
    </cfRule>
    <cfRule type="cellIs" dxfId="95" priority="7" operator="greaterThan">
      <formula>0</formula>
    </cfRule>
    <cfRule type="cellIs" dxfId="94" priority="8" operator="lessThan">
      <formula>0</formula>
    </cfRule>
  </conditionalFormatting>
  <conditionalFormatting sqref="L32:M40">
    <cfRule type="containsBlanks" dxfId="93" priority="1">
      <formula>LEN(TRIM(L32))=0</formula>
    </cfRule>
    <cfRule type="cellIs" dxfId="92" priority="2" operator="equal">
      <formula>0</formula>
    </cfRule>
    <cfRule type="cellIs" dxfId="91" priority="3" operator="greaterThan">
      <formula>0</formula>
    </cfRule>
    <cfRule type="cellIs" dxfId="90" priority="4" operator="lessThan">
      <formula>0</formula>
    </cfRule>
  </conditionalFormatting>
  <dataValidations count="7">
    <dataValidation type="decimal" allowBlank="1" showErrorMessage="1" errorTitle="ATENÇÃO" error="APENAS NÚMEROS" sqref="K11:K41" xr:uid="{83A59191-653F-440C-8DB0-070CF032D180}">
      <formula1>-999999999999999000</formula1>
      <formula2>999999999999999000</formula2>
    </dataValidation>
    <dataValidation type="decimal" allowBlank="1" showInputMessage="1" showErrorMessage="1" errorTitle="ATENÇÃO" error="APENAS NÚMEROS" promptTitle="SAQUES" prompt="COLOCAR SINAL NEGATIVO" sqref="L11:L41" xr:uid="{4463543C-8C1E-4F30-9E53-472DA76C7EB1}">
      <formula1>-999999999999999000</formula1>
      <formula2>999999999999999000</formula2>
    </dataValidation>
    <dataValidation allowBlank="1" showInputMessage="1" showErrorMessage="1" errorTitle="ATENÇÃO" error="SELECIONE O MÊS DE REFERÊNCIA" sqref="J9 M9" xr:uid="{FF5BB015-682B-4E90-992B-136B987B6397}"/>
    <dataValidation type="decimal" allowBlank="1" showInputMessage="1" showErrorMessage="1" errorTitle="ATENÇÃO" error="APENAS NÚMEROS" sqref="N11:O11 C11:C41 M11:M41" xr:uid="{FE3B9030-FCE2-4407-9EBE-0B785650D4F0}">
      <formula1>-999999999999999000</formula1>
      <formula2>999999999999999000</formula2>
    </dataValidation>
    <dataValidation type="list" allowBlank="1" showInputMessage="1" showErrorMessage="1" errorTitle="ATENÇÃO" error="SELECIONE O MÊS DE REFERÊNCIA" sqref="E9" xr:uid="{EEA8EEF0-6065-41A0-B8EA-2040455DEE33}">
      <formula1>$AC$6:$AC$17</formula1>
    </dataValidation>
    <dataValidation type="decimal" allowBlank="1" showInputMessage="1" showErrorMessage="1" errorTitle="GERENCIAMENTO" error="SIGA O GERENCIAMENTO DE 1% A 3%" sqref="Z11" xr:uid="{0FDC2A8D-0408-4B51-8882-5B776A8FEB7E}">
      <formula1>0.000001</formula1>
      <formula2>0.03</formula2>
    </dataValidation>
    <dataValidation type="list" allowBlank="1" showInputMessage="1" showErrorMessage="1" sqref="E13:E41" xr:uid="{2089F41B-876E-4C15-B03B-6E4CDD3557C6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FC407-EC0F-4FD2-9D29-B07B6F7F9B02}">
  <sheetPr codeName="Planilha18">
    <tabColor rgb="FFFFC000"/>
  </sheetPr>
  <dimension ref="A1:AC42"/>
  <sheetViews>
    <sheetView showGridLines="0" showRowColHeaders="0" zoomScale="85" zoomScaleNormal="85" workbookViewId="0">
      <selection activeCell="E9" sqref="E9:F9"/>
    </sheetView>
  </sheetViews>
  <sheetFormatPr defaultColWidth="0" defaultRowHeight="15" customHeight="1" zeroHeight="1" x14ac:dyDescent="0.25"/>
  <cols>
    <col min="1" max="1" width="3.7109375" style="4" customWidth="1"/>
    <col min="2" max="2" width="4.5703125" style="4" customWidth="1"/>
    <col min="3" max="3" width="12.7109375" style="4" customWidth="1"/>
    <col min="4" max="4" width="12.140625" style="4" customWidth="1"/>
    <col min="5" max="5" width="15.7109375" style="4" customWidth="1"/>
    <col min="6" max="6" width="30.7109375" style="25" customWidth="1"/>
    <col min="7" max="9" width="0.5703125" style="4" customWidth="1"/>
    <col min="10" max="10" width="4.5703125" style="4" customWidth="1"/>
    <col min="11" max="12" width="15.7109375" style="4" customWidth="1"/>
    <col min="13" max="13" width="1.7109375" style="4" customWidth="1"/>
    <col min="14" max="14" width="15.7109375" style="4" customWidth="1"/>
    <col min="15" max="15" width="9.5703125" style="4" bestFit="1" customWidth="1"/>
    <col min="16" max="20" width="9.140625" style="4" customWidth="1"/>
    <col min="21" max="21" width="12.140625" style="4" customWidth="1"/>
    <col min="22" max="22" width="12.85546875" style="4" customWidth="1"/>
    <col min="23" max="23" width="18" style="4" customWidth="1"/>
    <col min="24" max="24" width="13.85546875" style="4" customWidth="1"/>
    <col min="25" max="25" width="15.140625" style="4" customWidth="1"/>
    <col min="26" max="26" width="9.7109375" style="4" bestFit="1" customWidth="1"/>
    <col min="27" max="28" width="2.28515625" style="4" customWidth="1"/>
    <col min="29" max="16384" width="9.140625" style="4" hidden="1"/>
  </cols>
  <sheetData>
    <row r="1" spans="1:29" x14ac:dyDescent="0.25">
      <c r="A1" s="41"/>
      <c r="B1" s="41"/>
      <c r="C1" s="41"/>
      <c r="D1" s="41"/>
      <c r="E1" s="41"/>
      <c r="F1" s="42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3"/>
      <c r="AB1" s="41"/>
      <c r="AC1" s="10">
        <v>0.01</v>
      </c>
    </row>
    <row r="2" spans="1:29" x14ac:dyDescent="0.25">
      <c r="A2" s="41"/>
      <c r="B2" s="41"/>
      <c r="C2" s="44" t="s">
        <v>103</v>
      </c>
      <c r="D2" s="79">
        <f ca="1">TODAY()</f>
        <v>44422</v>
      </c>
      <c r="E2" s="80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59" t="s">
        <v>110</v>
      </c>
      <c r="Z2" s="41"/>
      <c r="AA2" s="43"/>
      <c r="AB2" s="41"/>
      <c r="AC2" s="10"/>
    </row>
    <row r="3" spans="1:29" x14ac:dyDescent="0.25">
      <c r="A3" s="41"/>
      <c r="B3" s="41"/>
      <c r="C3" s="41"/>
      <c r="D3" s="41"/>
      <c r="E3" s="41"/>
      <c r="F3" s="42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3"/>
      <c r="AB3" s="41"/>
      <c r="AC3" s="10"/>
    </row>
    <row r="4" spans="1:29" x14ac:dyDescent="0.25">
      <c r="A4" s="41"/>
      <c r="B4" s="41"/>
      <c r="C4" s="41"/>
      <c r="D4" s="41"/>
      <c r="E4" s="41"/>
      <c r="F4" s="42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3"/>
      <c r="AB4" s="41"/>
      <c r="AC4" s="10">
        <v>0.02</v>
      </c>
    </row>
    <row r="5" spans="1:29" x14ac:dyDescent="0.25">
      <c r="A5" s="41"/>
      <c r="B5" s="41"/>
      <c r="C5" s="41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3"/>
      <c r="AB5" s="41"/>
      <c r="AC5" s="10">
        <v>0.03</v>
      </c>
    </row>
    <row r="6" spans="1:29" x14ac:dyDescent="0.25">
      <c r="A6" s="41"/>
      <c r="B6" s="41"/>
      <c r="C6" s="41"/>
      <c r="D6" s="41"/>
      <c r="E6" s="41"/>
      <c r="F6" s="42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3"/>
      <c r="AB6" s="41"/>
      <c r="AC6" s="11" t="s">
        <v>26</v>
      </c>
    </row>
    <row r="7" spans="1:29" x14ac:dyDescent="0.25">
      <c r="A7" s="41"/>
      <c r="B7" s="41"/>
      <c r="C7" s="41"/>
      <c r="D7" s="41"/>
      <c r="E7" s="41"/>
      <c r="F7" s="42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3"/>
      <c r="AB7" s="41"/>
      <c r="AC7" s="11" t="s">
        <v>27</v>
      </c>
    </row>
    <row r="8" spans="1:29" ht="15.75" thickBot="1" x14ac:dyDescent="0.3">
      <c r="A8" s="41"/>
      <c r="B8" s="41"/>
      <c r="C8" s="41"/>
      <c r="D8" s="41"/>
      <c r="E8" s="41"/>
      <c r="F8" s="42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3"/>
      <c r="AB8" s="41"/>
      <c r="AC8" s="11" t="s">
        <v>28</v>
      </c>
    </row>
    <row r="9" spans="1:29" ht="19.5" thickBot="1" x14ac:dyDescent="0.3">
      <c r="A9" s="41"/>
      <c r="B9" s="81" t="s">
        <v>38</v>
      </c>
      <c r="C9" s="82"/>
      <c r="D9" s="83"/>
      <c r="E9" s="84" t="s">
        <v>36</v>
      </c>
      <c r="F9" s="85"/>
      <c r="G9" s="57"/>
      <c r="H9" s="57"/>
      <c r="I9" s="57"/>
      <c r="J9" s="81" t="s">
        <v>107</v>
      </c>
      <c r="K9" s="82"/>
      <c r="L9" s="88"/>
      <c r="M9" s="55"/>
      <c r="N9" s="5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3"/>
      <c r="AB9" s="41"/>
      <c r="AC9" s="11" t="s">
        <v>29</v>
      </c>
    </row>
    <row r="10" spans="1:29" ht="16.5" thickBot="1" x14ac:dyDescent="0.3">
      <c r="A10" s="41"/>
      <c r="B10" s="60" t="s">
        <v>0</v>
      </c>
      <c r="C10" s="61" t="s">
        <v>1</v>
      </c>
      <c r="D10" s="61" t="s">
        <v>3</v>
      </c>
      <c r="E10" s="61" t="s">
        <v>2</v>
      </c>
      <c r="F10" s="62" t="s">
        <v>105</v>
      </c>
      <c r="G10" s="57"/>
      <c r="H10" s="57"/>
      <c r="I10" s="57"/>
      <c r="J10" s="63" t="s">
        <v>0</v>
      </c>
      <c r="K10" s="64" t="s">
        <v>108</v>
      </c>
      <c r="L10" s="65" t="s">
        <v>109</v>
      </c>
      <c r="M10" s="40"/>
      <c r="N10" s="86" t="s">
        <v>5</v>
      </c>
      <c r="O10" s="87"/>
      <c r="P10" s="87" t="s">
        <v>4</v>
      </c>
      <c r="Q10" s="87"/>
      <c r="R10" s="87" t="s">
        <v>6</v>
      </c>
      <c r="S10" s="87"/>
      <c r="T10" s="53" t="s">
        <v>24</v>
      </c>
      <c r="U10" s="53" t="s">
        <v>23</v>
      </c>
      <c r="V10" s="75" t="s">
        <v>21</v>
      </c>
      <c r="W10" s="75"/>
      <c r="X10" s="53" t="s">
        <v>7</v>
      </c>
      <c r="Y10" s="53" t="s">
        <v>102</v>
      </c>
      <c r="Z10" s="5" t="s">
        <v>25</v>
      </c>
      <c r="AA10" s="43"/>
      <c r="AB10" s="41"/>
      <c r="AC10" s="11" t="s">
        <v>30</v>
      </c>
    </row>
    <row r="11" spans="1:29" ht="16.5" thickBot="1" x14ac:dyDescent="0.3">
      <c r="A11" s="41"/>
      <c r="B11" s="21">
        <v>1</v>
      </c>
      <c r="C11" s="22"/>
      <c r="D11" s="23">
        <f>N11+C11</f>
        <v>0</v>
      </c>
      <c r="E11" s="24" t="str">
        <f>IF(ISBLANK($C11),"Em Branco/Folga",IF($C11&gt;=$G11,"Atingiu",IF($C11&lt;0,"Prejuizo",IF($C11&lt;$G11,"Não Atingiu"))))</f>
        <v>Em Branco/Folga</v>
      </c>
      <c r="F11" s="26" t="str">
        <f t="shared" ref="F11:F15" si="0">IF(ISBLANK($C11),"Em Branco",IF($I11&gt;$C11,"Está Arriscando Sua Banca",IF($C11&lt;=$H11,"Parabéns Seguiu Gerenciamento","Está Se Arriscando Acima De 3%")))</f>
        <v>Em Branco</v>
      </c>
      <c r="G11" s="58">
        <f>(($Z$11)*($N$11+SUM($K$11:K11)+SUM($L$11:L11)))</f>
        <v>0</v>
      </c>
      <c r="H11" s="58">
        <f>((0.01)*($N$11+SUM($K$11:K11)+SUM($L$11:L11))*3)</f>
        <v>0</v>
      </c>
      <c r="I11" s="58">
        <f t="shared" ref="I11:I41" si="1">-$H11</f>
        <v>0</v>
      </c>
      <c r="J11" s="21">
        <v>1</v>
      </c>
      <c r="K11" s="66"/>
      <c r="L11" s="36"/>
      <c r="M11" s="56"/>
      <c r="N11" s="76">
        <v>0</v>
      </c>
      <c r="O11" s="77"/>
      <c r="P11" s="78">
        <f>Z11*R11</f>
        <v>0</v>
      </c>
      <c r="Q11" s="78"/>
      <c r="R11" s="78">
        <f>(SUM(N11+SUM(C11:C41)))+(SUM(K11:K41))+(SUM(L11:L41))</f>
        <v>0</v>
      </c>
      <c r="S11" s="78"/>
      <c r="T11" s="52">
        <f>P11*0.2</f>
        <v>0</v>
      </c>
      <c r="U11" s="46">
        <f>R11*0.03</f>
        <v>0</v>
      </c>
      <c r="V11" s="47">
        <f>(R11)-(N11)-(SUM(K11:K41))-(SUM(L11:L41))</f>
        <v>0</v>
      </c>
      <c r="W11" s="48">
        <f>V11*Y11</f>
        <v>0</v>
      </c>
      <c r="X11" s="49" t="e">
        <f>(($R$11-$N$11)/$N$11)</f>
        <v>#DIV/0!</v>
      </c>
      <c r="Y11" s="18">
        <f>COTAÇÃO!B6/1000000</f>
        <v>5.2</v>
      </c>
      <c r="Z11" s="73">
        <v>0.01</v>
      </c>
      <c r="AA11" s="43"/>
      <c r="AB11" s="41"/>
      <c r="AC11" s="11" t="s">
        <v>31</v>
      </c>
    </row>
    <row r="12" spans="1:29" ht="15" customHeight="1" thickTop="1" thickBot="1" x14ac:dyDescent="0.3">
      <c r="A12" s="41"/>
      <c r="B12" s="7">
        <v>2</v>
      </c>
      <c r="C12" s="2"/>
      <c r="D12" s="6">
        <f>D11+C12</f>
        <v>0</v>
      </c>
      <c r="E12" s="19" t="str">
        <f>IF(ISBLANK($C12),"Em Branco/Folga",IF($C12&gt;=$G12,"Atingiu",IF($C12&lt;0,"Prejuizo",IF($C12&lt;$G12,"Não Atingiu"))))</f>
        <v>Em Branco/Folga</v>
      </c>
      <c r="F12" s="26" t="str">
        <f t="shared" si="0"/>
        <v>Em Branco</v>
      </c>
      <c r="G12" s="58">
        <f>(($Z$11)*($N$11+SUM($C$11:C11)+SUM($K$11:K12)+SUM($L$11:L12)))</f>
        <v>0</v>
      </c>
      <c r="H12" s="58">
        <f>((0.01)*($N$11+SUM($C$11:C11)+SUM($K$11:K12)+SUM($L$11:L12))*3)</f>
        <v>0</v>
      </c>
      <c r="I12" s="58">
        <f t="shared" si="1"/>
        <v>0</v>
      </c>
      <c r="J12" s="7">
        <v>2</v>
      </c>
      <c r="K12" s="67"/>
      <c r="L12" s="37"/>
      <c r="M12" s="56"/>
      <c r="N12" s="50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3"/>
      <c r="AB12" s="41"/>
      <c r="AC12" s="11" t="s">
        <v>32</v>
      </c>
    </row>
    <row r="13" spans="1:29" ht="15" customHeight="1" thickTop="1" thickBot="1" x14ac:dyDescent="0.3">
      <c r="A13" s="41"/>
      <c r="B13" s="7">
        <v>3</v>
      </c>
      <c r="C13" s="1"/>
      <c r="D13" s="6">
        <f>D12+C13</f>
        <v>0</v>
      </c>
      <c r="E13" s="19" t="str">
        <f t="shared" ref="E13:E41" si="2">IF(ISBLANK($C13),"Em Branco/Folga",IF($C13&gt;=$G13,"Atingiu",IF($C13&lt;0,"Prejuizo",IF($C13&lt;$G13,"Não Atingiu"))))</f>
        <v>Em Branco/Folga</v>
      </c>
      <c r="F13" s="26" t="str">
        <f t="shared" si="0"/>
        <v>Em Branco</v>
      </c>
      <c r="G13" s="58">
        <f>(($Z$11)*($N$11+SUM($C$11:C12)+SUM($K$11:K13)+SUM($L$11:L13)))</f>
        <v>0</v>
      </c>
      <c r="H13" s="58">
        <f>((0.01)*($N$11+SUM($C$11:C12)+SUM($K$11:K13)+SUM($L$11:L13))*3)</f>
        <v>0</v>
      </c>
      <c r="I13" s="58">
        <f t="shared" si="1"/>
        <v>0</v>
      </c>
      <c r="J13" s="7">
        <v>3</v>
      </c>
      <c r="K13" s="68"/>
      <c r="L13" s="38"/>
      <c r="M13" s="56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3"/>
      <c r="AB13" s="41"/>
      <c r="AC13" s="11" t="s">
        <v>33</v>
      </c>
    </row>
    <row r="14" spans="1:29" ht="15" customHeight="1" thickTop="1" thickBot="1" x14ac:dyDescent="0.3">
      <c r="A14" s="41"/>
      <c r="B14" s="7">
        <v>4</v>
      </c>
      <c r="C14" s="2"/>
      <c r="D14" s="6">
        <f>D13+C14</f>
        <v>0</v>
      </c>
      <c r="E14" s="19" t="str">
        <f t="shared" si="2"/>
        <v>Em Branco/Folga</v>
      </c>
      <c r="F14" s="26" t="str">
        <f t="shared" si="0"/>
        <v>Em Branco</v>
      </c>
      <c r="G14" s="58">
        <f>(($Z$11)*($N$11+SUM($C$11:C13)+SUM($K$11:K14)+SUM($L$11:L14)))</f>
        <v>0</v>
      </c>
      <c r="H14" s="58">
        <f>((0.01)*($N$11+SUM($C$11:C13)+SUM($K$11:K14)+SUM($L$11:L14))*3)</f>
        <v>0</v>
      </c>
      <c r="I14" s="58">
        <f t="shared" si="1"/>
        <v>0</v>
      </c>
      <c r="J14" s="7">
        <v>4</v>
      </c>
      <c r="K14" s="67"/>
      <c r="L14" s="37"/>
      <c r="M14" s="56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3"/>
      <c r="AB14" s="41"/>
      <c r="AC14" s="11" t="s">
        <v>34</v>
      </c>
    </row>
    <row r="15" spans="1:29" ht="15" customHeight="1" thickTop="1" thickBot="1" x14ac:dyDescent="0.3">
      <c r="A15" s="41"/>
      <c r="B15" s="7">
        <v>5</v>
      </c>
      <c r="C15" s="1"/>
      <c r="D15" s="6">
        <f>D14+C15</f>
        <v>0</v>
      </c>
      <c r="E15" s="19" t="str">
        <f t="shared" si="2"/>
        <v>Em Branco/Folga</v>
      </c>
      <c r="F15" s="26" t="str">
        <f t="shared" si="0"/>
        <v>Em Branco</v>
      </c>
      <c r="G15" s="58">
        <f>(($Z$11)*($N$11+SUM($C$11:C14)+SUM($K$11:K15)+SUM($L$11:L15)))</f>
        <v>0</v>
      </c>
      <c r="H15" s="58">
        <f>((0.01)*($N$11+SUM($C$11:C14)+SUM($K$11:K15)+SUM($L$11:L15))*3)</f>
        <v>0</v>
      </c>
      <c r="I15" s="58">
        <f t="shared" si="1"/>
        <v>0</v>
      </c>
      <c r="J15" s="7">
        <v>5</v>
      </c>
      <c r="K15" s="68"/>
      <c r="L15" s="38"/>
      <c r="M15" s="56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3"/>
      <c r="AB15" s="41"/>
      <c r="AC15" s="11" t="s">
        <v>35</v>
      </c>
    </row>
    <row r="16" spans="1:29" ht="15" customHeight="1" thickTop="1" thickBot="1" x14ac:dyDescent="0.3">
      <c r="A16" s="41"/>
      <c r="B16" s="7">
        <v>6</v>
      </c>
      <c r="C16" s="2"/>
      <c r="D16" s="6">
        <f>D15+C16</f>
        <v>0</v>
      </c>
      <c r="E16" s="19" t="str">
        <f t="shared" si="2"/>
        <v>Em Branco/Folga</v>
      </c>
      <c r="F16" s="26" t="str">
        <f>IF(ISBLANK($C16),"Em Branco",IF($I16&gt;$C16,"Está Arriscando Sua Banca",IF($C16&lt;=$H16,"Parabéns Seguiu Gerenciamento","Está Se Arriscando Acima De 3%")))</f>
        <v>Em Branco</v>
      </c>
      <c r="G16" s="58">
        <f>(($Z$11)*($N$11+SUM($C$11:C15)+SUM($K$11:K16)+SUM($L$11:L16)))</f>
        <v>0</v>
      </c>
      <c r="H16" s="58">
        <f>((0.01)*($N$11+SUM($C$11:C15)+SUM($K$11:K16)+SUM($L$11:L16))*3)</f>
        <v>0</v>
      </c>
      <c r="I16" s="58">
        <f t="shared" si="1"/>
        <v>0</v>
      </c>
      <c r="J16" s="7">
        <v>6</v>
      </c>
      <c r="K16" s="67"/>
      <c r="L16" s="37"/>
      <c r="M16" s="56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3"/>
      <c r="AB16" s="41"/>
      <c r="AC16" s="11" t="s">
        <v>36</v>
      </c>
    </row>
    <row r="17" spans="1:29" ht="15" customHeight="1" thickTop="1" thickBot="1" x14ac:dyDescent="0.3">
      <c r="A17" s="41"/>
      <c r="B17" s="7">
        <v>7</v>
      </c>
      <c r="C17" s="1"/>
      <c r="D17" s="6">
        <f t="shared" ref="D17:D41" si="3">D16+C17</f>
        <v>0</v>
      </c>
      <c r="E17" s="19" t="str">
        <f t="shared" si="2"/>
        <v>Em Branco/Folga</v>
      </c>
      <c r="F17" s="26" t="str">
        <f t="shared" ref="F17:F41" si="4">IF(ISBLANK($C17),"Em Branco",IF(I17&gt;C17,"Está Arriscando Sua Banca",IF($C17&lt;=$H17,"Parabéns Seguiu Gerenciamento","Está Se Arriscando Acima De 3%")))</f>
        <v>Em Branco</v>
      </c>
      <c r="G17" s="58">
        <f>(($Z$11)*($N$11+SUM($C$11:C16)+SUM($K$11:K17)+SUM($L$11:L17)))</f>
        <v>0</v>
      </c>
      <c r="H17" s="58">
        <f>((0.01)*($N$11+SUM($C$11:C16)+SUM($K$11:K17)+SUM($L$11:L17))*3)</f>
        <v>0</v>
      </c>
      <c r="I17" s="58">
        <f t="shared" si="1"/>
        <v>0</v>
      </c>
      <c r="J17" s="7">
        <v>7</v>
      </c>
      <c r="K17" s="68"/>
      <c r="L17" s="38"/>
      <c r="M17" s="56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3"/>
      <c r="AB17" s="41"/>
      <c r="AC17" s="11" t="s">
        <v>37</v>
      </c>
    </row>
    <row r="18" spans="1:29" ht="15" customHeight="1" thickTop="1" thickBot="1" x14ac:dyDescent="0.3">
      <c r="A18" s="41"/>
      <c r="B18" s="7">
        <v>8</v>
      </c>
      <c r="C18" s="2"/>
      <c r="D18" s="6">
        <f t="shared" si="3"/>
        <v>0</v>
      </c>
      <c r="E18" s="19" t="str">
        <f t="shared" si="2"/>
        <v>Em Branco/Folga</v>
      </c>
      <c r="F18" s="26" t="str">
        <f t="shared" si="4"/>
        <v>Em Branco</v>
      </c>
      <c r="G18" s="58">
        <f>(($Z$11)*($N$11+SUM($C$11:C17)+SUM($K$11:K18)+SUM($L$11:L18)))</f>
        <v>0</v>
      </c>
      <c r="H18" s="58">
        <f>((0.01)*($N$11+SUM($C$11:C17)+SUM($K$11:K18)+SUM($L$11:L18))*3)</f>
        <v>0</v>
      </c>
      <c r="I18" s="58">
        <f t="shared" si="1"/>
        <v>0</v>
      </c>
      <c r="J18" s="7">
        <v>8</v>
      </c>
      <c r="K18" s="67"/>
      <c r="L18" s="37"/>
      <c r="M18" s="56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3"/>
      <c r="AB18" s="41"/>
      <c r="AC18" s="12"/>
    </row>
    <row r="19" spans="1:29" ht="15" customHeight="1" thickTop="1" thickBot="1" x14ac:dyDescent="0.3">
      <c r="A19" s="41"/>
      <c r="B19" s="7">
        <v>9</v>
      </c>
      <c r="C19" s="1"/>
      <c r="D19" s="6">
        <f t="shared" si="3"/>
        <v>0</v>
      </c>
      <c r="E19" s="19" t="str">
        <f t="shared" si="2"/>
        <v>Em Branco/Folga</v>
      </c>
      <c r="F19" s="26" t="str">
        <f t="shared" si="4"/>
        <v>Em Branco</v>
      </c>
      <c r="G19" s="58">
        <f>(($Z$11)*($N$11+SUM($C$11:C18)+SUM($K$11:K19)+SUM($L$11:L19)))</f>
        <v>0</v>
      </c>
      <c r="H19" s="58">
        <f>((0.01)*($N$11+SUM($C$11:C18)+SUM($K$11:K19)+SUM($L$11:L19))*3)</f>
        <v>0</v>
      </c>
      <c r="I19" s="58">
        <f t="shared" si="1"/>
        <v>0</v>
      </c>
      <c r="J19" s="7">
        <v>9</v>
      </c>
      <c r="K19" s="68"/>
      <c r="L19" s="38"/>
      <c r="M19" s="56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3"/>
      <c r="AB19" s="41"/>
      <c r="AC19" s="12"/>
    </row>
    <row r="20" spans="1:29" ht="15" customHeight="1" thickTop="1" thickBot="1" x14ac:dyDescent="0.3">
      <c r="A20" s="41"/>
      <c r="B20" s="7">
        <v>10</v>
      </c>
      <c r="C20" s="2"/>
      <c r="D20" s="6">
        <f t="shared" si="3"/>
        <v>0</v>
      </c>
      <c r="E20" s="19" t="str">
        <f t="shared" si="2"/>
        <v>Em Branco/Folga</v>
      </c>
      <c r="F20" s="26" t="str">
        <f t="shared" si="4"/>
        <v>Em Branco</v>
      </c>
      <c r="G20" s="58">
        <f>(($Z$11)*($N$11+SUM($C$11:C19)+SUM($K$11:K20)+SUM($L$11:L20)))</f>
        <v>0</v>
      </c>
      <c r="H20" s="58">
        <f>((0.01)*($N$11+SUM($C$11:C19)+SUM($K$11:K20)+SUM($L$11:L20))*3)</f>
        <v>0</v>
      </c>
      <c r="I20" s="58">
        <f t="shared" si="1"/>
        <v>0</v>
      </c>
      <c r="J20" s="7">
        <v>10</v>
      </c>
      <c r="K20" s="67"/>
      <c r="L20" s="37"/>
      <c r="M20" s="56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3"/>
      <c r="AB20" s="41"/>
      <c r="AC20" s="12"/>
    </row>
    <row r="21" spans="1:29" ht="15" customHeight="1" thickTop="1" thickBot="1" x14ac:dyDescent="0.3">
      <c r="A21" s="41"/>
      <c r="B21" s="7">
        <v>11</v>
      </c>
      <c r="C21" s="1"/>
      <c r="D21" s="6">
        <f t="shared" si="3"/>
        <v>0</v>
      </c>
      <c r="E21" s="19" t="str">
        <f t="shared" si="2"/>
        <v>Em Branco/Folga</v>
      </c>
      <c r="F21" s="26" t="str">
        <f t="shared" si="4"/>
        <v>Em Branco</v>
      </c>
      <c r="G21" s="58">
        <f>(($Z$11)*($N$11+SUM($C$11:C20)+SUM($K$11:K21)+SUM($L$11:L21)))</f>
        <v>0</v>
      </c>
      <c r="H21" s="58">
        <f>((0.01)*($N$11+SUM($C$11:C20)+SUM($K$11:K21)+SUM($L$11:L21))*3)</f>
        <v>0</v>
      </c>
      <c r="I21" s="58">
        <f t="shared" si="1"/>
        <v>0</v>
      </c>
      <c r="J21" s="7">
        <v>11</v>
      </c>
      <c r="K21" s="68"/>
      <c r="L21" s="38"/>
      <c r="M21" s="56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12"/>
    </row>
    <row r="22" spans="1:29" ht="15" customHeight="1" thickTop="1" thickBot="1" x14ac:dyDescent="0.3">
      <c r="A22" s="41"/>
      <c r="B22" s="7">
        <v>12</v>
      </c>
      <c r="C22" s="2"/>
      <c r="D22" s="6">
        <f t="shared" si="3"/>
        <v>0</v>
      </c>
      <c r="E22" s="19" t="str">
        <f t="shared" si="2"/>
        <v>Em Branco/Folga</v>
      </c>
      <c r="F22" s="26" t="str">
        <f t="shared" si="4"/>
        <v>Em Branco</v>
      </c>
      <c r="G22" s="58">
        <f>(($Z$11)*($N$11+SUM($C$11:C21)+SUM($K$11:K22)+SUM($L$11:L22)))</f>
        <v>0</v>
      </c>
      <c r="H22" s="58">
        <f>((0.01)*($N$11+SUM($C$11:C21)+SUM($K$11:K22)+SUM($L$11:L22))*3)</f>
        <v>0</v>
      </c>
      <c r="I22" s="58">
        <f t="shared" si="1"/>
        <v>0</v>
      </c>
      <c r="J22" s="7">
        <v>12</v>
      </c>
      <c r="K22" s="67"/>
      <c r="L22" s="37"/>
      <c r="M22" s="56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12"/>
    </row>
    <row r="23" spans="1:29" ht="15" customHeight="1" thickTop="1" thickBot="1" x14ac:dyDescent="0.3">
      <c r="A23" s="41"/>
      <c r="B23" s="7">
        <v>13</v>
      </c>
      <c r="C23" s="1"/>
      <c r="D23" s="6">
        <f t="shared" si="3"/>
        <v>0</v>
      </c>
      <c r="E23" s="19" t="str">
        <f t="shared" si="2"/>
        <v>Em Branco/Folga</v>
      </c>
      <c r="F23" s="26" t="str">
        <f t="shared" si="4"/>
        <v>Em Branco</v>
      </c>
      <c r="G23" s="58">
        <f>(($Z$11)*($N$11+SUM($C$11:C22)+SUM($K$11:K23)+SUM($L$11:L23)))</f>
        <v>0</v>
      </c>
      <c r="H23" s="58">
        <f>((0.01)*($N$11+SUM($C$11:C22)+SUM($K$11:K23)+SUM($L$11:L23))*3)</f>
        <v>0</v>
      </c>
      <c r="I23" s="58">
        <f t="shared" si="1"/>
        <v>0</v>
      </c>
      <c r="J23" s="7">
        <v>13</v>
      </c>
      <c r="K23" s="68"/>
      <c r="L23" s="38"/>
      <c r="M23" s="56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12"/>
    </row>
    <row r="24" spans="1:29" ht="15" customHeight="1" thickTop="1" thickBot="1" x14ac:dyDescent="0.3">
      <c r="A24" s="41"/>
      <c r="B24" s="7">
        <v>14</v>
      </c>
      <c r="C24" s="2"/>
      <c r="D24" s="6">
        <f t="shared" si="3"/>
        <v>0</v>
      </c>
      <c r="E24" s="19" t="str">
        <f t="shared" si="2"/>
        <v>Em Branco/Folga</v>
      </c>
      <c r="F24" s="26" t="str">
        <f t="shared" si="4"/>
        <v>Em Branco</v>
      </c>
      <c r="G24" s="58">
        <f>(($Z$11)*($N$11+SUM($C$11:C23)+SUM($K$11:K24)+SUM($L$11:L24)))</f>
        <v>0</v>
      </c>
      <c r="H24" s="58">
        <f>((0.01)*($N$11+SUM($C$11:C23)+SUM($K$11:K24)+SUM($L$11:L24))*3)</f>
        <v>0</v>
      </c>
      <c r="I24" s="58">
        <f t="shared" si="1"/>
        <v>0</v>
      </c>
      <c r="J24" s="7">
        <v>14</v>
      </c>
      <c r="K24" s="67"/>
      <c r="L24" s="37"/>
      <c r="M24" s="56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12"/>
    </row>
    <row r="25" spans="1:29" ht="15" customHeight="1" thickTop="1" thickBot="1" x14ac:dyDescent="0.3">
      <c r="A25" s="41"/>
      <c r="B25" s="7">
        <v>15</v>
      </c>
      <c r="C25" s="1"/>
      <c r="D25" s="6">
        <f t="shared" si="3"/>
        <v>0</v>
      </c>
      <c r="E25" s="19" t="str">
        <f t="shared" si="2"/>
        <v>Em Branco/Folga</v>
      </c>
      <c r="F25" s="26" t="str">
        <f t="shared" si="4"/>
        <v>Em Branco</v>
      </c>
      <c r="G25" s="58">
        <f>(($Z$11)*($N$11+SUM($C$11:C24)+SUM($K$11:K25)+SUM($L$11:L25)))</f>
        <v>0</v>
      </c>
      <c r="H25" s="58">
        <f>((0.01)*($N$11+SUM($C$11:C24)+SUM($K$11:K25)+SUM($L$11:L25))*3)</f>
        <v>0</v>
      </c>
      <c r="I25" s="58">
        <f t="shared" si="1"/>
        <v>0</v>
      </c>
      <c r="J25" s="7">
        <v>15</v>
      </c>
      <c r="K25" s="68"/>
      <c r="L25" s="38"/>
      <c r="M25" s="56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12"/>
    </row>
    <row r="26" spans="1:29" ht="15" customHeight="1" thickTop="1" thickBot="1" x14ac:dyDescent="0.3">
      <c r="A26" s="41"/>
      <c r="B26" s="7">
        <v>16</v>
      </c>
      <c r="C26" s="2"/>
      <c r="D26" s="6">
        <f t="shared" si="3"/>
        <v>0</v>
      </c>
      <c r="E26" s="19" t="str">
        <f t="shared" si="2"/>
        <v>Em Branco/Folga</v>
      </c>
      <c r="F26" s="26" t="str">
        <f t="shared" si="4"/>
        <v>Em Branco</v>
      </c>
      <c r="G26" s="58">
        <f>(($Z$11)*($N$11+SUM($C$11:C25)+SUM($K$11:K26)+SUM($L$11:L26)))</f>
        <v>0</v>
      </c>
      <c r="H26" s="58">
        <f>((0.01)*($N$11+SUM($C$11:C25)+SUM($K$11:K26)+SUM($L$11:L26))*3)</f>
        <v>0</v>
      </c>
      <c r="I26" s="58">
        <f t="shared" si="1"/>
        <v>0</v>
      </c>
      <c r="J26" s="7">
        <v>16</v>
      </c>
      <c r="K26" s="67"/>
      <c r="L26" s="37"/>
      <c r="M26" s="56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12"/>
    </row>
    <row r="27" spans="1:29" ht="15" customHeight="1" thickTop="1" thickBot="1" x14ac:dyDescent="0.3">
      <c r="A27" s="41"/>
      <c r="B27" s="7">
        <v>17</v>
      </c>
      <c r="C27" s="1"/>
      <c r="D27" s="6">
        <f t="shared" si="3"/>
        <v>0</v>
      </c>
      <c r="E27" s="19" t="str">
        <f t="shared" si="2"/>
        <v>Em Branco/Folga</v>
      </c>
      <c r="F27" s="26" t="str">
        <f t="shared" si="4"/>
        <v>Em Branco</v>
      </c>
      <c r="G27" s="58">
        <f>(($Z$11)*($N$11+SUM($C$11:C26)+SUM($K$11:K27)+SUM($L$11:L27)))</f>
        <v>0</v>
      </c>
      <c r="H27" s="58">
        <f>((0.01)*($N$11+SUM($C$11:C26)+SUM($K$11:K27)+SUM($L$11:L27))*3)</f>
        <v>0</v>
      </c>
      <c r="I27" s="58">
        <f t="shared" si="1"/>
        <v>0</v>
      </c>
      <c r="J27" s="7">
        <v>17</v>
      </c>
      <c r="K27" s="68"/>
      <c r="L27" s="38"/>
      <c r="M27" s="56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12"/>
    </row>
    <row r="28" spans="1:29" ht="15" customHeight="1" thickTop="1" thickBot="1" x14ac:dyDescent="0.3">
      <c r="A28" s="41"/>
      <c r="B28" s="7">
        <v>18</v>
      </c>
      <c r="C28" s="2"/>
      <c r="D28" s="6">
        <f t="shared" si="3"/>
        <v>0</v>
      </c>
      <c r="E28" s="19" t="str">
        <f t="shared" si="2"/>
        <v>Em Branco/Folga</v>
      </c>
      <c r="F28" s="26" t="str">
        <f t="shared" si="4"/>
        <v>Em Branco</v>
      </c>
      <c r="G28" s="58">
        <f>(($Z$11)*($N$11+SUM($C$11:C27)+SUM($K$11:K28)+SUM($L$11:L28)))</f>
        <v>0</v>
      </c>
      <c r="H28" s="58">
        <f>((0.01)*($N$11+SUM($C$11:C27)+SUM($K$11:K28)+SUM($L$11:L28))*3)</f>
        <v>0</v>
      </c>
      <c r="I28" s="58">
        <f t="shared" si="1"/>
        <v>0</v>
      </c>
      <c r="J28" s="7">
        <v>18</v>
      </c>
      <c r="K28" s="67"/>
      <c r="L28" s="37"/>
      <c r="M28" s="56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12"/>
    </row>
    <row r="29" spans="1:29" ht="15" customHeight="1" thickTop="1" thickBot="1" x14ac:dyDescent="0.3">
      <c r="A29" s="41"/>
      <c r="B29" s="7">
        <v>19</v>
      </c>
      <c r="C29" s="1"/>
      <c r="D29" s="6">
        <f t="shared" si="3"/>
        <v>0</v>
      </c>
      <c r="E29" s="19" t="str">
        <f t="shared" si="2"/>
        <v>Em Branco/Folga</v>
      </c>
      <c r="F29" s="26" t="str">
        <f t="shared" si="4"/>
        <v>Em Branco</v>
      </c>
      <c r="G29" s="58">
        <f>(($Z$11)*($N$11+SUM($C$11:C28)+SUM($K$11:K29)+SUM($L$11:L29)))</f>
        <v>0</v>
      </c>
      <c r="H29" s="58">
        <f>((0.01)*($N$11+SUM($C$11:C28)+SUM($K$11:K29)+SUM($L$11:L29))*3)</f>
        <v>0</v>
      </c>
      <c r="I29" s="58">
        <f t="shared" si="1"/>
        <v>0</v>
      </c>
      <c r="J29" s="7">
        <v>19</v>
      </c>
      <c r="K29" s="68"/>
      <c r="L29" s="38"/>
      <c r="M29" s="56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12"/>
    </row>
    <row r="30" spans="1:29" ht="15" customHeight="1" thickTop="1" thickBot="1" x14ac:dyDescent="0.3">
      <c r="A30" s="41"/>
      <c r="B30" s="7">
        <v>20</v>
      </c>
      <c r="C30" s="2"/>
      <c r="D30" s="6">
        <f t="shared" si="3"/>
        <v>0</v>
      </c>
      <c r="E30" s="19" t="str">
        <f t="shared" si="2"/>
        <v>Em Branco/Folga</v>
      </c>
      <c r="F30" s="26" t="str">
        <f t="shared" si="4"/>
        <v>Em Branco</v>
      </c>
      <c r="G30" s="58">
        <f>(($Z$11)*($N$11+SUM($C$11:C29)+SUM($K$11:K30)+SUM($L$11:L30)))</f>
        <v>0</v>
      </c>
      <c r="H30" s="58">
        <f>((0.01)*($N$11+SUM($C$11:C29)+SUM($K$11:K30)+SUM($L$11:L30))*3)</f>
        <v>0</v>
      </c>
      <c r="I30" s="58">
        <f t="shared" si="1"/>
        <v>0</v>
      </c>
      <c r="J30" s="7">
        <v>20</v>
      </c>
      <c r="K30" s="67"/>
      <c r="L30" s="37"/>
      <c r="M30" s="56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12"/>
    </row>
    <row r="31" spans="1:29" ht="15" customHeight="1" thickTop="1" thickBot="1" x14ac:dyDescent="0.3">
      <c r="A31" s="41"/>
      <c r="B31" s="7">
        <v>21</v>
      </c>
      <c r="C31" s="1"/>
      <c r="D31" s="6">
        <f t="shared" si="3"/>
        <v>0</v>
      </c>
      <c r="E31" s="19" t="str">
        <f t="shared" si="2"/>
        <v>Em Branco/Folga</v>
      </c>
      <c r="F31" s="26" t="str">
        <f t="shared" si="4"/>
        <v>Em Branco</v>
      </c>
      <c r="G31" s="58">
        <f>(($Z$11)*($N$11+SUM($C$11:C30)+SUM($K$11:K31)+SUM($L$11:L31)))</f>
        <v>0</v>
      </c>
      <c r="H31" s="58">
        <f>((0.01)*($N$11+SUM($C$11:C30)+SUM($K$11:K31)+SUM($L$11:L31))*3)</f>
        <v>0</v>
      </c>
      <c r="I31" s="58">
        <f t="shared" si="1"/>
        <v>0</v>
      </c>
      <c r="J31" s="7">
        <v>21</v>
      </c>
      <c r="K31" s="68"/>
      <c r="L31" s="38"/>
      <c r="M31" s="56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12"/>
    </row>
    <row r="32" spans="1:29" ht="15" customHeight="1" thickTop="1" thickBot="1" x14ac:dyDescent="0.3">
      <c r="A32" s="41"/>
      <c r="B32" s="7">
        <v>22</v>
      </c>
      <c r="C32" s="1"/>
      <c r="D32" s="6">
        <f t="shared" si="3"/>
        <v>0</v>
      </c>
      <c r="E32" s="19" t="str">
        <f t="shared" si="2"/>
        <v>Em Branco/Folga</v>
      </c>
      <c r="F32" s="26" t="str">
        <f t="shared" si="4"/>
        <v>Em Branco</v>
      </c>
      <c r="G32" s="58">
        <f>(($Z$11)*($N$11+SUM($C$11:C31)+SUM($K$11:K32)+SUM($L$11:L32)))</f>
        <v>0</v>
      </c>
      <c r="H32" s="58">
        <f>((0.01)*($N$11+SUM($C$11:C31)+SUM($K$11:K32)+SUM($L$11:L32))*3)</f>
        <v>0</v>
      </c>
      <c r="I32" s="58">
        <f t="shared" si="1"/>
        <v>0</v>
      </c>
      <c r="J32" s="7">
        <v>22</v>
      </c>
      <c r="K32" s="68"/>
      <c r="L32" s="38"/>
      <c r="M32" s="56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ht="15" customHeight="1" thickTop="1" thickBot="1" x14ac:dyDescent="0.3">
      <c r="A33" s="41"/>
      <c r="B33" s="7">
        <v>23</v>
      </c>
      <c r="C33" s="1"/>
      <c r="D33" s="6">
        <f t="shared" si="3"/>
        <v>0</v>
      </c>
      <c r="E33" s="19" t="str">
        <f t="shared" si="2"/>
        <v>Em Branco/Folga</v>
      </c>
      <c r="F33" s="26" t="str">
        <f t="shared" si="4"/>
        <v>Em Branco</v>
      </c>
      <c r="G33" s="58">
        <f>(($Z$11)*($N$11+SUM($C$11:C32)+SUM($K$11:K33)+SUM($L$11:L33)))</f>
        <v>0</v>
      </c>
      <c r="H33" s="58">
        <f>((0.01)*($N$11+SUM($C$11:C32)+SUM($K$11:K33)+SUM($L$11:L33))*3)</f>
        <v>0</v>
      </c>
      <c r="I33" s="58">
        <f t="shared" si="1"/>
        <v>0</v>
      </c>
      <c r="J33" s="7">
        <v>23</v>
      </c>
      <c r="K33" s="68"/>
      <c r="L33" s="38"/>
      <c r="M33" s="56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ht="15" customHeight="1" thickTop="1" thickBot="1" x14ac:dyDescent="0.3">
      <c r="A34" s="41"/>
      <c r="B34" s="7">
        <v>24</v>
      </c>
      <c r="C34" s="1"/>
      <c r="D34" s="6">
        <f t="shared" si="3"/>
        <v>0</v>
      </c>
      <c r="E34" s="19" t="str">
        <f t="shared" si="2"/>
        <v>Em Branco/Folga</v>
      </c>
      <c r="F34" s="26" t="str">
        <f t="shared" si="4"/>
        <v>Em Branco</v>
      </c>
      <c r="G34" s="58">
        <f>(($Z$11)*($N$11+SUM($C$11:C33)+SUM($K$11:K34)+SUM($L$11:L34)))</f>
        <v>0</v>
      </c>
      <c r="H34" s="58">
        <f>((0.01)*($N$11+SUM($C$11:C33)+SUM($K$11:K34)+SUM($L$11:L34))*3)</f>
        <v>0</v>
      </c>
      <c r="I34" s="58">
        <f t="shared" si="1"/>
        <v>0</v>
      </c>
      <c r="J34" s="7">
        <v>24</v>
      </c>
      <c r="K34" s="68"/>
      <c r="L34" s="38"/>
      <c r="M34" s="56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ht="15" customHeight="1" thickTop="1" thickBot="1" x14ac:dyDescent="0.3">
      <c r="A35" s="41"/>
      <c r="B35" s="7">
        <v>25</v>
      </c>
      <c r="C35" s="1"/>
      <c r="D35" s="6">
        <f t="shared" si="3"/>
        <v>0</v>
      </c>
      <c r="E35" s="19" t="str">
        <f t="shared" si="2"/>
        <v>Em Branco/Folga</v>
      </c>
      <c r="F35" s="26" t="str">
        <f t="shared" si="4"/>
        <v>Em Branco</v>
      </c>
      <c r="G35" s="58">
        <f>(($Z$11)*($N$11+SUM($C$11:C34)+SUM($K$11:K35)+SUM($L$11:L35)))</f>
        <v>0</v>
      </c>
      <c r="H35" s="58">
        <f>((0.01)*($N$11+SUM($C$11:C34)+SUM($K$11:K35)+SUM($L$11:L35))*3)</f>
        <v>0</v>
      </c>
      <c r="I35" s="58">
        <f t="shared" si="1"/>
        <v>0</v>
      </c>
      <c r="J35" s="7">
        <v>25</v>
      </c>
      <c r="K35" s="68"/>
      <c r="L35" s="38"/>
      <c r="M35" s="56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ht="15" customHeight="1" thickTop="1" thickBot="1" x14ac:dyDescent="0.3">
      <c r="A36" s="41"/>
      <c r="B36" s="7">
        <v>26</v>
      </c>
      <c r="C36" s="1"/>
      <c r="D36" s="6">
        <f t="shared" si="3"/>
        <v>0</v>
      </c>
      <c r="E36" s="19" t="str">
        <f t="shared" si="2"/>
        <v>Em Branco/Folga</v>
      </c>
      <c r="F36" s="26" t="str">
        <f t="shared" si="4"/>
        <v>Em Branco</v>
      </c>
      <c r="G36" s="58">
        <f>(($Z$11)*($N$11+SUM($C$11:C35)+SUM($K$11:K36)+SUM($L$11:L36)))</f>
        <v>0</v>
      </c>
      <c r="H36" s="58">
        <f>((0.01)*($N$11+SUM($C$11:C35)+SUM($K$11:K36)+SUM($L$11:L36))*3)</f>
        <v>0</v>
      </c>
      <c r="I36" s="58">
        <f t="shared" si="1"/>
        <v>0</v>
      </c>
      <c r="J36" s="7">
        <v>26</v>
      </c>
      <c r="K36" s="68"/>
      <c r="L36" s="38"/>
      <c r="M36" s="56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  <row r="37" spans="1:28" ht="15" customHeight="1" thickTop="1" thickBot="1" x14ac:dyDescent="0.3">
      <c r="A37" s="41"/>
      <c r="B37" s="7">
        <v>27</v>
      </c>
      <c r="C37" s="1"/>
      <c r="D37" s="6">
        <f t="shared" si="3"/>
        <v>0</v>
      </c>
      <c r="E37" s="19" t="str">
        <f t="shared" si="2"/>
        <v>Em Branco/Folga</v>
      </c>
      <c r="F37" s="26" t="str">
        <f t="shared" si="4"/>
        <v>Em Branco</v>
      </c>
      <c r="G37" s="58">
        <f>(($Z$11)*($N$11+SUM($C$11:C36)+SUM($K$11:K37)+SUM($L$11:L37)))</f>
        <v>0</v>
      </c>
      <c r="H37" s="58">
        <f>((0.01)*($N$11+SUM($C$11:C36)+SUM($K$11:K37)+SUM($L$11:L37))*3)</f>
        <v>0</v>
      </c>
      <c r="I37" s="58">
        <f t="shared" si="1"/>
        <v>0</v>
      </c>
      <c r="J37" s="7">
        <v>27</v>
      </c>
      <c r="K37" s="68"/>
      <c r="L37" s="38"/>
      <c r="M37" s="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</row>
    <row r="38" spans="1:28" ht="15" customHeight="1" thickTop="1" thickBot="1" x14ac:dyDescent="0.3">
      <c r="A38" s="41"/>
      <c r="B38" s="7">
        <v>28</v>
      </c>
      <c r="C38" s="1"/>
      <c r="D38" s="6">
        <f t="shared" si="3"/>
        <v>0</v>
      </c>
      <c r="E38" s="19" t="str">
        <f t="shared" si="2"/>
        <v>Em Branco/Folga</v>
      </c>
      <c r="F38" s="26" t="str">
        <f t="shared" si="4"/>
        <v>Em Branco</v>
      </c>
      <c r="G38" s="58">
        <f>(($Z$11)*($N$11+SUM($C$11:C37)+SUM($K$11:K38)+SUM($L$11:L38)))</f>
        <v>0</v>
      </c>
      <c r="H38" s="58">
        <f>((0.01)*($N$11+SUM($C$11:C37)+SUM($K$11:K38)+SUM($L$11:L38))*3)</f>
        <v>0</v>
      </c>
      <c r="I38" s="58">
        <f t="shared" si="1"/>
        <v>0</v>
      </c>
      <c r="J38" s="7">
        <v>28</v>
      </c>
      <c r="K38" s="68"/>
      <c r="L38" s="38"/>
      <c r="M38" s="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</row>
    <row r="39" spans="1:28" ht="15" customHeight="1" thickTop="1" thickBot="1" x14ac:dyDescent="0.3">
      <c r="A39" s="41"/>
      <c r="B39" s="7">
        <v>29</v>
      </c>
      <c r="C39" s="2"/>
      <c r="D39" s="6">
        <f t="shared" si="3"/>
        <v>0</v>
      </c>
      <c r="E39" s="19" t="str">
        <f t="shared" si="2"/>
        <v>Em Branco/Folga</v>
      </c>
      <c r="F39" s="26" t="str">
        <f t="shared" si="4"/>
        <v>Em Branco</v>
      </c>
      <c r="G39" s="58">
        <f>(($Z$11)*($N$11+SUM($C$11:C38)+SUM($K$11:K39)+SUM($L$11:L39)))</f>
        <v>0</v>
      </c>
      <c r="H39" s="58">
        <f>((0.01)*($N$11+SUM($C$11:C38)+SUM($K$11:K39)+SUM($L$11:L39))*3)</f>
        <v>0</v>
      </c>
      <c r="I39" s="58">
        <f t="shared" si="1"/>
        <v>0</v>
      </c>
      <c r="J39" s="7">
        <v>29</v>
      </c>
      <c r="K39" s="67"/>
      <c r="L39" s="37"/>
      <c r="M39" s="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</row>
    <row r="40" spans="1:28" ht="15" customHeight="1" thickTop="1" thickBot="1" x14ac:dyDescent="0.3">
      <c r="A40" s="41"/>
      <c r="B40" s="7">
        <v>30</v>
      </c>
      <c r="C40" s="1"/>
      <c r="D40" s="6">
        <f t="shared" si="3"/>
        <v>0</v>
      </c>
      <c r="E40" s="19" t="str">
        <f t="shared" si="2"/>
        <v>Em Branco/Folga</v>
      </c>
      <c r="F40" s="26" t="str">
        <f t="shared" si="4"/>
        <v>Em Branco</v>
      </c>
      <c r="G40" s="58">
        <f>(($Z$11)*($N$11+SUM($C$11:C39)+SUM($K$11:K40)+SUM($L$11:L40)))</f>
        <v>0</v>
      </c>
      <c r="H40" s="58">
        <f>((0.01)*($N$11+SUM($C$11:C39)+SUM($K$11:K40)+SUM($L$11:L40))*3)</f>
        <v>0</v>
      </c>
      <c r="I40" s="58">
        <f t="shared" si="1"/>
        <v>0</v>
      </c>
      <c r="J40" s="7">
        <v>30</v>
      </c>
      <c r="K40" s="68"/>
      <c r="L40" s="38"/>
      <c r="M40" s="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</row>
    <row r="41" spans="1:28" ht="15.75" customHeight="1" thickTop="1" thickBot="1" x14ac:dyDescent="0.3">
      <c r="A41" s="41"/>
      <c r="B41" s="8">
        <v>31</v>
      </c>
      <c r="C41" s="3"/>
      <c r="D41" s="9">
        <f t="shared" si="3"/>
        <v>0</v>
      </c>
      <c r="E41" s="20" t="str">
        <f t="shared" si="2"/>
        <v>Em Branco/Folga</v>
      </c>
      <c r="F41" s="27" t="str">
        <f t="shared" si="4"/>
        <v>Em Branco</v>
      </c>
      <c r="G41" s="58">
        <f>(($Z$11)*($N$11+SUM($C$11:C40)+SUM($K$11:K41)+SUM($L$11:L41)))</f>
        <v>0</v>
      </c>
      <c r="H41" s="58">
        <f>((0.01)*($N$11+SUM($C$11:C40)+SUM($K$11:K41)+SUM($L$11:L41))*3)</f>
        <v>0</v>
      </c>
      <c r="I41" s="58">
        <f t="shared" si="1"/>
        <v>0</v>
      </c>
      <c r="J41" s="8">
        <v>31</v>
      </c>
      <c r="K41" s="69"/>
      <c r="L41" s="39"/>
      <c r="M41" s="56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</row>
    <row r="42" spans="1:28" x14ac:dyDescent="0.25">
      <c r="A42" s="41"/>
      <c r="B42" s="41"/>
      <c r="C42" s="41"/>
      <c r="D42" s="51"/>
      <c r="E42" s="41"/>
      <c r="F42" s="42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</row>
  </sheetData>
  <sheetProtection algorithmName="SHA-512" hashValue="sGhiShFeSUC7heaP661A65jKY0+OeD8OpRyLzm4QQQwTohNMdWSJV1Ry1G/HTjAbwShmpeUKOlpfcvkhpwPFmw==" saltValue="L/2EEu8dMDbQdgYW53ScgA==" spinCount="100000" sheet="1" selectLockedCells="1"/>
  <mergeCells count="11">
    <mergeCell ref="D2:E2"/>
    <mergeCell ref="B9:D9"/>
    <mergeCell ref="E9:F9"/>
    <mergeCell ref="J9:L9"/>
    <mergeCell ref="N10:O10"/>
    <mergeCell ref="R10:S10"/>
    <mergeCell ref="V10:W10"/>
    <mergeCell ref="N11:O11"/>
    <mergeCell ref="P11:Q11"/>
    <mergeCell ref="R11:S11"/>
    <mergeCell ref="P10:Q10"/>
  </mergeCells>
  <conditionalFormatting sqref="C11:C31 C41">
    <cfRule type="containsBlanks" dxfId="89" priority="40">
      <formula>LEN(TRIM(C11))=0</formula>
    </cfRule>
    <cfRule type="cellIs" dxfId="88" priority="41" operator="equal">
      <formula>0</formula>
    </cfRule>
    <cfRule type="cellIs" dxfId="87" priority="42" operator="greaterThan">
      <formula>0</formula>
    </cfRule>
    <cfRule type="cellIs" dxfId="86" priority="43" operator="lessThan">
      <formula>0</formula>
    </cfRule>
  </conditionalFormatting>
  <conditionalFormatting sqref="E11:F41">
    <cfRule type="containsText" dxfId="85" priority="37" operator="containsText" text="Não Atingiu">
      <formula>NOT(ISERROR(SEARCH("Não Atingiu",E11)))</formula>
    </cfRule>
    <cfRule type="containsText" dxfId="84" priority="38" operator="containsText" text="Prejuizo">
      <formula>NOT(ISERROR(SEARCH("Prejuizo",E11)))</formula>
    </cfRule>
    <cfRule type="containsText" dxfId="83" priority="39" operator="containsText" text="Atingiu">
      <formula>NOT(ISERROR(SEARCH("Atingiu",E11)))</formula>
    </cfRule>
  </conditionalFormatting>
  <conditionalFormatting sqref="E12:F12">
    <cfRule type="cellIs" dxfId="82" priority="36" operator="equal">
      <formula>"Em Branco/Folga"</formula>
    </cfRule>
  </conditionalFormatting>
  <conditionalFormatting sqref="E11:F11">
    <cfRule type="cellIs" dxfId="81" priority="35" operator="equal">
      <formula>"Em Branco/Folga"</formula>
    </cfRule>
  </conditionalFormatting>
  <conditionalFormatting sqref="E13:F41">
    <cfRule type="cellIs" dxfId="80" priority="34" operator="equal">
      <formula>"Em Branco/Folga"</formula>
    </cfRule>
  </conditionalFormatting>
  <conditionalFormatting sqref="F11">
    <cfRule type="cellIs" dxfId="79" priority="26" operator="equal">
      <formula>"Está Arriscando Sua Banca"</formula>
    </cfRule>
    <cfRule type="cellIs" dxfId="78" priority="31" operator="equal">
      <formula>"Está Se Arriscando Acima De 3%"</formula>
    </cfRule>
    <cfRule type="cellIs" dxfId="77" priority="32" operator="equal">
      <formula>"Parabéns Seguiu Gerenciamento"</formula>
    </cfRule>
    <cfRule type="cellIs" dxfId="76" priority="33" operator="equal">
      <formula>"Em Branco"</formula>
    </cfRule>
  </conditionalFormatting>
  <conditionalFormatting sqref="F12:F41">
    <cfRule type="cellIs" dxfId="75" priority="30" operator="equal">
      <formula>"Em Branco/Folga"</formula>
    </cfRule>
  </conditionalFormatting>
  <conditionalFormatting sqref="F12:F41">
    <cfRule type="cellIs" dxfId="74" priority="27" operator="equal">
      <formula>"Está Se Arriscando Acima De 3%"</formula>
    </cfRule>
    <cfRule type="cellIs" dxfId="73" priority="28" operator="equal">
      <formula>"Parabéns Seguiu Gerenciamento"</formula>
    </cfRule>
    <cfRule type="cellIs" dxfId="72" priority="29" operator="equal">
      <formula>"Em Branco"</formula>
    </cfRule>
  </conditionalFormatting>
  <conditionalFormatting sqref="F12:F41">
    <cfRule type="cellIs" dxfId="71" priority="25" operator="equal">
      <formula>"Em Branco/Folga"</formula>
    </cfRule>
  </conditionalFormatting>
  <conditionalFormatting sqref="F12:F41">
    <cfRule type="cellIs" dxfId="70" priority="21" operator="equal">
      <formula>"Está Arriscando Sua Banca"</formula>
    </cfRule>
    <cfRule type="cellIs" dxfId="69" priority="22" operator="equal">
      <formula>"Está Se Arriscando Acima De 3%"</formula>
    </cfRule>
    <cfRule type="cellIs" dxfId="68" priority="23" operator="equal">
      <formula>"Parabéns Seguiu Gerenciamento"</formula>
    </cfRule>
    <cfRule type="cellIs" dxfId="67" priority="24" operator="equal">
      <formula>"Em Branco"</formula>
    </cfRule>
  </conditionalFormatting>
  <conditionalFormatting sqref="C32:C40">
    <cfRule type="containsBlanks" dxfId="66" priority="17">
      <formula>LEN(TRIM(C32))=0</formula>
    </cfRule>
    <cfRule type="cellIs" dxfId="65" priority="18" operator="equal">
      <formula>0</formula>
    </cfRule>
    <cfRule type="cellIs" dxfId="64" priority="19" operator="greaterThan">
      <formula>0</formula>
    </cfRule>
    <cfRule type="cellIs" dxfId="63" priority="20" operator="lessThan">
      <formula>0</formula>
    </cfRule>
  </conditionalFormatting>
  <conditionalFormatting sqref="K11:K31 K41">
    <cfRule type="containsBlanks" dxfId="62" priority="13">
      <formula>LEN(TRIM(K11))=0</formula>
    </cfRule>
    <cfRule type="cellIs" dxfId="61" priority="14" operator="equal">
      <formula>0</formula>
    </cfRule>
    <cfRule type="cellIs" dxfId="60" priority="15" operator="greaterThan">
      <formula>0</formula>
    </cfRule>
    <cfRule type="cellIs" dxfId="59" priority="16" operator="lessThan">
      <formula>0</formula>
    </cfRule>
  </conditionalFormatting>
  <conditionalFormatting sqref="K32:K40">
    <cfRule type="containsBlanks" dxfId="58" priority="9">
      <formula>LEN(TRIM(K32))=0</formula>
    </cfRule>
    <cfRule type="cellIs" dxfId="57" priority="10" operator="equal">
      <formula>0</formula>
    </cfRule>
    <cfRule type="cellIs" dxfId="56" priority="11" operator="greaterThan">
      <formula>0</formula>
    </cfRule>
    <cfRule type="cellIs" dxfId="55" priority="12" operator="lessThan">
      <formula>0</formula>
    </cfRule>
  </conditionalFormatting>
  <conditionalFormatting sqref="L11:M31 L41:M41">
    <cfRule type="containsBlanks" dxfId="54" priority="5">
      <formula>LEN(TRIM(L11))=0</formula>
    </cfRule>
    <cfRule type="cellIs" dxfId="53" priority="6" operator="equal">
      <formula>0</formula>
    </cfRule>
    <cfRule type="cellIs" dxfId="52" priority="7" operator="greaterThan">
      <formula>0</formula>
    </cfRule>
    <cfRule type="cellIs" dxfId="51" priority="8" operator="lessThan">
      <formula>0</formula>
    </cfRule>
  </conditionalFormatting>
  <conditionalFormatting sqref="L32:M40">
    <cfRule type="containsBlanks" dxfId="50" priority="1">
      <formula>LEN(TRIM(L32))=0</formula>
    </cfRule>
    <cfRule type="cellIs" dxfId="49" priority="2" operator="equal">
      <formula>0</formula>
    </cfRule>
    <cfRule type="cellIs" dxfId="48" priority="3" operator="greaterThan">
      <formula>0</formula>
    </cfRule>
    <cfRule type="cellIs" dxfId="47" priority="4" operator="lessThan">
      <formula>0</formula>
    </cfRule>
  </conditionalFormatting>
  <dataValidations count="7">
    <dataValidation type="list" allowBlank="1" showInputMessage="1" showErrorMessage="1" sqref="E13:E41" xr:uid="{3C4D8627-EA28-4F4E-8A30-60F8ABCABB04}">
      <formula1>#REF!</formula1>
    </dataValidation>
    <dataValidation type="decimal" allowBlank="1" showInputMessage="1" showErrorMessage="1" errorTitle="GERENCIAMENTO" error="SIGA O GERENCIAMENTO DE 1% A 3%" sqref="Z11" xr:uid="{BE449BBF-849E-4CAE-9D81-4AF04D06B937}">
      <formula1>0.000001</formula1>
      <formula2>0.03</formula2>
    </dataValidation>
    <dataValidation type="list" allowBlank="1" showInputMessage="1" showErrorMessage="1" errorTitle="ATENÇÃO" error="SELECIONE O MÊS DE REFERÊNCIA" sqref="E9" xr:uid="{35F72464-6B7F-4DEC-80A8-E46FFBB1C85F}">
      <formula1>$AC$6:$AC$17</formula1>
    </dataValidation>
    <dataValidation type="decimal" allowBlank="1" showInputMessage="1" showErrorMessage="1" errorTitle="ATENÇÃO" error="APENAS NÚMEROS" sqref="N11:O11 C11:C41 M11:M41" xr:uid="{54FED8E7-2E9B-4A0F-B4F5-654393DC4E05}">
      <formula1>-999999999999999000</formula1>
      <formula2>999999999999999000</formula2>
    </dataValidation>
    <dataValidation allowBlank="1" showInputMessage="1" showErrorMessage="1" errorTitle="ATENÇÃO" error="SELECIONE O MÊS DE REFERÊNCIA" sqref="J9 M9" xr:uid="{9E264D45-1E5B-49D8-939E-3FD3D968744C}"/>
    <dataValidation type="decimal" allowBlank="1" showInputMessage="1" showErrorMessage="1" errorTitle="ATENÇÃO" error="APENAS NÚMEROS" promptTitle="SAQUES" prompt="COLOCAR SINAL NEGATIVO" sqref="L11:L41" xr:uid="{7DD1845F-47C7-4C35-B41D-5C278B206BDD}">
      <formula1>-999999999999999000</formula1>
      <formula2>999999999999999000</formula2>
    </dataValidation>
    <dataValidation type="decimal" allowBlank="1" showErrorMessage="1" errorTitle="ATENÇÃO" error="APENAS NÚMEROS" sqref="K11:K41" xr:uid="{4DF88422-9913-4625-8371-8C7B566E9210}">
      <formula1>-999999999999999000</formula1>
      <formula2>999999999999999000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3F67D-8988-4517-96F2-CB0EBDED9558}">
  <sheetPr codeName="Planilha19">
    <tabColor rgb="FFFFC000"/>
  </sheetPr>
  <dimension ref="A1:AC42"/>
  <sheetViews>
    <sheetView showGridLines="0" showRowColHeaders="0" zoomScale="85" zoomScaleNormal="85" workbookViewId="0">
      <selection activeCell="E9" sqref="E9:F9"/>
    </sheetView>
  </sheetViews>
  <sheetFormatPr defaultColWidth="0" defaultRowHeight="15" customHeight="1" zeroHeight="1" x14ac:dyDescent="0.25"/>
  <cols>
    <col min="1" max="1" width="3.7109375" style="4" customWidth="1"/>
    <col min="2" max="2" width="4.5703125" style="4" customWidth="1"/>
    <col min="3" max="3" width="12.7109375" style="4" customWidth="1"/>
    <col min="4" max="4" width="12.140625" style="4" customWidth="1"/>
    <col min="5" max="5" width="15.7109375" style="4" customWidth="1"/>
    <col min="6" max="6" width="30.7109375" style="25" customWidth="1"/>
    <col min="7" max="9" width="0.5703125" style="4" customWidth="1"/>
    <col min="10" max="10" width="4.5703125" style="4" customWidth="1"/>
    <col min="11" max="12" width="15.7109375" style="4" customWidth="1"/>
    <col min="13" max="13" width="1.7109375" style="4" customWidth="1"/>
    <col min="14" max="14" width="15.7109375" style="4" customWidth="1"/>
    <col min="15" max="15" width="9.5703125" style="4" bestFit="1" customWidth="1"/>
    <col min="16" max="20" width="9.140625" style="4" customWidth="1"/>
    <col min="21" max="21" width="12.140625" style="4" customWidth="1"/>
    <col min="22" max="22" width="12.85546875" style="4" customWidth="1"/>
    <col min="23" max="23" width="18" style="4" customWidth="1"/>
    <col min="24" max="24" width="13.85546875" style="4" customWidth="1"/>
    <col min="25" max="25" width="15.140625" style="4" customWidth="1"/>
    <col min="26" max="26" width="9.7109375" style="4" bestFit="1" customWidth="1"/>
    <col min="27" max="28" width="2.28515625" style="4" customWidth="1"/>
    <col min="29" max="16384" width="9.140625" style="4" hidden="1"/>
  </cols>
  <sheetData>
    <row r="1" spans="1:29" x14ac:dyDescent="0.25">
      <c r="A1" s="41"/>
      <c r="B1" s="41"/>
      <c r="C1" s="41"/>
      <c r="D1" s="41"/>
      <c r="E1" s="41"/>
      <c r="F1" s="42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3"/>
      <c r="AB1" s="41"/>
      <c r="AC1" s="10">
        <v>0.01</v>
      </c>
    </row>
    <row r="2" spans="1:29" x14ac:dyDescent="0.25">
      <c r="A2" s="41"/>
      <c r="B2" s="41"/>
      <c r="C2" s="44" t="s">
        <v>103</v>
      </c>
      <c r="D2" s="79">
        <f ca="1">TODAY()</f>
        <v>44422</v>
      </c>
      <c r="E2" s="80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59" t="s">
        <v>110</v>
      </c>
      <c r="Z2" s="41"/>
      <c r="AA2" s="43"/>
      <c r="AB2" s="41"/>
      <c r="AC2" s="10"/>
    </row>
    <row r="3" spans="1:29" x14ac:dyDescent="0.25">
      <c r="A3" s="41"/>
      <c r="B3" s="41"/>
      <c r="C3" s="41"/>
      <c r="D3" s="41"/>
      <c r="E3" s="41"/>
      <c r="F3" s="42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3"/>
      <c r="AB3" s="41"/>
      <c r="AC3" s="10"/>
    </row>
    <row r="4" spans="1:29" x14ac:dyDescent="0.25">
      <c r="A4" s="41"/>
      <c r="B4" s="41"/>
      <c r="C4" s="41"/>
      <c r="D4" s="41"/>
      <c r="E4" s="41"/>
      <c r="F4" s="42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3"/>
      <c r="AB4" s="41"/>
      <c r="AC4" s="10">
        <v>0.02</v>
      </c>
    </row>
    <row r="5" spans="1:29" x14ac:dyDescent="0.25">
      <c r="A5" s="41"/>
      <c r="B5" s="41"/>
      <c r="C5" s="41"/>
      <c r="D5" s="41"/>
      <c r="E5" s="41"/>
      <c r="F5" s="42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3"/>
      <c r="AB5" s="41"/>
      <c r="AC5" s="10">
        <v>0.03</v>
      </c>
    </row>
    <row r="6" spans="1:29" x14ac:dyDescent="0.25">
      <c r="A6" s="41"/>
      <c r="B6" s="41"/>
      <c r="C6" s="41"/>
      <c r="D6" s="41"/>
      <c r="E6" s="41"/>
      <c r="F6" s="42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3"/>
      <c r="AB6" s="41"/>
      <c r="AC6" s="11" t="s">
        <v>26</v>
      </c>
    </row>
    <row r="7" spans="1:29" x14ac:dyDescent="0.25">
      <c r="A7" s="41"/>
      <c r="B7" s="41"/>
      <c r="C7" s="41"/>
      <c r="D7" s="41"/>
      <c r="E7" s="41"/>
      <c r="F7" s="42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3"/>
      <c r="AB7" s="41"/>
      <c r="AC7" s="11" t="s">
        <v>27</v>
      </c>
    </row>
    <row r="8" spans="1:29" ht="15.75" thickBot="1" x14ac:dyDescent="0.3">
      <c r="A8" s="41"/>
      <c r="B8" s="41"/>
      <c r="C8" s="41"/>
      <c r="D8" s="41"/>
      <c r="E8" s="41"/>
      <c r="F8" s="42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3"/>
      <c r="AB8" s="41"/>
      <c r="AC8" s="11" t="s">
        <v>28</v>
      </c>
    </row>
    <row r="9" spans="1:29" ht="19.5" thickBot="1" x14ac:dyDescent="0.3">
      <c r="A9" s="41"/>
      <c r="B9" s="81" t="s">
        <v>38</v>
      </c>
      <c r="C9" s="82"/>
      <c r="D9" s="83"/>
      <c r="E9" s="84" t="s">
        <v>37</v>
      </c>
      <c r="F9" s="85"/>
      <c r="G9" s="57"/>
      <c r="H9" s="57"/>
      <c r="I9" s="57"/>
      <c r="J9" s="81" t="s">
        <v>107</v>
      </c>
      <c r="K9" s="82"/>
      <c r="L9" s="88"/>
      <c r="M9" s="55"/>
      <c r="N9" s="54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3"/>
      <c r="AB9" s="41"/>
      <c r="AC9" s="11" t="s">
        <v>29</v>
      </c>
    </row>
    <row r="10" spans="1:29" ht="16.5" thickBot="1" x14ac:dyDescent="0.3">
      <c r="A10" s="41"/>
      <c r="B10" s="60" t="s">
        <v>0</v>
      </c>
      <c r="C10" s="61" t="s">
        <v>1</v>
      </c>
      <c r="D10" s="61" t="s">
        <v>3</v>
      </c>
      <c r="E10" s="61" t="s">
        <v>2</v>
      </c>
      <c r="F10" s="62" t="s">
        <v>105</v>
      </c>
      <c r="G10" s="57"/>
      <c r="H10" s="57"/>
      <c r="I10" s="57"/>
      <c r="J10" s="63" t="s">
        <v>0</v>
      </c>
      <c r="K10" s="64" t="s">
        <v>108</v>
      </c>
      <c r="L10" s="65" t="s">
        <v>109</v>
      </c>
      <c r="M10" s="40"/>
      <c r="N10" s="86" t="s">
        <v>5</v>
      </c>
      <c r="O10" s="87"/>
      <c r="P10" s="87" t="s">
        <v>4</v>
      </c>
      <c r="Q10" s="87"/>
      <c r="R10" s="87" t="s">
        <v>6</v>
      </c>
      <c r="S10" s="87"/>
      <c r="T10" s="53" t="s">
        <v>24</v>
      </c>
      <c r="U10" s="53" t="s">
        <v>23</v>
      </c>
      <c r="V10" s="75" t="s">
        <v>21</v>
      </c>
      <c r="W10" s="75"/>
      <c r="X10" s="53" t="s">
        <v>7</v>
      </c>
      <c r="Y10" s="53" t="s">
        <v>102</v>
      </c>
      <c r="Z10" s="5" t="s">
        <v>25</v>
      </c>
      <c r="AA10" s="43"/>
      <c r="AB10" s="41"/>
      <c r="AC10" s="11" t="s">
        <v>30</v>
      </c>
    </row>
    <row r="11" spans="1:29" ht="16.5" thickBot="1" x14ac:dyDescent="0.3">
      <c r="A11" s="41"/>
      <c r="B11" s="21">
        <v>1</v>
      </c>
      <c r="C11" s="22"/>
      <c r="D11" s="23">
        <f>N11+C11</f>
        <v>0</v>
      </c>
      <c r="E11" s="24" t="str">
        <f>IF(ISBLANK($C11),"Em Branco/Folga",IF($C11&gt;=$G11,"Atingiu",IF($C11&lt;0,"Prejuizo",IF($C11&lt;$G11,"Não Atingiu"))))</f>
        <v>Em Branco/Folga</v>
      </c>
      <c r="F11" s="26" t="str">
        <f t="shared" ref="F11:F15" si="0">IF(ISBLANK($C11),"Em Branco",IF($I11&gt;$C11,"Está Arriscando Sua Banca",IF($C11&lt;=$H11,"Parabéns Seguiu Gerenciamento","Está Se Arriscando Acima De 3%")))</f>
        <v>Em Branco</v>
      </c>
      <c r="G11" s="58">
        <f>(($Z$11)*($N$11+SUM($K$11:K11)+SUM($L$11:L11)))</f>
        <v>0</v>
      </c>
      <c r="H11" s="58">
        <f>((0.01)*($N$11+SUM($K$11:K11)+SUM($L$11:L11))*3)</f>
        <v>0</v>
      </c>
      <c r="I11" s="58">
        <f t="shared" ref="I11:I41" si="1">-$H11</f>
        <v>0</v>
      </c>
      <c r="J11" s="21">
        <v>1</v>
      </c>
      <c r="K11" s="66"/>
      <c r="L11" s="36"/>
      <c r="M11" s="56"/>
      <c r="N11" s="76">
        <v>0</v>
      </c>
      <c r="O11" s="77"/>
      <c r="P11" s="78">
        <f>Z11*R11</f>
        <v>0</v>
      </c>
      <c r="Q11" s="78"/>
      <c r="R11" s="78">
        <f>(SUM(N11+SUM(C11:C41)))+(SUM(K11:K41))+(SUM(L11:L41))</f>
        <v>0</v>
      </c>
      <c r="S11" s="78"/>
      <c r="T11" s="52">
        <f>P11*0.2</f>
        <v>0</v>
      </c>
      <c r="U11" s="46">
        <f>R11*0.03</f>
        <v>0</v>
      </c>
      <c r="V11" s="47">
        <f>(R11)-(N11)-(SUM(K11:K41))-(SUM(L11:L41))</f>
        <v>0</v>
      </c>
      <c r="W11" s="48">
        <f>V11*Y11</f>
        <v>0</v>
      </c>
      <c r="X11" s="49" t="e">
        <f>(($R$11-$N$11)/$N$11)</f>
        <v>#DIV/0!</v>
      </c>
      <c r="Y11" s="18">
        <f>COTAÇÃO!B6/1000000</f>
        <v>5.2</v>
      </c>
      <c r="Z11" s="73">
        <v>0.01</v>
      </c>
      <c r="AA11" s="43"/>
      <c r="AB11" s="41"/>
      <c r="AC11" s="11" t="s">
        <v>31</v>
      </c>
    </row>
    <row r="12" spans="1:29" ht="15" customHeight="1" thickTop="1" thickBot="1" x14ac:dyDescent="0.3">
      <c r="A12" s="41"/>
      <c r="B12" s="7">
        <v>2</v>
      </c>
      <c r="C12" s="2"/>
      <c r="D12" s="6">
        <f>D11+C12</f>
        <v>0</v>
      </c>
      <c r="E12" s="19" t="str">
        <f>IF(ISBLANK($C12),"Em Branco/Folga",IF($C12&gt;=$G12,"Atingiu",IF($C12&lt;0,"Prejuizo",IF($C12&lt;$G12,"Não Atingiu"))))</f>
        <v>Em Branco/Folga</v>
      </c>
      <c r="F12" s="26" t="str">
        <f t="shared" si="0"/>
        <v>Em Branco</v>
      </c>
      <c r="G12" s="58">
        <f>(($Z$11)*($N$11+SUM($C$11:C11)+SUM($K$11:K12)+SUM($L$11:L12)))</f>
        <v>0</v>
      </c>
      <c r="H12" s="58">
        <f>((0.01)*($N$11+SUM($C$11:C11)+SUM($K$11:K12)+SUM($L$11:L12))*3)</f>
        <v>0</v>
      </c>
      <c r="I12" s="58">
        <f t="shared" si="1"/>
        <v>0</v>
      </c>
      <c r="J12" s="7">
        <v>2</v>
      </c>
      <c r="K12" s="67"/>
      <c r="L12" s="37"/>
      <c r="M12" s="56"/>
      <c r="N12" s="50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3"/>
      <c r="AB12" s="41"/>
      <c r="AC12" s="11" t="s">
        <v>32</v>
      </c>
    </row>
    <row r="13" spans="1:29" ht="15" customHeight="1" thickTop="1" thickBot="1" x14ac:dyDescent="0.3">
      <c r="A13" s="41"/>
      <c r="B13" s="7">
        <v>3</v>
      </c>
      <c r="C13" s="1"/>
      <c r="D13" s="6">
        <f>D12+C13</f>
        <v>0</v>
      </c>
      <c r="E13" s="19" t="str">
        <f t="shared" ref="E13:E41" si="2">IF(ISBLANK($C13),"Em Branco/Folga",IF($C13&gt;=$G13,"Atingiu",IF($C13&lt;0,"Prejuizo",IF($C13&lt;$G13,"Não Atingiu"))))</f>
        <v>Em Branco/Folga</v>
      </c>
      <c r="F13" s="26" t="str">
        <f t="shared" si="0"/>
        <v>Em Branco</v>
      </c>
      <c r="G13" s="58">
        <f>(($Z$11)*($N$11+SUM($C$11:C12)+SUM($K$11:K13)+SUM($L$11:L13)))</f>
        <v>0</v>
      </c>
      <c r="H13" s="58">
        <f>((0.01)*($N$11+SUM($C$11:C12)+SUM($K$11:K13)+SUM($L$11:L13))*3)</f>
        <v>0</v>
      </c>
      <c r="I13" s="58">
        <f t="shared" si="1"/>
        <v>0</v>
      </c>
      <c r="J13" s="7">
        <v>3</v>
      </c>
      <c r="K13" s="68"/>
      <c r="L13" s="38"/>
      <c r="M13" s="56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3"/>
      <c r="AB13" s="41"/>
      <c r="AC13" s="11" t="s">
        <v>33</v>
      </c>
    </row>
    <row r="14" spans="1:29" ht="15" customHeight="1" thickTop="1" thickBot="1" x14ac:dyDescent="0.3">
      <c r="A14" s="41"/>
      <c r="B14" s="7">
        <v>4</v>
      </c>
      <c r="C14" s="2"/>
      <c r="D14" s="6">
        <f>D13+C14</f>
        <v>0</v>
      </c>
      <c r="E14" s="19" t="str">
        <f t="shared" si="2"/>
        <v>Em Branco/Folga</v>
      </c>
      <c r="F14" s="26" t="str">
        <f t="shared" si="0"/>
        <v>Em Branco</v>
      </c>
      <c r="G14" s="58">
        <f>(($Z$11)*($N$11+SUM($C$11:C13)+SUM($K$11:K14)+SUM($L$11:L14)))</f>
        <v>0</v>
      </c>
      <c r="H14" s="58">
        <f>((0.01)*($N$11+SUM($C$11:C13)+SUM($K$11:K14)+SUM($L$11:L14))*3)</f>
        <v>0</v>
      </c>
      <c r="I14" s="58">
        <f t="shared" si="1"/>
        <v>0</v>
      </c>
      <c r="J14" s="7">
        <v>4</v>
      </c>
      <c r="K14" s="67"/>
      <c r="L14" s="37"/>
      <c r="M14" s="56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3"/>
      <c r="AB14" s="41"/>
      <c r="AC14" s="11" t="s">
        <v>34</v>
      </c>
    </row>
    <row r="15" spans="1:29" ht="15" customHeight="1" thickTop="1" thickBot="1" x14ac:dyDescent="0.3">
      <c r="A15" s="41"/>
      <c r="B15" s="7">
        <v>5</v>
      </c>
      <c r="C15" s="1"/>
      <c r="D15" s="6">
        <f>D14+C15</f>
        <v>0</v>
      </c>
      <c r="E15" s="19" t="str">
        <f t="shared" si="2"/>
        <v>Em Branco/Folga</v>
      </c>
      <c r="F15" s="26" t="str">
        <f t="shared" si="0"/>
        <v>Em Branco</v>
      </c>
      <c r="G15" s="58">
        <f>(($Z$11)*($N$11+SUM($C$11:C14)+SUM($K$11:K15)+SUM($L$11:L15)))</f>
        <v>0</v>
      </c>
      <c r="H15" s="58">
        <f>((0.01)*($N$11+SUM($C$11:C14)+SUM($K$11:K15)+SUM($L$11:L15))*3)</f>
        <v>0</v>
      </c>
      <c r="I15" s="58">
        <f t="shared" si="1"/>
        <v>0</v>
      </c>
      <c r="J15" s="7">
        <v>5</v>
      </c>
      <c r="K15" s="68"/>
      <c r="L15" s="38"/>
      <c r="M15" s="56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3"/>
      <c r="AB15" s="41"/>
      <c r="AC15" s="11" t="s">
        <v>35</v>
      </c>
    </row>
    <row r="16" spans="1:29" ht="15" customHeight="1" thickTop="1" thickBot="1" x14ac:dyDescent="0.3">
      <c r="A16" s="41"/>
      <c r="B16" s="7">
        <v>6</v>
      </c>
      <c r="C16" s="2"/>
      <c r="D16" s="6">
        <f>D15+C16</f>
        <v>0</v>
      </c>
      <c r="E16" s="19" t="str">
        <f t="shared" si="2"/>
        <v>Em Branco/Folga</v>
      </c>
      <c r="F16" s="26" t="str">
        <f>IF(ISBLANK($C16),"Em Branco",IF($I16&gt;$C16,"Está Arriscando Sua Banca",IF($C16&lt;=$H16,"Parabéns Seguiu Gerenciamento","Está Se Arriscando Acima De 3%")))</f>
        <v>Em Branco</v>
      </c>
      <c r="G16" s="58">
        <f>(($Z$11)*($N$11+SUM($C$11:C15)+SUM($K$11:K16)+SUM($L$11:L16)))</f>
        <v>0</v>
      </c>
      <c r="H16" s="58">
        <f>((0.01)*($N$11+SUM($C$11:C15)+SUM($K$11:K16)+SUM($L$11:L16))*3)</f>
        <v>0</v>
      </c>
      <c r="I16" s="58">
        <f t="shared" si="1"/>
        <v>0</v>
      </c>
      <c r="J16" s="7">
        <v>6</v>
      </c>
      <c r="K16" s="67"/>
      <c r="L16" s="37"/>
      <c r="M16" s="56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3"/>
      <c r="AB16" s="41"/>
      <c r="AC16" s="11" t="s">
        <v>36</v>
      </c>
    </row>
    <row r="17" spans="1:29" ht="15" customHeight="1" thickTop="1" thickBot="1" x14ac:dyDescent="0.3">
      <c r="A17" s="41"/>
      <c r="B17" s="7">
        <v>7</v>
      </c>
      <c r="C17" s="1"/>
      <c r="D17" s="6">
        <f t="shared" ref="D17:D41" si="3">D16+C17</f>
        <v>0</v>
      </c>
      <c r="E17" s="19" t="str">
        <f t="shared" si="2"/>
        <v>Em Branco/Folga</v>
      </c>
      <c r="F17" s="26" t="str">
        <f t="shared" ref="F17:F41" si="4">IF(ISBLANK($C17),"Em Branco",IF(I17&gt;C17,"Está Arriscando Sua Banca",IF($C17&lt;=$H17,"Parabéns Seguiu Gerenciamento","Está Se Arriscando Acima De 3%")))</f>
        <v>Em Branco</v>
      </c>
      <c r="G17" s="58">
        <f>(($Z$11)*($N$11+SUM($C$11:C16)+SUM($K$11:K17)+SUM($L$11:L17)))</f>
        <v>0</v>
      </c>
      <c r="H17" s="58">
        <f>((0.01)*($N$11+SUM($C$11:C16)+SUM($K$11:K17)+SUM($L$11:L17))*3)</f>
        <v>0</v>
      </c>
      <c r="I17" s="58">
        <f t="shared" si="1"/>
        <v>0</v>
      </c>
      <c r="J17" s="7">
        <v>7</v>
      </c>
      <c r="K17" s="68"/>
      <c r="L17" s="38"/>
      <c r="M17" s="56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3"/>
      <c r="AB17" s="41"/>
      <c r="AC17" s="11" t="s">
        <v>37</v>
      </c>
    </row>
    <row r="18" spans="1:29" ht="15" customHeight="1" thickTop="1" thickBot="1" x14ac:dyDescent="0.3">
      <c r="A18" s="41"/>
      <c r="B18" s="7">
        <v>8</v>
      </c>
      <c r="C18" s="2"/>
      <c r="D18" s="6">
        <f t="shared" si="3"/>
        <v>0</v>
      </c>
      <c r="E18" s="19" t="str">
        <f t="shared" si="2"/>
        <v>Em Branco/Folga</v>
      </c>
      <c r="F18" s="26" t="str">
        <f t="shared" si="4"/>
        <v>Em Branco</v>
      </c>
      <c r="G18" s="58">
        <f>(($Z$11)*($N$11+SUM($C$11:C17)+SUM($K$11:K18)+SUM($L$11:L18)))</f>
        <v>0</v>
      </c>
      <c r="H18" s="58">
        <f>((0.01)*($N$11+SUM($C$11:C17)+SUM($K$11:K18)+SUM($L$11:L18))*3)</f>
        <v>0</v>
      </c>
      <c r="I18" s="58">
        <f t="shared" si="1"/>
        <v>0</v>
      </c>
      <c r="J18" s="7">
        <v>8</v>
      </c>
      <c r="K18" s="67"/>
      <c r="L18" s="37"/>
      <c r="M18" s="56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3"/>
      <c r="AB18" s="41"/>
      <c r="AC18" s="12"/>
    </row>
    <row r="19" spans="1:29" ht="15" customHeight="1" thickTop="1" thickBot="1" x14ac:dyDescent="0.3">
      <c r="A19" s="41"/>
      <c r="B19" s="7">
        <v>9</v>
      </c>
      <c r="C19" s="1"/>
      <c r="D19" s="6">
        <f t="shared" si="3"/>
        <v>0</v>
      </c>
      <c r="E19" s="19" t="str">
        <f t="shared" si="2"/>
        <v>Em Branco/Folga</v>
      </c>
      <c r="F19" s="26" t="str">
        <f t="shared" si="4"/>
        <v>Em Branco</v>
      </c>
      <c r="G19" s="58">
        <f>(($Z$11)*($N$11+SUM($C$11:C18)+SUM($K$11:K19)+SUM($L$11:L19)))</f>
        <v>0</v>
      </c>
      <c r="H19" s="58">
        <f>((0.01)*($N$11+SUM($C$11:C18)+SUM($K$11:K19)+SUM($L$11:L19))*3)</f>
        <v>0</v>
      </c>
      <c r="I19" s="58">
        <f t="shared" si="1"/>
        <v>0</v>
      </c>
      <c r="J19" s="7">
        <v>9</v>
      </c>
      <c r="K19" s="68"/>
      <c r="L19" s="38"/>
      <c r="M19" s="56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3"/>
      <c r="AB19" s="41"/>
      <c r="AC19" s="12"/>
    </row>
    <row r="20" spans="1:29" ht="15" customHeight="1" thickTop="1" thickBot="1" x14ac:dyDescent="0.3">
      <c r="A20" s="41"/>
      <c r="B20" s="7">
        <v>10</v>
      </c>
      <c r="C20" s="2"/>
      <c r="D20" s="6">
        <f t="shared" si="3"/>
        <v>0</v>
      </c>
      <c r="E20" s="19" t="str">
        <f t="shared" si="2"/>
        <v>Em Branco/Folga</v>
      </c>
      <c r="F20" s="26" t="str">
        <f t="shared" si="4"/>
        <v>Em Branco</v>
      </c>
      <c r="G20" s="58">
        <f>(($Z$11)*($N$11+SUM($C$11:C19)+SUM($K$11:K20)+SUM($L$11:L20)))</f>
        <v>0</v>
      </c>
      <c r="H20" s="58">
        <f>((0.01)*($N$11+SUM($C$11:C19)+SUM($K$11:K20)+SUM($L$11:L20))*3)</f>
        <v>0</v>
      </c>
      <c r="I20" s="58">
        <f t="shared" si="1"/>
        <v>0</v>
      </c>
      <c r="J20" s="7">
        <v>10</v>
      </c>
      <c r="K20" s="67"/>
      <c r="L20" s="37"/>
      <c r="M20" s="56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3"/>
      <c r="AB20" s="41"/>
      <c r="AC20" s="12"/>
    </row>
    <row r="21" spans="1:29" ht="15" customHeight="1" thickTop="1" thickBot="1" x14ac:dyDescent="0.3">
      <c r="A21" s="41"/>
      <c r="B21" s="7">
        <v>11</v>
      </c>
      <c r="C21" s="1"/>
      <c r="D21" s="6">
        <f t="shared" si="3"/>
        <v>0</v>
      </c>
      <c r="E21" s="19" t="str">
        <f t="shared" si="2"/>
        <v>Em Branco/Folga</v>
      </c>
      <c r="F21" s="26" t="str">
        <f t="shared" si="4"/>
        <v>Em Branco</v>
      </c>
      <c r="G21" s="58">
        <f>(($Z$11)*($N$11+SUM($C$11:C20)+SUM($K$11:K21)+SUM($L$11:L21)))</f>
        <v>0</v>
      </c>
      <c r="H21" s="58">
        <f>((0.01)*($N$11+SUM($C$11:C20)+SUM($K$11:K21)+SUM($L$11:L21))*3)</f>
        <v>0</v>
      </c>
      <c r="I21" s="58">
        <f t="shared" si="1"/>
        <v>0</v>
      </c>
      <c r="J21" s="7">
        <v>11</v>
      </c>
      <c r="K21" s="68"/>
      <c r="L21" s="38"/>
      <c r="M21" s="56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12"/>
    </row>
    <row r="22" spans="1:29" ht="15" customHeight="1" thickTop="1" thickBot="1" x14ac:dyDescent="0.3">
      <c r="A22" s="41"/>
      <c r="B22" s="7">
        <v>12</v>
      </c>
      <c r="C22" s="2"/>
      <c r="D22" s="6">
        <f t="shared" si="3"/>
        <v>0</v>
      </c>
      <c r="E22" s="19" t="str">
        <f t="shared" si="2"/>
        <v>Em Branco/Folga</v>
      </c>
      <c r="F22" s="26" t="str">
        <f t="shared" si="4"/>
        <v>Em Branco</v>
      </c>
      <c r="G22" s="58">
        <f>(($Z$11)*($N$11+SUM($C$11:C21)+SUM($K$11:K22)+SUM($L$11:L22)))</f>
        <v>0</v>
      </c>
      <c r="H22" s="58">
        <f>((0.01)*($N$11+SUM($C$11:C21)+SUM($K$11:K22)+SUM($L$11:L22))*3)</f>
        <v>0</v>
      </c>
      <c r="I22" s="58">
        <f t="shared" si="1"/>
        <v>0</v>
      </c>
      <c r="J22" s="7">
        <v>12</v>
      </c>
      <c r="K22" s="67"/>
      <c r="L22" s="37"/>
      <c r="M22" s="56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12"/>
    </row>
    <row r="23" spans="1:29" ht="15" customHeight="1" thickTop="1" thickBot="1" x14ac:dyDescent="0.3">
      <c r="A23" s="41"/>
      <c r="B23" s="7">
        <v>13</v>
      </c>
      <c r="C23" s="1"/>
      <c r="D23" s="6">
        <f t="shared" si="3"/>
        <v>0</v>
      </c>
      <c r="E23" s="19" t="str">
        <f t="shared" si="2"/>
        <v>Em Branco/Folga</v>
      </c>
      <c r="F23" s="26" t="str">
        <f t="shared" si="4"/>
        <v>Em Branco</v>
      </c>
      <c r="G23" s="58">
        <f>(($Z$11)*($N$11+SUM($C$11:C22)+SUM($K$11:K23)+SUM($L$11:L23)))</f>
        <v>0</v>
      </c>
      <c r="H23" s="58">
        <f>((0.01)*($N$11+SUM($C$11:C22)+SUM($K$11:K23)+SUM($L$11:L23))*3)</f>
        <v>0</v>
      </c>
      <c r="I23" s="58">
        <f t="shared" si="1"/>
        <v>0</v>
      </c>
      <c r="J23" s="7">
        <v>13</v>
      </c>
      <c r="K23" s="68"/>
      <c r="L23" s="38"/>
      <c r="M23" s="56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12"/>
    </row>
    <row r="24" spans="1:29" ht="15" customHeight="1" thickTop="1" thickBot="1" x14ac:dyDescent="0.3">
      <c r="A24" s="41"/>
      <c r="B24" s="7">
        <v>14</v>
      </c>
      <c r="C24" s="2"/>
      <c r="D24" s="6">
        <f t="shared" si="3"/>
        <v>0</v>
      </c>
      <c r="E24" s="19" t="str">
        <f t="shared" si="2"/>
        <v>Em Branco/Folga</v>
      </c>
      <c r="F24" s="26" t="str">
        <f t="shared" si="4"/>
        <v>Em Branco</v>
      </c>
      <c r="G24" s="58">
        <f>(($Z$11)*($N$11+SUM($C$11:C23)+SUM($K$11:K24)+SUM($L$11:L24)))</f>
        <v>0</v>
      </c>
      <c r="H24" s="58">
        <f>((0.01)*($N$11+SUM($C$11:C23)+SUM($K$11:K24)+SUM($L$11:L24))*3)</f>
        <v>0</v>
      </c>
      <c r="I24" s="58">
        <f t="shared" si="1"/>
        <v>0</v>
      </c>
      <c r="J24" s="7">
        <v>14</v>
      </c>
      <c r="K24" s="67"/>
      <c r="L24" s="37"/>
      <c r="M24" s="56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12"/>
    </row>
    <row r="25" spans="1:29" ht="15" customHeight="1" thickTop="1" thickBot="1" x14ac:dyDescent="0.3">
      <c r="A25" s="41"/>
      <c r="B25" s="7">
        <v>15</v>
      </c>
      <c r="C25" s="1"/>
      <c r="D25" s="6">
        <f t="shared" si="3"/>
        <v>0</v>
      </c>
      <c r="E25" s="19" t="str">
        <f t="shared" si="2"/>
        <v>Em Branco/Folga</v>
      </c>
      <c r="F25" s="26" t="str">
        <f t="shared" si="4"/>
        <v>Em Branco</v>
      </c>
      <c r="G25" s="58">
        <f>(($Z$11)*($N$11+SUM($C$11:C24)+SUM($K$11:K25)+SUM($L$11:L25)))</f>
        <v>0</v>
      </c>
      <c r="H25" s="58">
        <f>((0.01)*($N$11+SUM($C$11:C24)+SUM($K$11:K25)+SUM($L$11:L25))*3)</f>
        <v>0</v>
      </c>
      <c r="I25" s="58">
        <f t="shared" si="1"/>
        <v>0</v>
      </c>
      <c r="J25" s="7">
        <v>15</v>
      </c>
      <c r="K25" s="68"/>
      <c r="L25" s="38"/>
      <c r="M25" s="56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12"/>
    </row>
    <row r="26" spans="1:29" ht="15" customHeight="1" thickTop="1" thickBot="1" x14ac:dyDescent="0.3">
      <c r="A26" s="41"/>
      <c r="B26" s="7">
        <v>16</v>
      </c>
      <c r="C26" s="2"/>
      <c r="D26" s="6">
        <f t="shared" si="3"/>
        <v>0</v>
      </c>
      <c r="E26" s="19" t="str">
        <f t="shared" si="2"/>
        <v>Em Branco/Folga</v>
      </c>
      <c r="F26" s="26" t="str">
        <f t="shared" si="4"/>
        <v>Em Branco</v>
      </c>
      <c r="G26" s="58">
        <f>(($Z$11)*($N$11+SUM($C$11:C25)+SUM($K$11:K26)+SUM($L$11:L26)))</f>
        <v>0</v>
      </c>
      <c r="H26" s="58">
        <f>((0.01)*($N$11+SUM($C$11:C25)+SUM($K$11:K26)+SUM($L$11:L26))*3)</f>
        <v>0</v>
      </c>
      <c r="I26" s="58">
        <f t="shared" si="1"/>
        <v>0</v>
      </c>
      <c r="J26" s="7">
        <v>16</v>
      </c>
      <c r="K26" s="67"/>
      <c r="L26" s="37"/>
      <c r="M26" s="56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12"/>
    </row>
    <row r="27" spans="1:29" ht="15" customHeight="1" thickTop="1" thickBot="1" x14ac:dyDescent="0.3">
      <c r="A27" s="41"/>
      <c r="B27" s="7">
        <v>17</v>
      </c>
      <c r="C27" s="1"/>
      <c r="D27" s="6">
        <f t="shared" si="3"/>
        <v>0</v>
      </c>
      <c r="E27" s="19" t="str">
        <f t="shared" si="2"/>
        <v>Em Branco/Folga</v>
      </c>
      <c r="F27" s="26" t="str">
        <f t="shared" si="4"/>
        <v>Em Branco</v>
      </c>
      <c r="G27" s="58">
        <f>(($Z$11)*($N$11+SUM($C$11:C26)+SUM($K$11:K27)+SUM($L$11:L27)))</f>
        <v>0</v>
      </c>
      <c r="H27" s="58">
        <f>((0.01)*($N$11+SUM($C$11:C26)+SUM($K$11:K27)+SUM($L$11:L27))*3)</f>
        <v>0</v>
      </c>
      <c r="I27" s="58">
        <f t="shared" si="1"/>
        <v>0</v>
      </c>
      <c r="J27" s="7">
        <v>17</v>
      </c>
      <c r="K27" s="68"/>
      <c r="L27" s="38"/>
      <c r="M27" s="56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12"/>
    </row>
    <row r="28" spans="1:29" ht="15" customHeight="1" thickTop="1" thickBot="1" x14ac:dyDescent="0.3">
      <c r="A28" s="41"/>
      <c r="B28" s="7">
        <v>18</v>
      </c>
      <c r="C28" s="2"/>
      <c r="D28" s="6">
        <f t="shared" si="3"/>
        <v>0</v>
      </c>
      <c r="E28" s="19" t="str">
        <f t="shared" si="2"/>
        <v>Em Branco/Folga</v>
      </c>
      <c r="F28" s="26" t="str">
        <f t="shared" si="4"/>
        <v>Em Branco</v>
      </c>
      <c r="G28" s="58">
        <f>(($Z$11)*($N$11+SUM($C$11:C27)+SUM($K$11:K28)+SUM($L$11:L28)))</f>
        <v>0</v>
      </c>
      <c r="H28" s="58">
        <f>((0.01)*($N$11+SUM($C$11:C27)+SUM($K$11:K28)+SUM($L$11:L28))*3)</f>
        <v>0</v>
      </c>
      <c r="I28" s="58">
        <f t="shared" si="1"/>
        <v>0</v>
      </c>
      <c r="J28" s="7">
        <v>18</v>
      </c>
      <c r="K28" s="67"/>
      <c r="L28" s="37"/>
      <c r="M28" s="56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12"/>
    </row>
    <row r="29" spans="1:29" ht="15" customHeight="1" thickTop="1" thickBot="1" x14ac:dyDescent="0.3">
      <c r="A29" s="41"/>
      <c r="B29" s="7">
        <v>19</v>
      </c>
      <c r="C29" s="1"/>
      <c r="D29" s="6">
        <f t="shared" si="3"/>
        <v>0</v>
      </c>
      <c r="E29" s="19" t="str">
        <f t="shared" si="2"/>
        <v>Em Branco/Folga</v>
      </c>
      <c r="F29" s="26" t="str">
        <f t="shared" si="4"/>
        <v>Em Branco</v>
      </c>
      <c r="G29" s="58">
        <f>(($Z$11)*($N$11+SUM($C$11:C28)+SUM($K$11:K29)+SUM($L$11:L29)))</f>
        <v>0</v>
      </c>
      <c r="H29" s="58">
        <f>((0.01)*($N$11+SUM($C$11:C28)+SUM($K$11:K29)+SUM($L$11:L29))*3)</f>
        <v>0</v>
      </c>
      <c r="I29" s="58">
        <f t="shared" si="1"/>
        <v>0</v>
      </c>
      <c r="J29" s="7">
        <v>19</v>
      </c>
      <c r="K29" s="68"/>
      <c r="L29" s="38"/>
      <c r="M29" s="56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12"/>
    </row>
    <row r="30" spans="1:29" ht="15" customHeight="1" thickTop="1" thickBot="1" x14ac:dyDescent="0.3">
      <c r="A30" s="41"/>
      <c r="B30" s="7">
        <v>20</v>
      </c>
      <c r="C30" s="2"/>
      <c r="D30" s="6">
        <f t="shared" si="3"/>
        <v>0</v>
      </c>
      <c r="E30" s="19" t="str">
        <f t="shared" si="2"/>
        <v>Em Branco/Folga</v>
      </c>
      <c r="F30" s="26" t="str">
        <f t="shared" si="4"/>
        <v>Em Branco</v>
      </c>
      <c r="G30" s="58">
        <f>(($Z$11)*($N$11+SUM($C$11:C29)+SUM($K$11:K30)+SUM($L$11:L30)))</f>
        <v>0</v>
      </c>
      <c r="H30" s="58">
        <f>((0.01)*($N$11+SUM($C$11:C29)+SUM($K$11:K30)+SUM($L$11:L30))*3)</f>
        <v>0</v>
      </c>
      <c r="I30" s="58">
        <f t="shared" si="1"/>
        <v>0</v>
      </c>
      <c r="J30" s="7">
        <v>20</v>
      </c>
      <c r="K30" s="67"/>
      <c r="L30" s="37"/>
      <c r="M30" s="56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12"/>
    </row>
    <row r="31" spans="1:29" ht="15" customHeight="1" thickTop="1" thickBot="1" x14ac:dyDescent="0.3">
      <c r="A31" s="41"/>
      <c r="B31" s="7">
        <v>21</v>
      </c>
      <c r="C31" s="1"/>
      <c r="D31" s="6">
        <f t="shared" si="3"/>
        <v>0</v>
      </c>
      <c r="E31" s="19" t="str">
        <f t="shared" si="2"/>
        <v>Em Branco/Folga</v>
      </c>
      <c r="F31" s="26" t="str">
        <f t="shared" si="4"/>
        <v>Em Branco</v>
      </c>
      <c r="G31" s="58">
        <f>(($Z$11)*($N$11+SUM($C$11:C30)+SUM($K$11:K31)+SUM($L$11:L31)))</f>
        <v>0</v>
      </c>
      <c r="H31" s="58">
        <f>((0.01)*($N$11+SUM($C$11:C30)+SUM($K$11:K31)+SUM($L$11:L31))*3)</f>
        <v>0</v>
      </c>
      <c r="I31" s="58">
        <f t="shared" si="1"/>
        <v>0</v>
      </c>
      <c r="J31" s="7">
        <v>21</v>
      </c>
      <c r="K31" s="68"/>
      <c r="L31" s="38"/>
      <c r="M31" s="56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12"/>
    </row>
    <row r="32" spans="1:29" ht="15" customHeight="1" thickTop="1" thickBot="1" x14ac:dyDescent="0.3">
      <c r="A32" s="41"/>
      <c r="B32" s="7">
        <v>22</v>
      </c>
      <c r="C32" s="1"/>
      <c r="D32" s="6">
        <f t="shared" si="3"/>
        <v>0</v>
      </c>
      <c r="E32" s="19" t="str">
        <f t="shared" si="2"/>
        <v>Em Branco/Folga</v>
      </c>
      <c r="F32" s="26" t="str">
        <f t="shared" si="4"/>
        <v>Em Branco</v>
      </c>
      <c r="G32" s="58">
        <f>(($Z$11)*($N$11+SUM($C$11:C31)+SUM($K$11:K32)+SUM($L$11:L32)))</f>
        <v>0</v>
      </c>
      <c r="H32" s="58">
        <f>((0.01)*($N$11+SUM($C$11:C31)+SUM($K$11:K32)+SUM($L$11:L32))*3)</f>
        <v>0</v>
      </c>
      <c r="I32" s="58">
        <f t="shared" si="1"/>
        <v>0</v>
      </c>
      <c r="J32" s="7">
        <v>22</v>
      </c>
      <c r="K32" s="68"/>
      <c r="L32" s="38"/>
      <c r="M32" s="56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</row>
    <row r="33" spans="1:28" ht="15" customHeight="1" thickTop="1" thickBot="1" x14ac:dyDescent="0.3">
      <c r="A33" s="41"/>
      <c r="B33" s="7">
        <v>23</v>
      </c>
      <c r="C33" s="1"/>
      <c r="D33" s="6">
        <f t="shared" si="3"/>
        <v>0</v>
      </c>
      <c r="E33" s="19" t="str">
        <f t="shared" si="2"/>
        <v>Em Branco/Folga</v>
      </c>
      <c r="F33" s="26" t="str">
        <f t="shared" si="4"/>
        <v>Em Branco</v>
      </c>
      <c r="G33" s="58">
        <f>(($Z$11)*($N$11+SUM($C$11:C32)+SUM($K$11:K33)+SUM($L$11:L33)))</f>
        <v>0</v>
      </c>
      <c r="H33" s="58">
        <f>((0.01)*($N$11+SUM($C$11:C32)+SUM($K$11:K33)+SUM($L$11:L33))*3)</f>
        <v>0</v>
      </c>
      <c r="I33" s="58">
        <f t="shared" si="1"/>
        <v>0</v>
      </c>
      <c r="J33" s="7">
        <v>23</v>
      </c>
      <c r="K33" s="68"/>
      <c r="L33" s="38"/>
      <c r="M33" s="56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</row>
    <row r="34" spans="1:28" ht="15" customHeight="1" thickTop="1" thickBot="1" x14ac:dyDescent="0.3">
      <c r="A34" s="41"/>
      <c r="B34" s="7">
        <v>24</v>
      </c>
      <c r="C34" s="1"/>
      <c r="D34" s="6">
        <f t="shared" si="3"/>
        <v>0</v>
      </c>
      <c r="E34" s="19" t="str">
        <f t="shared" si="2"/>
        <v>Em Branco/Folga</v>
      </c>
      <c r="F34" s="26" t="str">
        <f t="shared" si="4"/>
        <v>Em Branco</v>
      </c>
      <c r="G34" s="58">
        <f>(($Z$11)*($N$11+SUM($C$11:C33)+SUM($K$11:K34)+SUM($L$11:L34)))</f>
        <v>0</v>
      </c>
      <c r="H34" s="58">
        <f>((0.01)*($N$11+SUM($C$11:C33)+SUM($K$11:K34)+SUM($L$11:L34))*3)</f>
        <v>0</v>
      </c>
      <c r="I34" s="58">
        <f t="shared" si="1"/>
        <v>0</v>
      </c>
      <c r="J34" s="7">
        <v>24</v>
      </c>
      <c r="K34" s="68"/>
      <c r="L34" s="38"/>
      <c r="M34" s="56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</row>
    <row r="35" spans="1:28" ht="15" customHeight="1" thickTop="1" thickBot="1" x14ac:dyDescent="0.3">
      <c r="A35" s="41"/>
      <c r="B35" s="7">
        <v>25</v>
      </c>
      <c r="C35" s="1"/>
      <c r="D35" s="6">
        <f t="shared" si="3"/>
        <v>0</v>
      </c>
      <c r="E35" s="19" t="str">
        <f t="shared" si="2"/>
        <v>Em Branco/Folga</v>
      </c>
      <c r="F35" s="26" t="str">
        <f t="shared" si="4"/>
        <v>Em Branco</v>
      </c>
      <c r="G35" s="58">
        <f>(($Z$11)*($N$11+SUM($C$11:C34)+SUM($K$11:K35)+SUM($L$11:L35)))</f>
        <v>0</v>
      </c>
      <c r="H35" s="58">
        <f>((0.01)*($N$11+SUM($C$11:C34)+SUM($K$11:K35)+SUM($L$11:L35))*3)</f>
        <v>0</v>
      </c>
      <c r="I35" s="58">
        <f t="shared" si="1"/>
        <v>0</v>
      </c>
      <c r="J35" s="7">
        <v>25</v>
      </c>
      <c r="K35" s="68"/>
      <c r="L35" s="38"/>
      <c r="M35" s="56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</row>
    <row r="36" spans="1:28" ht="15" customHeight="1" thickTop="1" thickBot="1" x14ac:dyDescent="0.3">
      <c r="A36" s="41"/>
      <c r="B36" s="7">
        <v>26</v>
      </c>
      <c r="C36" s="1"/>
      <c r="D36" s="6">
        <f t="shared" si="3"/>
        <v>0</v>
      </c>
      <c r="E36" s="19" t="str">
        <f t="shared" si="2"/>
        <v>Em Branco/Folga</v>
      </c>
      <c r="F36" s="26" t="str">
        <f t="shared" si="4"/>
        <v>Em Branco</v>
      </c>
      <c r="G36" s="58">
        <f>(($Z$11)*($N$11+SUM($C$11:C35)+SUM($K$11:K36)+SUM($L$11:L36)))</f>
        <v>0</v>
      </c>
      <c r="H36" s="58">
        <f>((0.01)*($N$11+SUM($C$11:C35)+SUM($K$11:K36)+SUM($L$11:L36))*3)</f>
        <v>0</v>
      </c>
      <c r="I36" s="58">
        <f t="shared" si="1"/>
        <v>0</v>
      </c>
      <c r="J36" s="7">
        <v>26</v>
      </c>
      <c r="K36" s="68"/>
      <c r="L36" s="38"/>
      <c r="M36" s="56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</row>
    <row r="37" spans="1:28" ht="15" customHeight="1" thickTop="1" thickBot="1" x14ac:dyDescent="0.3">
      <c r="A37" s="41"/>
      <c r="B37" s="7">
        <v>27</v>
      </c>
      <c r="C37" s="1"/>
      <c r="D37" s="6">
        <f t="shared" si="3"/>
        <v>0</v>
      </c>
      <c r="E37" s="19" t="str">
        <f t="shared" si="2"/>
        <v>Em Branco/Folga</v>
      </c>
      <c r="F37" s="26" t="str">
        <f t="shared" si="4"/>
        <v>Em Branco</v>
      </c>
      <c r="G37" s="58">
        <f>(($Z$11)*($N$11+SUM($C$11:C36)+SUM($K$11:K37)+SUM($L$11:L37)))</f>
        <v>0</v>
      </c>
      <c r="H37" s="58">
        <f>((0.01)*($N$11+SUM($C$11:C36)+SUM($K$11:K37)+SUM($L$11:L37))*3)</f>
        <v>0</v>
      </c>
      <c r="I37" s="58">
        <f t="shared" si="1"/>
        <v>0</v>
      </c>
      <c r="J37" s="7">
        <v>27</v>
      </c>
      <c r="K37" s="68"/>
      <c r="L37" s="38"/>
      <c r="M37" s="56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</row>
    <row r="38" spans="1:28" ht="15" customHeight="1" thickTop="1" thickBot="1" x14ac:dyDescent="0.3">
      <c r="A38" s="41"/>
      <c r="B38" s="7">
        <v>28</v>
      </c>
      <c r="C38" s="1"/>
      <c r="D38" s="6">
        <f t="shared" si="3"/>
        <v>0</v>
      </c>
      <c r="E38" s="19" t="str">
        <f t="shared" si="2"/>
        <v>Em Branco/Folga</v>
      </c>
      <c r="F38" s="26" t="str">
        <f t="shared" si="4"/>
        <v>Em Branco</v>
      </c>
      <c r="G38" s="58">
        <f>(($Z$11)*($N$11+SUM($C$11:C37)+SUM($K$11:K38)+SUM($L$11:L38)))</f>
        <v>0</v>
      </c>
      <c r="H38" s="58">
        <f>((0.01)*($N$11+SUM($C$11:C37)+SUM($K$11:K38)+SUM($L$11:L38))*3)</f>
        <v>0</v>
      </c>
      <c r="I38" s="58">
        <f t="shared" si="1"/>
        <v>0</v>
      </c>
      <c r="J38" s="7">
        <v>28</v>
      </c>
      <c r="K38" s="68"/>
      <c r="L38" s="38"/>
      <c r="M38" s="56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</row>
    <row r="39" spans="1:28" ht="15" customHeight="1" thickTop="1" thickBot="1" x14ac:dyDescent="0.3">
      <c r="A39" s="41"/>
      <c r="B39" s="7">
        <v>29</v>
      </c>
      <c r="C39" s="2"/>
      <c r="D39" s="6">
        <f t="shared" si="3"/>
        <v>0</v>
      </c>
      <c r="E39" s="19" t="str">
        <f t="shared" si="2"/>
        <v>Em Branco/Folga</v>
      </c>
      <c r="F39" s="26" t="str">
        <f t="shared" si="4"/>
        <v>Em Branco</v>
      </c>
      <c r="G39" s="58">
        <f>(($Z$11)*($N$11+SUM($C$11:C38)+SUM($K$11:K39)+SUM($L$11:L39)))</f>
        <v>0</v>
      </c>
      <c r="H39" s="58">
        <f>((0.01)*($N$11+SUM($C$11:C38)+SUM($K$11:K39)+SUM($L$11:L39))*3)</f>
        <v>0</v>
      </c>
      <c r="I39" s="58">
        <f t="shared" si="1"/>
        <v>0</v>
      </c>
      <c r="J39" s="7">
        <v>29</v>
      </c>
      <c r="K39" s="67"/>
      <c r="L39" s="37"/>
      <c r="M39" s="56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</row>
    <row r="40" spans="1:28" ht="15" customHeight="1" thickTop="1" thickBot="1" x14ac:dyDescent="0.3">
      <c r="A40" s="41"/>
      <c r="B40" s="7">
        <v>30</v>
      </c>
      <c r="C40" s="1"/>
      <c r="D40" s="6">
        <f t="shared" si="3"/>
        <v>0</v>
      </c>
      <c r="E40" s="19" t="str">
        <f t="shared" si="2"/>
        <v>Em Branco/Folga</v>
      </c>
      <c r="F40" s="26" t="str">
        <f t="shared" si="4"/>
        <v>Em Branco</v>
      </c>
      <c r="G40" s="58">
        <f>(($Z$11)*($N$11+SUM($C$11:C39)+SUM($K$11:K40)+SUM($L$11:L40)))</f>
        <v>0</v>
      </c>
      <c r="H40" s="58">
        <f>((0.01)*($N$11+SUM($C$11:C39)+SUM($K$11:K40)+SUM($L$11:L40))*3)</f>
        <v>0</v>
      </c>
      <c r="I40" s="58">
        <f t="shared" si="1"/>
        <v>0</v>
      </c>
      <c r="J40" s="7">
        <v>30</v>
      </c>
      <c r="K40" s="68"/>
      <c r="L40" s="38"/>
      <c r="M40" s="56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</row>
    <row r="41" spans="1:28" ht="15.75" customHeight="1" thickTop="1" thickBot="1" x14ac:dyDescent="0.3">
      <c r="A41" s="41"/>
      <c r="B41" s="8">
        <v>31</v>
      </c>
      <c r="C41" s="3"/>
      <c r="D41" s="9">
        <f t="shared" si="3"/>
        <v>0</v>
      </c>
      <c r="E41" s="20" t="str">
        <f t="shared" si="2"/>
        <v>Em Branco/Folga</v>
      </c>
      <c r="F41" s="27" t="str">
        <f t="shared" si="4"/>
        <v>Em Branco</v>
      </c>
      <c r="G41" s="58">
        <f>(($Z$11)*($N$11+SUM($C$11:C40)+SUM($K$11:K41)+SUM($L$11:L41)))</f>
        <v>0</v>
      </c>
      <c r="H41" s="58">
        <f>((0.01)*($N$11+SUM($C$11:C40)+SUM($K$11:K41)+SUM($L$11:L41))*3)</f>
        <v>0</v>
      </c>
      <c r="I41" s="58">
        <f t="shared" si="1"/>
        <v>0</v>
      </c>
      <c r="J41" s="8">
        <v>31</v>
      </c>
      <c r="K41" s="69"/>
      <c r="L41" s="39"/>
      <c r="M41" s="56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</row>
    <row r="42" spans="1:28" x14ac:dyDescent="0.25">
      <c r="A42" s="41"/>
      <c r="B42" s="41"/>
      <c r="C42" s="41"/>
      <c r="D42" s="51"/>
      <c r="E42" s="41"/>
      <c r="F42" s="42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</row>
  </sheetData>
  <sheetProtection algorithmName="SHA-512" hashValue="pFUTq9S7ncJqHpHaswkuXTdSTceHQ3PK85A/AOhfPSJlddO/mEZN/n3Rz17v0zKcNRBEtp66Mhq91qJX816EWA==" saltValue="6dO1B4T+Inet6wf5JPFaDQ==" spinCount="100000" sheet="1" selectLockedCells="1"/>
  <mergeCells count="11">
    <mergeCell ref="D2:E2"/>
    <mergeCell ref="B9:D9"/>
    <mergeCell ref="E9:F9"/>
    <mergeCell ref="J9:L9"/>
    <mergeCell ref="N10:O10"/>
    <mergeCell ref="R10:S10"/>
    <mergeCell ref="V10:W10"/>
    <mergeCell ref="N11:O11"/>
    <mergeCell ref="P11:Q11"/>
    <mergeCell ref="R11:S11"/>
    <mergeCell ref="P10:Q10"/>
  </mergeCells>
  <conditionalFormatting sqref="C11:C31 C41">
    <cfRule type="containsBlanks" dxfId="46" priority="40">
      <formula>LEN(TRIM(C11))=0</formula>
    </cfRule>
    <cfRule type="cellIs" dxfId="45" priority="41" operator="equal">
      <formula>0</formula>
    </cfRule>
    <cfRule type="cellIs" dxfId="44" priority="42" operator="greaterThan">
      <formula>0</formula>
    </cfRule>
    <cfRule type="cellIs" dxfId="43" priority="43" operator="lessThan">
      <formula>0</formula>
    </cfRule>
  </conditionalFormatting>
  <conditionalFormatting sqref="E11:F41">
    <cfRule type="containsText" dxfId="42" priority="37" operator="containsText" text="Não Atingiu">
      <formula>NOT(ISERROR(SEARCH("Não Atingiu",E11)))</formula>
    </cfRule>
    <cfRule type="containsText" dxfId="41" priority="38" operator="containsText" text="Prejuizo">
      <formula>NOT(ISERROR(SEARCH("Prejuizo",E11)))</formula>
    </cfRule>
    <cfRule type="containsText" dxfId="40" priority="39" operator="containsText" text="Atingiu">
      <formula>NOT(ISERROR(SEARCH("Atingiu",E11)))</formula>
    </cfRule>
  </conditionalFormatting>
  <conditionalFormatting sqref="E12:F12">
    <cfRule type="cellIs" dxfId="39" priority="36" operator="equal">
      <formula>"Em Branco/Folga"</formula>
    </cfRule>
  </conditionalFormatting>
  <conditionalFormatting sqref="E11:F11">
    <cfRule type="cellIs" dxfId="38" priority="35" operator="equal">
      <formula>"Em Branco/Folga"</formula>
    </cfRule>
  </conditionalFormatting>
  <conditionalFormatting sqref="E13:F41">
    <cfRule type="cellIs" dxfId="37" priority="34" operator="equal">
      <formula>"Em Branco/Folga"</formula>
    </cfRule>
  </conditionalFormatting>
  <conditionalFormatting sqref="F11">
    <cfRule type="cellIs" dxfId="36" priority="26" operator="equal">
      <formula>"Está Arriscando Sua Banca"</formula>
    </cfRule>
    <cfRule type="cellIs" dxfId="35" priority="31" operator="equal">
      <formula>"Está Se Arriscando Acima De 3%"</formula>
    </cfRule>
    <cfRule type="cellIs" dxfId="34" priority="32" operator="equal">
      <formula>"Parabéns Seguiu Gerenciamento"</formula>
    </cfRule>
    <cfRule type="cellIs" dxfId="33" priority="33" operator="equal">
      <formula>"Em Branco"</formula>
    </cfRule>
  </conditionalFormatting>
  <conditionalFormatting sqref="F12:F41">
    <cfRule type="cellIs" dxfId="32" priority="30" operator="equal">
      <formula>"Em Branco/Folga"</formula>
    </cfRule>
  </conditionalFormatting>
  <conditionalFormatting sqref="F12:F41">
    <cfRule type="cellIs" dxfId="31" priority="27" operator="equal">
      <formula>"Está Se Arriscando Acima De 3%"</formula>
    </cfRule>
    <cfRule type="cellIs" dxfId="30" priority="28" operator="equal">
      <formula>"Parabéns Seguiu Gerenciamento"</formula>
    </cfRule>
    <cfRule type="cellIs" dxfId="29" priority="29" operator="equal">
      <formula>"Em Branco"</formula>
    </cfRule>
  </conditionalFormatting>
  <conditionalFormatting sqref="F12:F41">
    <cfRule type="cellIs" dxfId="28" priority="25" operator="equal">
      <formula>"Em Branco/Folga"</formula>
    </cfRule>
  </conditionalFormatting>
  <conditionalFormatting sqref="F12:F41">
    <cfRule type="cellIs" dxfId="27" priority="21" operator="equal">
      <formula>"Está Arriscando Sua Banca"</formula>
    </cfRule>
    <cfRule type="cellIs" dxfId="26" priority="22" operator="equal">
      <formula>"Está Se Arriscando Acima De 3%"</formula>
    </cfRule>
    <cfRule type="cellIs" dxfId="25" priority="23" operator="equal">
      <formula>"Parabéns Seguiu Gerenciamento"</formula>
    </cfRule>
    <cfRule type="cellIs" dxfId="24" priority="24" operator="equal">
      <formula>"Em Branco"</formula>
    </cfRule>
  </conditionalFormatting>
  <conditionalFormatting sqref="C32:C40">
    <cfRule type="containsBlanks" dxfId="23" priority="17">
      <formula>LEN(TRIM(C32))=0</formula>
    </cfRule>
    <cfRule type="cellIs" dxfId="22" priority="18" operator="equal">
      <formula>0</formula>
    </cfRule>
    <cfRule type="cellIs" dxfId="21" priority="19" operator="greaterThan">
      <formula>0</formula>
    </cfRule>
    <cfRule type="cellIs" dxfId="20" priority="20" operator="lessThan">
      <formula>0</formula>
    </cfRule>
  </conditionalFormatting>
  <conditionalFormatting sqref="K11:K31 K41">
    <cfRule type="containsBlanks" dxfId="19" priority="13">
      <formula>LEN(TRIM(K11))=0</formula>
    </cfRule>
    <cfRule type="cellIs" dxfId="18" priority="14" operator="equal">
      <formula>0</formula>
    </cfRule>
    <cfRule type="cellIs" dxfId="17" priority="15" operator="greaterThan">
      <formula>0</formula>
    </cfRule>
    <cfRule type="cellIs" dxfId="16" priority="16" operator="lessThan">
      <formula>0</formula>
    </cfRule>
  </conditionalFormatting>
  <conditionalFormatting sqref="K32:K40">
    <cfRule type="containsBlanks" dxfId="15" priority="9">
      <formula>LEN(TRIM(K32))=0</formula>
    </cfRule>
    <cfRule type="cellIs" dxfId="14" priority="10" operator="equal">
      <formula>0</formula>
    </cfRule>
    <cfRule type="cellIs" dxfId="13" priority="11" operator="greaterThan">
      <formula>0</formula>
    </cfRule>
    <cfRule type="cellIs" dxfId="12" priority="12" operator="lessThan">
      <formula>0</formula>
    </cfRule>
  </conditionalFormatting>
  <conditionalFormatting sqref="L11:M31 L41:M41">
    <cfRule type="containsBlanks" dxfId="11" priority="5">
      <formula>LEN(TRIM(L11))=0</formula>
    </cfRule>
    <cfRule type="cellIs" dxfId="10" priority="6" operator="equal">
      <formula>0</formula>
    </cfRule>
    <cfRule type="cellIs" dxfId="9" priority="7" operator="greaterThan">
      <formula>0</formula>
    </cfRule>
    <cfRule type="cellIs" dxfId="8" priority="8" operator="lessThan">
      <formula>0</formula>
    </cfRule>
  </conditionalFormatting>
  <conditionalFormatting sqref="L32:M40">
    <cfRule type="containsBlanks" dxfId="7" priority="1">
      <formula>LEN(TRIM(L32))=0</formula>
    </cfRule>
    <cfRule type="cellIs" dxfId="6" priority="2" operator="equal">
      <formula>0</formula>
    </cfRule>
    <cfRule type="cellIs" dxfId="5" priority="3" operator="greaterThan">
      <formula>0</formula>
    </cfRule>
    <cfRule type="cellIs" dxfId="4" priority="4" operator="lessThan">
      <formula>0</formula>
    </cfRule>
  </conditionalFormatting>
  <dataValidations count="7">
    <dataValidation type="decimal" allowBlank="1" showErrorMessage="1" errorTitle="ATENÇÃO" error="APENAS NÚMEROS" sqref="K11:K41" xr:uid="{82D8B440-1F60-47FA-91D8-E34A10D965D0}">
      <formula1>-999999999999999000</formula1>
      <formula2>999999999999999000</formula2>
    </dataValidation>
    <dataValidation type="decimal" allowBlank="1" showInputMessage="1" showErrorMessage="1" errorTitle="ATENÇÃO" error="APENAS NÚMEROS" promptTitle="SAQUES" prompt="COLOCAR SINAL NEGATIVO" sqref="L11:L41" xr:uid="{CF610217-52DE-4EDD-9D31-0F12C27D510F}">
      <formula1>-999999999999999000</formula1>
      <formula2>999999999999999000</formula2>
    </dataValidation>
    <dataValidation allowBlank="1" showInputMessage="1" showErrorMessage="1" errorTitle="ATENÇÃO" error="SELECIONE O MÊS DE REFERÊNCIA" sqref="J9 M9" xr:uid="{A368D9EC-1159-4774-B800-B3C2A5F54803}"/>
    <dataValidation type="decimal" allowBlank="1" showInputMessage="1" showErrorMessage="1" errorTitle="ATENÇÃO" error="APENAS NÚMEROS" sqref="N11:O11 C11:C41 M11:M41" xr:uid="{8B22FDAC-6D1B-4BCC-9443-2652EA0692E9}">
      <formula1>-999999999999999000</formula1>
      <formula2>999999999999999000</formula2>
    </dataValidation>
    <dataValidation type="list" allowBlank="1" showInputMessage="1" showErrorMessage="1" errorTitle="ATENÇÃO" error="SELECIONE O MÊS DE REFERÊNCIA" sqref="E9" xr:uid="{C28F4C8D-48DF-4483-821B-58FA8F0F3901}">
      <formula1>$AC$6:$AC$17</formula1>
    </dataValidation>
    <dataValidation type="decimal" allowBlank="1" showInputMessage="1" showErrorMessage="1" errorTitle="GERENCIAMENTO" error="SIGA O GERENCIAMENTO DE 1% A 3%" sqref="Z11" xr:uid="{0AC3AE93-5990-470F-AE22-F519AADB093D}">
      <formula1>0.000001</formula1>
      <formula2>0.03</formula2>
    </dataValidation>
    <dataValidation type="list" allowBlank="1" showInputMessage="1" showErrorMessage="1" sqref="E13:E41" xr:uid="{E9F5E4D5-29C0-4CE0-ABD0-055E2F1D5E47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tabColor rgb="FF00B050"/>
  </sheetPr>
  <dimension ref="A1:T27"/>
  <sheetViews>
    <sheetView showGridLines="0" showRowColHeaders="0" zoomScale="85" zoomScaleNormal="85" workbookViewId="0">
      <selection activeCell="E3" sqref="E3"/>
    </sheetView>
  </sheetViews>
  <sheetFormatPr defaultColWidth="0" defaultRowHeight="15" zeroHeight="1" x14ac:dyDescent="0.25"/>
  <cols>
    <col min="1" max="1" width="3.7109375" style="4" customWidth="1"/>
    <col min="2" max="4" width="12.7109375" style="4" customWidth="1"/>
    <col min="5" max="19" width="9.140625" style="4" customWidth="1"/>
    <col min="20" max="20" width="3.7109375" style="4" customWidth="1"/>
    <col min="21" max="16384" width="9.140625" style="4" hidden="1"/>
  </cols>
  <sheetData>
    <row r="1" spans="2:3" ht="9.9499999999999993" customHeight="1" x14ac:dyDescent="0.25"/>
    <row r="2" spans="2:3" x14ac:dyDescent="0.25"/>
    <row r="3" spans="2:3" x14ac:dyDescent="0.25"/>
    <row r="4" spans="2:3" x14ac:dyDescent="0.25"/>
    <row r="5" spans="2:3" x14ac:dyDescent="0.25"/>
    <row r="6" spans="2:3" x14ac:dyDescent="0.25"/>
    <row r="7" spans="2:3" ht="15.75" thickBot="1" x14ac:dyDescent="0.3"/>
    <row r="8" spans="2:3" x14ac:dyDescent="0.25">
      <c r="B8" s="33" t="s">
        <v>8</v>
      </c>
      <c r="C8" s="34" t="s">
        <v>1</v>
      </c>
    </row>
    <row r="9" spans="2:3" x14ac:dyDescent="0.25">
      <c r="B9" s="28" t="s">
        <v>9</v>
      </c>
      <c r="C9" s="29">
        <f>JAN!$V$11</f>
        <v>0</v>
      </c>
    </row>
    <row r="10" spans="2:3" x14ac:dyDescent="0.25">
      <c r="B10" s="28" t="s">
        <v>10</v>
      </c>
      <c r="C10" s="29">
        <f>FEV!$V$11</f>
        <v>0</v>
      </c>
    </row>
    <row r="11" spans="2:3" x14ac:dyDescent="0.25">
      <c r="B11" s="28" t="s">
        <v>11</v>
      </c>
      <c r="C11" s="29">
        <f>MAR!$V$11</f>
        <v>0</v>
      </c>
    </row>
    <row r="12" spans="2:3" x14ac:dyDescent="0.25">
      <c r="B12" s="28" t="s">
        <v>12</v>
      </c>
      <c r="C12" s="30">
        <f>ABR!$V$11</f>
        <v>0</v>
      </c>
    </row>
    <row r="13" spans="2:3" x14ac:dyDescent="0.25">
      <c r="B13" s="28" t="s">
        <v>13</v>
      </c>
      <c r="C13" s="29">
        <f>MAI!$V$11</f>
        <v>0</v>
      </c>
    </row>
    <row r="14" spans="2:3" x14ac:dyDescent="0.25">
      <c r="B14" s="28" t="s">
        <v>14</v>
      </c>
      <c r="C14" s="29">
        <f>JUN!$V$11</f>
        <v>0</v>
      </c>
    </row>
    <row r="15" spans="2:3" x14ac:dyDescent="0.25">
      <c r="B15" s="28" t="s">
        <v>15</v>
      </c>
      <c r="C15" s="29">
        <f>JUL!$V$11</f>
        <v>0</v>
      </c>
    </row>
    <row r="16" spans="2:3" x14ac:dyDescent="0.25">
      <c r="B16" s="28" t="s">
        <v>16</v>
      </c>
      <c r="C16" s="29">
        <f>AGO!$V$11</f>
        <v>0</v>
      </c>
    </row>
    <row r="17" spans="2:3" x14ac:dyDescent="0.25">
      <c r="B17" s="28" t="s">
        <v>17</v>
      </c>
      <c r="C17" s="29">
        <f>SET!$V$11</f>
        <v>0</v>
      </c>
    </row>
    <row r="18" spans="2:3" x14ac:dyDescent="0.25">
      <c r="B18" s="28" t="s">
        <v>18</v>
      </c>
      <c r="C18" s="29">
        <f>OUT!$V$11</f>
        <v>0</v>
      </c>
    </row>
    <row r="19" spans="2:3" x14ac:dyDescent="0.25">
      <c r="B19" s="28" t="s">
        <v>19</v>
      </c>
      <c r="C19" s="29">
        <f>NOV!$V$11</f>
        <v>0</v>
      </c>
    </row>
    <row r="20" spans="2:3" ht="15.75" thickBot="1" x14ac:dyDescent="0.3">
      <c r="B20" s="31" t="s">
        <v>20</v>
      </c>
      <c r="C20" s="29">
        <f>DEZ!$V$11</f>
        <v>0</v>
      </c>
    </row>
    <row r="21" spans="2:3" ht="15.75" customHeight="1" thickBot="1" x14ac:dyDescent="0.3">
      <c r="B21" s="32" t="s">
        <v>22</v>
      </c>
      <c r="C21" s="35">
        <f>SUM(C9:C20)</f>
        <v>0</v>
      </c>
    </row>
    <row r="22" spans="2:3" x14ac:dyDescent="0.25"/>
    <row r="23" spans="2:3" x14ac:dyDescent="0.25"/>
    <row r="24" spans="2:3" x14ac:dyDescent="0.25"/>
    <row r="25" spans="2:3" x14ac:dyDescent="0.25"/>
    <row r="26" spans="2:3" x14ac:dyDescent="0.25"/>
    <row r="27" spans="2:3" ht="9.9499999999999993" customHeight="1" x14ac:dyDescent="0.25"/>
  </sheetData>
  <sheetProtection algorithmName="SHA-512" hashValue="pKRwfOATRAw2GehdC7C7T+Eu23kKisweztH04F3tnTmOrlowtqAVqzeB3vTHx6rK8C1dMFJ+9+7HtrgStz9eAQ==" saltValue="Et8I6nJe1RgzY/gfqwcDzQ==" spinCount="100000" sheet="1" selectLockedCells="1"/>
  <phoneticPr fontId="5" type="noConversion"/>
  <conditionalFormatting sqref="C9:C20">
    <cfRule type="cellIs" dxfId="3" priority="13" operator="lessThan">
      <formula>0</formula>
    </cfRule>
    <cfRule type="cellIs" dxfId="2" priority="14" operator="greaterThan">
      <formula>0</formula>
    </cfRule>
  </conditionalFormatting>
  <conditionalFormatting sqref="C21">
    <cfRule type="cellIs" dxfId="1" priority="11" operator="greaterThan">
      <formula>0</formula>
    </cfRule>
    <cfRule type="cellIs" dxfId="0" priority="1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6D230-EE90-4A7F-B4A6-61189C18346E}">
  <sheetPr codeName="Planilha5">
    <tabColor theme="1"/>
  </sheetPr>
  <dimension ref="A1:E54"/>
  <sheetViews>
    <sheetView showRowColHeaders="0" workbookViewId="0"/>
  </sheetViews>
  <sheetFormatPr defaultColWidth="0" defaultRowHeight="15" zeroHeight="1" x14ac:dyDescent="0.25"/>
  <cols>
    <col min="1" max="1" width="23.85546875" bestFit="1" customWidth="1"/>
    <col min="2" max="2" width="22.28515625" bestFit="1" customWidth="1"/>
    <col min="3" max="3" width="13.85546875" bestFit="1" customWidth="1"/>
    <col min="4" max="4" width="9.140625" hidden="1"/>
    <col min="5" max="5" width="13.7109375" customWidth="1"/>
    <col min="6" max="16384" width="9.140625" hidden="1"/>
  </cols>
  <sheetData>
    <row r="1" spans="1:3" ht="15.75" thickBot="1" x14ac:dyDescent="0.3">
      <c r="A1" s="13" t="s">
        <v>39</v>
      </c>
      <c r="B1" s="13" t="s">
        <v>40</v>
      </c>
      <c r="C1" s="13" t="s">
        <v>41</v>
      </c>
    </row>
    <row r="2" spans="1:3" ht="15.75" thickBot="1" x14ac:dyDescent="0.3">
      <c r="A2" s="14" t="s">
        <v>42</v>
      </c>
      <c r="B2" s="15">
        <v>96339973</v>
      </c>
      <c r="C2" s="16" t="s">
        <v>112</v>
      </c>
    </row>
    <row r="3" spans="1:3" ht="15.75" thickBot="1" x14ac:dyDescent="0.3">
      <c r="A3" s="14" t="s">
        <v>43</v>
      </c>
      <c r="B3" s="15">
        <v>1358115</v>
      </c>
      <c r="C3" s="16" t="s">
        <v>124</v>
      </c>
    </row>
    <row r="4" spans="1:3" ht="15.75" thickBot="1" x14ac:dyDescent="0.3">
      <c r="A4" s="14" t="s">
        <v>44</v>
      </c>
      <c r="B4" s="16" t="s">
        <v>45</v>
      </c>
      <c r="C4" s="15">
        <v>2659574</v>
      </c>
    </row>
    <row r="5" spans="1:3" ht="15.75" thickBot="1" x14ac:dyDescent="0.3">
      <c r="A5" s="14" t="s">
        <v>46</v>
      </c>
      <c r="B5" s="15">
        <v>11096177</v>
      </c>
      <c r="C5" s="16" t="s">
        <v>125</v>
      </c>
    </row>
    <row r="6" spans="1:3" ht="15.75" thickBot="1" x14ac:dyDescent="0.3">
      <c r="A6" s="14" t="s">
        <v>47</v>
      </c>
      <c r="B6" s="15">
        <v>5201982</v>
      </c>
      <c r="C6" s="16" t="s">
        <v>126</v>
      </c>
    </row>
    <row r="7" spans="1:3" ht="15.75" thickBot="1" x14ac:dyDescent="0.3">
      <c r="A7" s="14" t="s">
        <v>48</v>
      </c>
      <c r="B7" s="15">
        <v>1361370</v>
      </c>
      <c r="C7" s="16" t="s">
        <v>127</v>
      </c>
    </row>
    <row r="8" spans="1:3" ht="15.75" thickBot="1" x14ac:dyDescent="0.3">
      <c r="A8" s="14" t="s">
        <v>49</v>
      </c>
      <c r="B8" s="15">
        <v>1661417</v>
      </c>
      <c r="C8" s="16" t="s">
        <v>128</v>
      </c>
    </row>
    <row r="9" spans="1:3" ht="15.75" thickBot="1" x14ac:dyDescent="0.3">
      <c r="A9" s="14" t="s">
        <v>50</v>
      </c>
      <c r="B9" s="15">
        <v>1256429</v>
      </c>
      <c r="C9" s="16" t="s">
        <v>129</v>
      </c>
    </row>
    <row r="10" spans="1:3" ht="15.75" thickBot="1" x14ac:dyDescent="0.3">
      <c r="A10" s="14" t="s">
        <v>51</v>
      </c>
      <c r="B10" s="15">
        <v>762100411</v>
      </c>
      <c r="C10" s="16" t="s">
        <v>111</v>
      </c>
    </row>
    <row r="11" spans="1:3" ht="15.75" thickBot="1" x14ac:dyDescent="0.3">
      <c r="A11" s="14" t="s">
        <v>52</v>
      </c>
      <c r="B11" s="15">
        <v>6481460</v>
      </c>
      <c r="C11" s="16" t="s">
        <v>130</v>
      </c>
    </row>
    <row r="12" spans="1:3" ht="15.75" thickBot="1" x14ac:dyDescent="0.3">
      <c r="A12" s="14" t="s">
        <v>53</v>
      </c>
      <c r="B12" s="15">
        <v>3867767325</v>
      </c>
      <c r="C12" s="16" t="s">
        <v>131</v>
      </c>
    </row>
    <row r="13" spans="1:3" ht="15.75" thickBot="1" x14ac:dyDescent="0.3">
      <c r="A13" s="14" t="s">
        <v>54</v>
      </c>
      <c r="B13" s="15">
        <v>6402899</v>
      </c>
      <c r="C13" s="16" t="s">
        <v>132</v>
      </c>
    </row>
    <row r="14" spans="1:3" ht="15.75" thickBot="1" x14ac:dyDescent="0.3">
      <c r="A14" s="14" t="s">
        <v>55</v>
      </c>
      <c r="B14" s="15">
        <v>21790405</v>
      </c>
      <c r="C14" s="16" t="s">
        <v>113</v>
      </c>
    </row>
    <row r="15" spans="1:3" ht="15.75" thickBot="1" x14ac:dyDescent="0.3">
      <c r="A15" s="14" t="s">
        <v>56</v>
      </c>
      <c r="B15" s="15">
        <v>6317106</v>
      </c>
      <c r="C15" s="16" t="s">
        <v>133</v>
      </c>
    </row>
    <row r="16" spans="1:3" ht="15.75" thickBot="1" x14ac:dyDescent="0.3">
      <c r="A16" s="14" t="s">
        <v>57</v>
      </c>
      <c r="B16" s="16" t="s">
        <v>134</v>
      </c>
      <c r="C16" s="15">
        <v>1177206</v>
      </c>
    </row>
    <row r="17" spans="1:3" ht="15.75" thickBot="1" x14ac:dyDescent="0.3">
      <c r="A17" s="14" t="s">
        <v>58</v>
      </c>
      <c r="B17" s="15">
        <v>7769410</v>
      </c>
      <c r="C17" s="16" t="s">
        <v>135</v>
      </c>
    </row>
    <row r="18" spans="1:3" ht="15.75" thickBot="1" x14ac:dyDescent="0.3">
      <c r="A18" s="14" t="s">
        <v>59</v>
      </c>
      <c r="B18" s="15">
        <v>306005339</v>
      </c>
      <c r="C18" s="16" t="s">
        <v>114</v>
      </c>
    </row>
    <row r="19" spans="1:3" ht="15.75" thickBot="1" x14ac:dyDescent="0.3">
      <c r="A19" s="14" t="s">
        <v>60</v>
      </c>
      <c r="B19" s="15">
        <v>126228921</v>
      </c>
      <c r="C19" s="16" t="s">
        <v>115</v>
      </c>
    </row>
    <row r="20" spans="1:3" ht="15.75" thickBot="1" x14ac:dyDescent="0.3">
      <c r="A20" s="14" t="s">
        <v>61</v>
      </c>
      <c r="B20" s="15">
        <v>74428307</v>
      </c>
      <c r="C20" s="16" t="s">
        <v>116</v>
      </c>
    </row>
    <row r="21" spans="1:3" ht="15.75" thickBot="1" x14ac:dyDescent="0.3">
      <c r="A21" s="14" t="s">
        <v>62</v>
      </c>
      <c r="B21" s="15">
        <v>14470837551</v>
      </c>
      <c r="C21" s="16" t="s">
        <v>106</v>
      </c>
    </row>
    <row r="22" spans="1:3" ht="15.75" thickBot="1" x14ac:dyDescent="0.3">
      <c r="A22" s="14" t="s">
        <v>63</v>
      </c>
      <c r="B22" s="15">
        <v>42025318594</v>
      </c>
      <c r="C22" s="16" t="s">
        <v>64</v>
      </c>
    </row>
    <row r="23" spans="1:3" ht="15.75" thickBot="1" x14ac:dyDescent="0.3">
      <c r="A23" s="14" t="s">
        <v>65</v>
      </c>
      <c r="B23" s="15">
        <v>3273597</v>
      </c>
      <c r="C23" s="16" t="s">
        <v>136</v>
      </c>
    </row>
    <row r="24" spans="1:3" ht="15.75" thickBot="1" x14ac:dyDescent="0.3">
      <c r="A24" s="14" t="s">
        <v>66</v>
      </c>
      <c r="B24" s="15">
        <v>110558139</v>
      </c>
      <c r="C24" s="16" t="s">
        <v>117</v>
      </c>
    </row>
    <row r="25" spans="1:3" ht="15.75" thickBot="1" x14ac:dyDescent="0.3">
      <c r="A25" s="14" t="s">
        <v>67</v>
      </c>
      <c r="B25" s="15">
        <v>426270636</v>
      </c>
      <c r="C25" s="16" t="s">
        <v>118</v>
      </c>
    </row>
    <row r="26" spans="1:3" ht="15.75" thickBot="1" x14ac:dyDescent="0.3">
      <c r="A26" s="14" t="s">
        <v>68</v>
      </c>
      <c r="B26" s="15">
        <v>1152109326</v>
      </c>
      <c r="C26" s="16" t="s">
        <v>119</v>
      </c>
    </row>
    <row r="27" spans="1:3" ht="15.75" thickBot="1" x14ac:dyDescent="0.3">
      <c r="A27" s="14" t="s">
        <v>69</v>
      </c>
      <c r="B27" s="16" t="s">
        <v>137</v>
      </c>
      <c r="C27" s="15">
        <v>3322731</v>
      </c>
    </row>
    <row r="28" spans="1:3" ht="15.75" thickBot="1" x14ac:dyDescent="0.3">
      <c r="A28" s="14" t="s">
        <v>70</v>
      </c>
      <c r="B28" s="15">
        <v>4508808</v>
      </c>
      <c r="C28" s="16" t="s">
        <v>138</v>
      </c>
    </row>
    <row r="29" spans="1:3" ht="15.75" thickBot="1" x14ac:dyDescent="0.3">
      <c r="A29" s="14" t="s">
        <v>71</v>
      </c>
      <c r="B29" s="15">
        <v>4227966</v>
      </c>
      <c r="C29" s="16" t="s">
        <v>139</v>
      </c>
    </row>
    <row r="30" spans="1:3" ht="15.75" thickBot="1" x14ac:dyDescent="0.3">
      <c r="A30" s="14" t="s">
        <v>72</v>
      </c>
      <c r="B30" s="15">
        <v>42963143</v>
      </c>
      <c r="C30" s="16" t="s">
        <v>140</v>
      </c>
    </row>
    <row r="31" spans="1:3" ht="15.75" thickBot="1" x14ac:dyDescent="0.3">
      <c r="A31" s="14" t="s">
        <v>73</v>
      </c>
      <c r="B31" s="15">
        <v>20057379</v>
      </c>
      <c r="C31" s="16" t="s">
        <v>141</v>
      </c>
    </row>
    <row r="32" spans="1:3" ht="15.75" thickBot="1" x14ac:dyDescent="0.3">
      <c r="A32" s="14" t="s">
        <v>74</v>
      </c>
      <c r="B32" s="15">
        <v>119643503</v>
      </c>
      <c r="C32" s="16" t="s">
        <v>120</v>
      </c>
    </row>
    <row r="33" spans="1:3" ht="15.75" thickBot="1" x14ac:dyDescent="0.3">
      <c r="A33" s="14" t="s">
        <v>75</v>
      </c>
      <c r="B33" s="15">
        <v>1433890</v>
      </c>
      <c r="C33" s="16" t="s">
        <v>142</v>
      </c>
    </row>
    <row r="34" spans="1:3" ht="15.75" thickBot="1" x14ac:dyDescent="0.3">
      <c r="A34" s="14" t="s">
        <v>76</v>
      </c>
      <c r="B34" s="15">
        <v>8862785</v>
      </c>
      <c r="C34" s="16" t="s">
        <v>143</v>
      </c>
    </row>
    <row r="35" spans="1:3" ht="15.75" thickBot="1" x14ac:dyDescent="0.3">
      <c r="A35" s="14" t="s">
        <v>77</v>
      </c>
      <c r="B35" s="16" t="s">
        <v>78</v>
      </c>
      <c r="C35" s="15">
        <v>2600780</v>
      </c>
    </row>
    <row r="36" spans="1:3" ht="15.75" thickBot="1" x14ac:dyDescent="0.3">
      <c r="A36" s="14" t="s">
        <v>79</v>
      </c>
      <c r="B36" s="15">
        <v>160747072</v>
      </c>
      <c r="C36" s="16" t="s">
        <v>121</v>
      </c>
    </row>
    <row r="37" spans="1:3" ht="15.75" thickBot="1" x14ac:dyDescent="0.3">
      <c r="A37" s="14" t="s">
        <v>80</v>
      </c>
      <c r="B37" s="15">
        <v>50224215</v>
      </c>
      <c r="C37" s="16" t="s">
        <v>144</v>
      </c>
    </row>
    <row r="38" spans="1:3" ht="15.75" thickBot="1" x14ac:dyDescent="0.3">
      <c r="A38" s="14" t="s">
        <v>81</v>
      </c>
      <c r="B38" s="15">
        <v>3885955</v>
      </c>
      <c r="C38" s="16" t="s">
        <v>145</v>
      </c>
    </row>
    <row r="39" spans="1:3" ht="15.75" thickBot="1" x14ac:dyDescent="0.3">
      <c r="A39" s="14" t="s">
        <v>82</v>
      </c>
      <c r="B39" s="15">
        <v>3640000</v>
      </c>
      <c r="C39" s="16" t="s">
        <v>83</v>
      </c>
    </row>
    <row r="40" spans="1:3" ht="15.75" thickBot="1" x14ac:dyDescent="0.3">
      <c r="A40" s="14" t="s">
        <v>84</v>
      </c>
      <c r="B40" s="15">
        <v>4181893</v>
      </c>
      <c r="C40" s="16" t="s">
        <v>146</v>
      </c>
    </row>
    <row r="41" spans="1:3" ht="15.75" thickBot="1" x14ac:dyDescent="0.3">
      <c r="A41" s="14" t="s">
        <v>85</v>
      </c>
      <c r="B41" s="15">
        <v>73830413</v>
      </c>
      <c r="C41" s="16" t="s">
        <v>147</v>
      </c>
    </row>
    <row r="42" spans="1:3" ht="15.75" thickBot="1" x14ac:dyDescent="0.3">
      <c r="A42" s="14" t="s">
        <v>86</v>
      </c>
      <c r="B42" s="15">
        <v>3750000</v>
      </c>
      <c r="C42" s="16" t="s">
        <v>87</v>
      </c>
    </row>
    <row r="43" spans="1:3" ht="15.75" thickBot="1" x14ac:dyDescent="0.3">
      <c r="A43" s="14" t="s">
        <v>88</v>
      </c>
      <c r="B43" s="15">
        <v>1361370</v>
      </c>
      <c r="C43" s="16" t="s">
        <v>127</v>
      </c>
    </row>
    <row r="44" spans="1:3" ht="15.75" thickBot="1" x14ac:dyDescent="0.3">
      <c r="A44" s="14" t="s">
        <v>89</v>
      </c>
      <c r="B44" s="15">
        <v>14845665</v>
      </c>
      <c r="C44" s="16" t="s">
        <v>148</v>
      </c>
    </row>
    <row r="45" spans="1:3" ht="15.75" thickBot="1" x14ac:dyDescent="0.3">
      <c r="A45" s="14" t="s">
        <v>90</v>
      </c>
      <c r="B45" s="15">
        <v>199376557</v>
      </c>
      <c r="C45" s="16" t="s">
        <v>122</v>
      </c>
    </row>
    <row r="46" spans="1:3" ht="15.75" thickBot="1" x14ac:dyDescent="0.3">
      <c r="A46" s="14" t="s">
        <v>91</v>
      </c>
      <c r="B46" s="15">
        <v>8690550</v>
      </c>
      <c r="C46" s="16" t="s">
        <v>123</v>
      </c>
    </row>
    <row r="47" spans="1:3" ht="15.75" thickBot="1" x14ac:dyDescent="0.3">
      <c r="A47" s="14" t="s">
        <v>92</v>
      </c>
      <c r="B47" s="16" t="s">
        <v>149</v>
      </c>
      <c r="C47" s="15">
        <v>1087380</v>
      </c>
    </row>
    <row r="48" spans="1:3" ht="15.75" thickBot="1" x14ac:dyDescent="0.3">
      <c r="A48" s="14" t="s">
        <v>93</v>
      </c>
      <c r="B48" s="15">
        <v>28049172</v>
      </c>
      <c r="C48" s="16" t="s">
        <v>150</v>
      </c>
    </row>
    <row r="49" spans="1:3" ht="15.75" thickBot="1" x14ac:dyDescent="0.3">
      <c r="A49" s="14" t="s">
        <v>94</v>
      </c>
      <c r="B49" s="15">
        <v>32914697</v>
      </c>
      <c r="C49" s="16" t="s">
        <v>151</v>
      </c>
    </row>
    <row r="50" spans="1:3" ht="15.75" thickBot="1" x14ac:dyDescent="0.3">
      <c r="A50" s="14" t="s">
        <v>95</v>
      </c>
      <c r="B50" s="15">
        <v>6784857</v>
      </c>
      <c r="C50" s="16" t="s">
        <v>152</v>
      </c>
    </row>
    <row r="51" spans="1:3" ht="15.75" thickBot="1" x14ac:dyDescent="0.3">
      <c r="A51" s="14" t="s">
        <v>96</v>
      </c>
      <c r="B51" s="15">
        <v>8554129</v>
      </c>
      <c r="C51" s="16" t="s">
        <v>153</v>
      </c>
    </row>
    <row r="52" spans="1:3" ht="15.75" thickBot="1" x14ac:dyDescent="0.3">
      <c r="A52" s="14" t="s">
        <v>97</v>
      </c>
      <c r="B52" s="15">
        <v>3672500</v>
      </c>
      <c r="C52" s="16" t="s">
        <v>98</v>
      </c>
    </row>
    <row r="53" spans="1:3" ht="15.75" thickBot="1" x14ac:dyDescent="0.3">
      <c r="A53" s="14" t="s">
        <v>99</v>
      </c>
      <c r="B53" s="16" t="s">
        <v>154</v>
      </c>
      <c r="C53" s="15">
        <v>1374174</v>
      </c>
    </row>
    <row r="54" spans="1:3" ht="15.75" thickBot="1" x14ac:dyDescent="0.3">
      <c r="A54" s="17" t="s">
        <v>100</v>
      </c>
      <c r="B54" s="15">
        <v>3.83730629615592E+17</v>
      </c>
      <c r="C54" s="16" t="s">
        <v>101</v>
      </c>
    </row>
  </sheetData>
  <sheetProtection selectLockedCells="1"/>
  <hyperlinks>
    <hyperlink ref="B2" r:id="rId1" display="https://www.x-rates.com/graph/?from=USD&amp;to=ARS" xr:uid="{48DDD7F0-42FF-4443-BB14-3A241CC0FA4E}"/>
    <hyperlink ref="C2" r:id="rId2" display="https://www.x-rates.com/graph/?from=ARS&amp;to=USD" xr:uid="{53C8E874-4EA9-4E6E-956B-D9F58C16559D}"/>
    <hyperlink ref="B3" r:id="rId3" display="https://www.x-rates.com/graph/?from=USD&amp;to=AUD" xr:uid="{C5A49F63-0B02-48AC-8685-C2ADCE71809C}"/>
    <hyperlink ref="C3" r:id="rId4" display="https://www.x-rates.com/graph/?from=AUD&amp;to=USD" xr:uid="{38E962BA-4179-4CB0-8000-781465D71FFE}"/>
    <hyperlink ref="B4" r:id="rId5" display="https://www.x-rates.com/graph/?from=USD&amp;to=BHD" xr:uid="{20D413F3-1983-4F61-B8A1-4C42834BC1E4}"/>
    <hyperlink ref="C4" r:id="rId6" display="https://www.x-rates.com/graph/?from=BHD&amp;to=USD" xr:uid="{090F049C-1928-4B9E-B39F-1A8F1061AD69}"/>
    <hyperlink ref="B5" r:id="rId7" display="https://www.x-rates.com/graph/?from=USD&amp;to=BWP" xr:uid="{F71ACAA9-75CB-4C12-ACED-38A3EA6E11DB}"/>
    <hyperlink ref="C5" r:id="rId8" display="https://www.x-rates.com/graph/?from=BWP&amp;to=USD" xr:uid="{D85CD79C-9C50-447D-949D-F1D143BB849F}"/>
    <hyperlink ref="B6" r:id="rId9" display="https://www.x-rates.com/graph/?from=USD&amp;to=BRL" xr:uid="{26E55BBF-443D-40B8-85E5-20A990EB303B}"/>
    <hyperlink ref="C6" r:id="rId10" display="https://www.x-rates.com/graph/?from=BRL&amp;to=USD" xr:uid="{D5D9842D-D597-4575-8C62-7009955AF753}"/>
    <hyperlink ref="B7" r:id="rId11" display="https://www.x-rates.com/graph/?from=USD&amp;to=BND" xr:uid="{3C50472E-57A7-48D3-9BCB-81FEA051BB7A}"/>
    <hyperlink ref="C7" r:id="rId12" display="https://www.x-rates.com/graph/?from=BND&amp;to=USD" xr:uid="{3653C89A-3AB7-4E97-9CF6-0A8E7EEAAA6B}"/>
    <hyperlink ref="B8" r:id="rId13" display="https://www.x-rates.com/graph/?from=USD&amp;to=BGN" xr:uid="{4B8C8C6E-35D0-4454-84F8-16558DCEE1FA}"/>
    <hyperlink ref="C8" r:id="rId14" display="https://www.x-rates.com/graph/?from=BGN&amp;to=USD" xr:uid="{C41FEF74-B31C-4D6F-92BD-207F3FEE226E}"/>
    <hyperlink ref="B9" r:id="rId15" display="https://www.x-rates.com/graph/?from=USD&amp;to=CAD" xr:uid="{C61002AF-C3A9-4FBC-8FDE-7D7895ABF189}"/>
    <hyperlink ref="C9" r:id="rId16" display="https://www.x-rates.com/graph/?from=CAD&amp;to=USD" xr:uid="{533CBDDA-14D8-4408-907C-4CE72C209AE3}"/>
    <hyperlink ref="B10" r:id="rId17" display="https://www.x-rates.com/graph/?from=USD&amp;to=CLP" xr:uid="{146303A4-F24C-4B3F-B182-2438454C9202}"/>
    <hyperlink ref="C10" r:id="rId18" display="https://www.x-rates.com/graph/?from=CLP&amp;to=USD" xr:uid="{86D023F5-D863-461D-A027-FC106D0B10B6}"/>
    <hyperlink ref="B11" r:id="rId19" display="https://www.x-rates.com/graph/?from=USD&amp;to=CNY" xr:uid="{F86B81AD-3E58-43F6-BDD7-45B9D2F6CFA0}"/>
    <hyperlink ref="C11" r:id="rId20" display="https://www.x-rates.com/graph/?from=CNY&amp;to=USD" xr:uid="{7BA21D15-298C-4E93-A6CB-7AC3EA71FD02}"/>
    <hyperlink ref="B12" r:id="rId21" display="https://www.x-rates.com/graph/?from=USD&amp;to=COP" xr:uid="{56D19719-8C3E-4361-AE0C-231821E7D503}"/>
    <hyperlink ref="C12" r:id="rId22" display="https://www.x-rates.com/graph/?from=COP&amp;to=USD" xr:uid="{B5490F71-B3B2-44F8-AE75-CC07C1A680B6}"/>
    <hyperlink ref="B13" r:id="rId23" display="https://www.x-rates.com/graph/?from=USD&amp;to=HRK" xr:uid="{9545E1B4-C5A1-4073-87DE-D01A4D14728F}"/>
    <hyperlink ref="C13" r:id="rId24" display="https://www.x-rates.com/graph/?from=HRK&amp;to=USD" xr:uid="{A28FB53E-BF8D-48B2-A0F8-B3EA10472EB1}"/>
    <hyperlink ref="B14" r:id="rId25" display="https://www.x-rates.com/graph/?from=USD&amp;to=CZK" xr:uid="{D579D4A1-0A57-4191-8331-D257FB50CFED}"/>
    <hyperlink ref="C14" r:id="rId26" display="https://www.x-rates.com/graph/?from=CZK&amp;to=USD" xr:uid="{18E64D08-FB77-4CEB-BBA0-D43C38AC2E56}"/>
    <hyperlink ref="B15" r:id="rId27" display="https://www.x-rates.com/graph/?from=USD&amp;to=DKK" xr:uid="{A360D94E-6466-4BF3-94E8-D37614D49AD7}"/>
    <hyperlink ref="C15" r:id="rId28" display="https://www.x-rates.com/graph/?from=DKK&amp;to=USD" xr:uid="{757ABB36-BC4F-4CA5-8DD6-5621BF56919F}"/>
    <hyperlink ref="B16" r:id="rId29" display="https://www.x-rates.com/graph/?from=USD&amp;to=EUR" xr:uid="{29F4F1EF-A707-45CE-A3CD-26DAEEDFA58F}"/>
    <hyperlink ref="C16" r:id="rId30" display="https://www.x-rates.com/graph/?from=EUR&amp;to=USD" xr:uid="{0D476495-000D-4341-9129-206592D9A072}"/>
    <hyperlink ref="B17" r:id="rId31" display="https://www.x-rates.com/graph/?from=USD&amp;to=HKD" xr:uid="{AAD1F3C4-9F39-46A4-89C9-6CE2FAB4E1F6}"/>
    <hyperlink ref="C17" r:id="rId32" display="https://www.x-rates.com/graph/?from=HKD&amp;to=USD" xr:uid="{C6E3DD5E-A447-4C4E-87C9-D69035E82571}"/>
    <hyperlink ref="B18" r:id="rId33" display="https://www.x-rates.com/graph/?from=USD&amp;to=HUF" xr:uid="{C8348FD3-D01D-48B4-81E3-BD22079880EB}"/>
    <hyperlink ref="C18" r:id="rId34" display="https://www.x-rates.com/graph/?from=HUF&amp;to=USD" xr:uid="{E59B1FC6-D77A-448F-AB18-9A64E615277C}"/>
    <hyperlink ref="B19" r:id="rId35" display="https://www.x-rates.com/graph/?from=USD&amp;to=ISK" xr:uid="{0B219703-265F-48BE-B99B-EC2333F90A40}"/>
    <hyperlink ref="C19" r:id="rId36" display="https://www.x-rates.com/graph/?from=ISK&amp;to=USD" xr:uid="{4E95EA1A-14AE-45F6-BD7A-305A54C351A5}"/>
    <hyperlink ref="B20" r:id="rId37" display="https://www.x-rates.com/graph/?from=USD&amp;to=INR" xr:uid="{B2AA7312-BD57-4B23-AF3F-7E05EA12B2C1}"/>
    <hyperlink ref="C20" r:id="rId38" display="https://www.x-rates.com/graph/?from=INR&amp;to=USD" xr:uid="{5008BDF3-0B2D-4744-A7E1-39D595A72AAC}"/>
    <hyperlink ref="B21" r:id="rId39" display="https://www.x-rates.com/graph/?from=USD&amp;to=IDR" xr:uid="{33837B1B-2DE8-4C31-A9BD-239BA337F078}"/>
    <hyperlink ref="C21" r:id="rId40" display="https://www.x-rates.com/graph/?from=IDR&amp;to=USD" xr:uid="{C2954963-031C-4871-99F3-C8FA07014395}"/>
    <hyperlink ref="B22" r:id="rId41" display="https://www.x-rates.com/graph/?from=USD&amp;to=IRR" xr:uid="{F0FDBF10-CBEA-43FD-A3D2-3DB58709FBD8}"/>
    <hyperlink ref="C22" r:id="rId42" display="https://www.x-rates.com/graph/?from=IRR&amp;to=USD" xr:uid="{488EC980-64A2-4BE3-B8D6-FFFC139CEC14}"/>
    <hyperlink ref="B23" r:id="rId43" display="https://www.x-rates.com/graph/?from=USD&amp;to=ILS" xr:uid="{80B088E3-A9AD-47A8-A2AE-D547CFD89492}"/>
    <hyperlink ref="C23" r:id="rId44" display="https://www.x-rates.com/graph/?from=ILS&amp;to=USD" xr:uid="{A2E2E354-8B30-4857-AF7E-C7F191868D61}"/>
    <hyperlink ref="B24" r:id="rId45" display="https://www.x-rates.com/graph/?from=USD&amp;to=JPY" xr:uid="{110FEBC1-B00E-41ED-B1B9-FE297508E774}"/>
    <hyperlink ref="C24" r:id="rId46" display="https://www.x-rates.com/graph/?from=JPY&amp;to=USD" xr:uid="{8F785ECB-0ABB-4820-A447-848C8534E4E3}"/>
    <hyperlink ref="B25" r:id="rId47" display="https://www.x-rates.com/graph/?from=USD&amp;to=KZT" xr:uid="{02B6C70B-57F0-4D47-8640-919143C39A6D}"/>
    <hyperlink ref="C25" r:id="rId48" display="https://www.x-rates.com/graph/?from=KZT&amp;to=USD" xr:uid="{BC8CBB82-7533-40A8-A534-EAF81E5BD878}"/>
    <hyperlink ref="B26" r:id="rId49" display="https://www.x-rates.com/graph/?from=USD&amp;to=KRW" xr:uid="{92981406-0FA0-4DB0-9241-6353FD6DE81E}"/>
    <hyperlink ref="C26" r:id="rId50" display="https://www.x-rates.com/graph/?from=KRW&amp;to=USD" xr:uid="{93FE94AF-5BC8-45B8-8D94-D2274A6A1FCA}"/>
    <hyperlink ref="B27" r:id="rId51" display="https://www.x-rates.com/graph/?from=USD&amp;to=KWD" xr:uid="{1128563B-49D0-4EB6-8E3B-F524AA0CE93A}"/>
    <hyperlink ref="C27" r:id="rId52" display="https://www.x-rates.com/graph/?from=KWD&amp;to=USD" xr:uid="{C085A692-4C0E-4BCD-BB24-805F1335A1A4}"/>
    <hyperlink ref="B28" r:id="rId53" display="https://www.x-rates.com/graph/?from=USD&amp;to=LYD" xr:uid="{8B6B56B0-3B41-4E00-BFC7-97B1D53F1DFF}"/>
    <hyperlink ref="C28" r:id="rId54" display="https://www.x-rates.com/graph/?from=LYD&amp;to=USD" xr:uid="{DFA5ADAE-53C2-4425-B00C-B613C2620474}"/>
    <hyperlink ref="B29" r:id="rId55" display="https://www.x-rates.com/graph/?from=USD&amp;to=MYR" xr:uid="{DEF42AFB-581F-42EB-8288-D780493ACD96}"/>
    <hyperlink ref="C29" r:id="rId56" display="https://www.x-rates.com/graph/?from=MYR&amp;to=USD" xr:uid="{AC84D1B7-402B-493A-87D6-47E3F20E8EC5}"/>
    <hyperlink ref="B30" r:id="rId57" display="https://www.x-rates.com/graph/?from=USD&amp;to=MUR" xr:uid="{BADC96BD-8002-41EE-84C4-A850979D8863}"/>
    <hyperlink ref="C30" r:id="rId58" display="https://www.x-rates.com/graph/?from=MUR&amp;to=USD" xr:uid="{AFD243FB-3639-4A47-8AB2-8BBBB6211A24}"/>
    <hyperlink ref="B31" r:id="rId59" display="https://www.x-rates.com/graph/?from=USD&amp;to=MXN" xr:uid="{0FD07D35-AE34-45C2-94A6-DCA2692D3F5F}"/>
    <hyperlink ref="C31" r:id="rId60" display="https://www.x-rates.com/graph/?from=MXN&amp;to=USD" xr:uid="{129A305D-6C21-4B6B-A23F-18A22E9D98C0}"/>
    <hyperlink ref="B32" r:id="rId61" display="https://www.x-rates.com/graph/?from=USD&amp;to=NPR" xr:uid="{DBC0AE1D-E1A2-4E8D-B108-29A1F1DD55C9}"/>
    <hyperlink ref="C32" r:id="rId62" display="https://www.x-rates.com/graph/?from=NPR&amp;to=USD" xr:uid="{9D911F1A-8C68-4775-9400-BE1B5F756C54}"/>
    <hyperlink ref="B33" r:id="rId63" display="https://www.x-rates.com/graph/?from=USD&amp;to=NZD" xr:uid="{C5F66FEE-DCE8-45B5-8ACD-136C19EFABC0}"/>
    <hyperlink ref="C33" r:id="rId64" display="https://www.x-rates.com/graph/?from=NZD&amp;to=USD" xr:uid="{02796E94-F95A-4E2B-8544-9A8BD82C9C9B}"/>
    <hyperlink ref="B34" r:id="rId65" display="https://www.x-rates.com/graph/?from=USD&amp;to=NOK" xr:uid="{8325D261-F6EB-413C-9EE3-1FCF99A721B8}"/>
    <hyperlink ref="C34" r:id="rId66" display="https://www.x-rates.com/graph/?from=NOK&amp;to=USD" xr:uid="{95BCECE6-C431-4E1D-A328-4AA46C49482D}"/>
    <hyperlink ref="B35" r:id="rId67" display="https://www.x-rates.com/graph/?from=USD&amp;to=OMR" xr:uid="{63C126F4-DDF4-4EB9-9C9D-0395F6A00393}"/>
    <hyperlink ref="C35" r:id="rId68" display="https://www.x-rates.com/graph/?from=OMR&amp;to=USD" xr:uid="{EA089097-1636-4C2C-84EC-72093EF78A58}"/>
    <hyperlink ref="B36" r:id="rId69" display="https://www.x-rates.com/graph/?from=USD&amp;to=PKR" xr:uid="{582BAFC4-443D-4712-9E51-DBBE683400A8}"/>
    <hyperlink ref="C36" r:id="rId70" display="https://www.x-rates.com/graph/?from=PKR&amp;to=USD" xr:uid="{7A203B7D-BD20-4C36-B3F9-CF1265ADDF12}"/>
    <hyperlink ref="B37" r:id="rId71" display="https://www.x-rates.com/graph/?from=USD&amp;to=PHP" xr:uid="{9C0496BA-44E5-4D50-A1A3-6AD0F081CA62}"/>
    <hyperlink ref="C37" r:id="rId72" display="https://www.x-rates.com/graph/?from=PHP&amp;to=USD" xr:uid="{B02919A6-A1D9-48D0-BD8A-2733D380A612}"/>
    <hyperlink ref="B38" r:id="rId73" display="https://www.x-rates.com/graph/?from=USD&amp;to=PLN" xr:uid="{B80837C9-AADC-449C-91B5-B79C53570D7E}"/>
    <hyperlink ref="C38" r:id="rId74" display="https://www.x-rates.com/graph/?from=PLN&amp;to=USD" xr:uid="{670AF488-45EF-42BD-BD59-2A8B35F12A3F}"/>
    <hyperlink ref="B39" r:id="rId75" display="https://www.x-rates.com/graph/?from=USD&amp;to=QAR" xr:uid="{A83273AE-7F02-49E8-BF9F-5B7F157D9077}"/>
    <hyperlink ref="C39" r:id="rId76" display="https://www.x-rates.com/graph/?from=QAR&amp;to=USD" xr:uid="{688F0266-B0A1-46B0-91C3-0DE45D8E7273}"/>
    <hyperlink ref="B40" r:id="rId77" display="https://www.x-rates.com/graph/?from=USD&amp;to=RON" xr:uid="{AA80C49D-A4A7-4471-9105-99F850DE338E}"/>
    <hyperlink ref="C40" r:id="rId78" display="https://www.x-rates.com/graph/?from=RON&amp;to=USD" xr:uid="{ABAEB6DE-14D7-45D6-BF16-31348712AFDD}"/>
    <hyperlink ref="B41" r:id="rId79" display="https://www.x-rates.com/graph/?from=USD&amp;to=RUB" xr:uid="{F8BC6BE1-3593-4746-B12F-7D33C88C7DD3}"/>
    <hyperlink ref="C41" r:id="rId80" display="https://www.x-rates.com/graph/?from=RUB&amp;to=USD" xr:uid="{6DD30D40-F2FD-425F-A71F-3EB942A678D6}"/>
    <hyperlink ref="B42" r:id="rId81" display="https://www.x-rates.com/graph/?from=USD&amp;to=SAR" xr:uid="{7064CE03-E64E-4363-9F7B-D5E32E6582E0}"/>
    <hyperlink ref="C42" r:id="rId82" display="https://www.x-rates.com/graph/?from=SAR&amp;to=USD" xr:uid="{6D8ADDE8-F8EC-4352-B462-43DCDDCFA250}"/>
    <hyperlink ref="B43" r:id="rId83" display="https://www.x-rates.com/graph/?from=USD&amp;to=SGD" xr:uid="{B1AA3B50-FC37-42D4-9713-6FE53A9110A9}"/>
    <hyperlink ref="C43" r:id="rId84" display="https://www.x-rates.com/graph/?from=SGD&amp;to=USD" xr:uid="{54C25DAA-09FD-4F95-A305-9FB9B0D992BE}"/>
    <hyperlink ref="B44" r:id="rId85" display="https://www.x-rates.com/graph/?from=USD&amp;to=ZAR" xr:uid="{839D6B0A-B589-426B-B29C-8B289E44A0A6}"/>
    <hyperlink ref="C44" r:id="rId86" display="https://www.x-rates.com/graph/?from=ZAR&amp;to=USD" xr:uid="{E6BCDEBF-A1E2-482E-9552-4FC06295869A}"/>
    <hyperlink ref="B45" r:id="rId87" display="https://www.x-rates.com/graph/?from=USD&amp;to=LKR" xr:uid="{3F23FED1-6139-4D16-8338-250B508A1775}"/>
    <hyperlink ref="C45" r:id="rId88" display="https://www.x-rates.com/graph/?from=LKR&amp;to=USD" xr:uid="{7A4D1936-3C68-4DDE-90E5-F950C8DF96D0}"/>
    <hyperlink ref="B46" r:id="rId89" display="https://www.x-rates.com/graph/?from=USD&amp;to=SEK" xr:uid="{D721BC19-E57B-48FC-8B68-925BDBDED226}"/>
    <hyperlink ref="C46" r:id="rId90" display="https://www.x-rates.com/graph/?from=SEK&amp;to=USD" xr:uid="{DBBD026E-3C7D-4CD6-A164-034E44D634D4}"/>
    <hyperlink ref="B47" r:id="rId91" display="https://www.x-rates.com/graph/?from=USD&amp;to=CHF" xr:uid="{429C856D-2BA1-4C81-8620-18BE0D17AA33}"/>
    <hyperlink ref="C47" r:id="rId92" display="https://www.x-rates.com/graph/?from=CHF&amp;to=USD" xr:uid="{4AC8B616-2B5F-48D1-B195-36B4A2B2BC28}"/>
    <hyperlink ref="B48" r:id="rId93" display="https://www.x-rates.com/graph/?from=USD&amp;to=TWD" xr:uid="{08ABBED6-1E09-4317-8C87-8C0CD024B933}"/>
    <hyperlink ref="C48" r:id="rId94" display="https://www.x-rates.com/graph/?from=TWD&amp;to=USD" xr:uid="{8BFFC5A4-4DFE-466E-90D3-D9AA3CEF2A34}"/>
    <hyperlink ref="B49" r:id="rId95" display="https://www.x-rates.com/graph/?from=USD&amp;to=THB" xr:uid="{577CDBF9-E5BE-4A9D-B355-82E12F1332C9}"/>
    <hyperlink ref="C49" r:id="rId96" display="https://www.x-rates.com/graph/?from=THB&amp;to=USD" xr:uid="{C47C899D-511B-4B73-8E81-04164FEA54C9}"/>
    <hyperlink ref="B50" r:id="rId97" display="https://www.x-rates.com/graph/?from=USD&amp;to=TTD" xr:uid="{D270EB83-1C81-4713-A55C-BA730AD3397C}"/>
    <hyperlink ref="C50" r:id="rId98" display="https://www.x-rates.com/graph/?from=TTD&amp;to=USD" xr:uid="{F0321D96-4A86-42FD-AD2F-DFA1FA23FACC}"/>
    <hyperlink ref="B51" r:id="rId99" display="https://www.x-rates.com/graph/?from=USD&amp;to=TRY" xr:uid="{F097E299-36BD-491C-91BE-4280ECEA8EA0}"/>
    <hyperlink ref="C51" r:id="rId100" display="https://www.x-rates.com/graph/?from=TRY&amp;to=USD" xr:uid="{9DBE32D1-369C-47B5-939C-6316E9ABD55D}"/>
    <hyperlink ref="B52" r:id="rId101" display="https://www.x-rates.com/graph/?from=USD&amp;to=AED" xr:uid="{A03A2A12-9814-474F-B3FD-050FDB11ECA7}"/>
    <hyperlink ref="C52" r:id="rId102" display="https://www.x-rates.com/graph/?from=AED&amp;to=USD" xr:uid="{D0D5D346-BD2D-42E8-9548-D2E8A4443D73}"/>
    <hyperlink ref="B53" r:id="rId103" display="https://www.x-rates.com/graph/?from=USD&amp;to=GBP" xr:uid="{724DC0C1-A0D4-46C9-B3B9-29FB566ECE1B}"/>
    <hyperlink ref="C53" r:id="rId104" display="https://www.x-rates.com/graph/?from=GBP&amp;to=USD" xr:uid="{7C679461-B6CA-4A08-9BA7-6A88030CB063}"/>
    <hyperlink ref="B54" r:id="rId105" display="https://www.x-rates.com/graph/?from=USD&amp;to=VEF" xr:uid="{397F3779-4F47-4EEE-9A74-72DF9AEA58F1}"/>
    <hyperlink ref="C54" r:id="rId106" display="https://www.x-rates.com/graph/?from=VEF&amp;to=USD" xr:uid="{4C43B7AD-F55C-446B-850B-BDA3C17917E0}"/>
  </hyperlinks>
  <pageMargins left="0.511811024" right="0.511811024" top="0.78740157499999996" bottom="0.78740157499999996" header="0.31496062000000002" footer="0.31496062000000002"/>
  <pageSetup paperSize="9" orientation="portrait" r:id="rId10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</vt:i4>
      </vt:variant>
    </vt:vector>
  </HeadingPairs>
  <TitlesOfParts>
    <vt:vector size="16" baseType="lpstr">
      <vt:lpstr>HOME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ANO</vt:lpstr>
      <vt:lpstr>COTAÇÃO</vt:lpstr>
      <vt:lpstr>COTAÇÃO!_?from_USD_amount_1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Lucas</dc:creator>
  <cp:lastModifiedBy>MONICA HASHIMOTO</cp:lastModifiedBy>
  <dcterms:created xsi:type="dcterms:W3CDTF">2019-07-30T20:35:59Z</dcterms:created>
  <dcterms:modified xsi:type="dcterms:W3CDTF">2021-08-14T23:54:20Z</dcterms:modified>
</cp:coreProperties>
</file>