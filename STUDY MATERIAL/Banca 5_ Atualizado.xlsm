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nic\OneDrive\Documentos\_BINARY\Pacotão de robôs - $30 a $40 USD por dia\01 - PLANILHAS DE GERENCIAMENTO\"/>
    </mc:Choice>
  </mc:AlternateContent>
  <xr:revisionPtr revIDLastSave="0" documentId="13_ncr:1_{3804DB48-FEED-4CFA-B6D7-023393C6379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nfig." sheetId="1" r:id="rId1"/>
    <sheet name="Gestão" sheetId="2" r:id="rId2"/>
    <sheet name="Entrada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2" l="1"/>
  <c r="M33" i="2"/>
  <c r="N33" i="2"/>
  <c r="O33" i="2"/>
  <c r="D5" i="2"/>
  <c r="D6" i="2"/>
  <c r="O368" i="2"/>
  <c r="M368" i="2"/>
  <c r="N368" i="2" s="1"/>
  <c r="G368" i="2"/>
  <c r="D368" i="2"/>
  <c r="O367" i="2"/>
  <c r="M367" i="2"/>
  <c r="N367" i="2" s="1"/>
  <c r="G367" i="2"/>
  <c r="D367" i="2"/>
  <c r="O366" i="2"/>
  <c r="M366" i="2"/>
  <c r="N366" i="2" s="1"/>
  <c r="G366" i="2"/>
  <c r="D366" i="2"/>
  <c r="O365" i="2"/>
  <c r="M365" i="2"/>
  <c r="N365" i="2" s="1"/>
  <c r="G365" i="2"/>
  <c r="D365" i="2"/>
  <c r="O364" i="2"/>
  <c r="M364" i="2"/>
  <c r="N364" i="2" s="1"/>
  <c r="G364" i="2"/>
  <c r="D364" i="2"/>
  <c r="O363" i="2"/>
  <c r="M363" i="2"/>
  <c r="N363" i="2" s="1"/>
  <c r="G363" i="2"/>
  <c r="D363" i="2"/>
  <c r="O362" i="2"/>
  <c r="M362" i="2"/>
  <c r="N362" i="2" s="1"/>
  <c r="G362" i="2"/>
  <c r="D362" i="2"/>
  <c r="O361" i="2"/>
  <c r="N361" i="2"/>
  <c r="M361" i="2"/>
  <c r="G361" i="2"/>
  <c r="D361" i="2"/>
  <c r="O360" i="2"/>
  <c r="M360" i="2"/>
  <c r="N360" i="2" s="1"/>
  <c r="G360" i="2"/>
  <c r="D360" i="2"/>
  <c r="O359" i="2"/>
  <c r="N359" i="2"/>
  <c r="M359" i="2"/>
  <c r="G359" i="2"/>
  <c r="D359" i="2"/>
  <c r="O358" i="2"/>
  <c r="M358" i="2"/>
  <c r="N358" i="2" s="1"/>
  <c r="G358" i="2"/>
  <c r="D358" i="2"/>
  <c r="O357" i="2"/>
  <c r="M357" i="2"/>
  <c r="N357" i="2" s="1"/>
  <c r="G357" i="2"/>
  <c r="D357" i="2"/>
  <c r="O356" i="2"/>
  <c r="M356" i="2"/>
  <c r="N356" i="2" s="1"/>
  <c r="G356" i="2"/>
  <c r="D356" i="2"/>
  <c r="O355" i="2"/>
  <c r="M355" i="2"/>
  <c r="N355" i="2" s="1"/>
  <c r="G355" i="2"/>
  <c r="D355" i="2"/>
  <c r="O354" i="2"/>
  <c r="M354" i="2"/>
  <c r="N354" i="2" s="1"/>
  <c r="G354" i="2"/>
  <c r="D354" i="2"/>
  <c r="O353" i="2"/>
  <c r="N353" i="2"/>
  <c r="M353" i="2"/>
  <c r="G353" i="2"/>
  <c r="D353" i="2"/>
  <c r="O352" i="2"/>
  <c r="M352" i="2"/>
  <c r="N352" i="2" s="1"/>
  <c r="G352" i="2"/>
  <c r="D352" i="2"/>
  <c r="O351" i="2"/>
  <c r="M351" i="2"/>
  <c r="N351" i="2" s="1"/>
  <c r="G351" i="2"/>
  <c r="D351" i="2"/>
  <c r="O350" i="2"/>
  <c r="M350" i="2"/>
  <c r="N350" i="2" s="1"/>
  <c r="G350" i="2"/>
  <c r="D350" i="2"/>
  <c r="O349" i="2"/>
  <c r="M349" i="2"/>
  <c r="N349" i="2" s="1"/>
  <c r="G349" i="2"/>
  <c r="D349" i="2"/>
  <c r="O348" i="2"/>
  <c r="M348" i="2"/>
  <c r="N348" i="2" s="1"/>
  <c r="G348" i="2"/>
  <c r="D348" i="2"/>
  <c r="O347" i="2"/>
  <c r="M347" i="2"/>
  <c r="N347" i="2" s="1"/>
  <c r="G347" i="2"/>
  <c r="D347" i="2"/>
  <c r="O346" i="2"/>
  <c r="M346" i="2"/>
  <c r="N346" i="2" s="1"/>
  <c r="G346" i="2"/>
  <c r="D346" i="2"/>
  <c r="O345" i="2"/>
  <c r="N345" i="2"/>
  <c r="M345" i="2"/>
  <c r="G345" i="2"/>
  <c r="D345" i="2"/>
  <c r="O344" i="2"/>
  <c r="M344" i="2"/>
  <c r="N344" i="2" s="1"/>
  <c r="G344" i="2"/>
  <c r="D344" i="2"/>
  <c r="O343" i="2"/>
  <c r="N343" i="2"/>
  <c r="M343" i="2"/>
  <c r="G343" i="2"/>
  <c r="D343" i="2"/>
  <c r="O342" i="2"/>
  <c r="M342" i="2"/>
  <c r="N342" i="2" s="1"/>
  <c r="G342" i="2"/>
  <c r="D342" i="2"/>
  <c r="O341" i="2"/>
  <c r="M341" i="2"/>
  <c r="N341" i="2" s="1"/>
  <c r="G341" i="2"/>
  <c r="D341" i="2"/>
  <c r="O340" i="2"/>
  <c r="M340" i="2"/>
  <c r="N340" i="2" s="1"/>
  <c r="G340" i="2"/>
  <c r="D340" i="2"/>
  <c r="O339" i="2"/>
  <c r="M339" i="2"/>
  <c r="N339" i="2" s="1"/>
  <c r="G339" i="2"/>
  <c r="D339" i="2"/>
  <c r="O338" i="2"/>
  <c r="M338" i="2"/>
  <c r="N338" i="2" s="1"/>
  <c r="G338" i="2"/>
  <c r="D338" i="2"/>
  <c r="O337" i="2"/>
  <c r="N337" i="2"/>
  <c r="M337" i="2"/>
  <c r="G337" i="2"/>
  <c r="D337" i="2"/>
  <c r="O336" i="2"/>
  <c r="M336" i="2"/>
  <c r="N336" i="2" s="1"/>
  <c r="G336" i="2"/>
  <c r="D336" i="2"/>
  <c r="O335" i="2"/>
  <c r="N335" i="2"/>
  <c r="M335" i="2"/>
  <c r="G335" i="2"/>
  <c r="D335" i="2"/>
  <c r="O334" i="2"/>
  <c r="M334" i="2"/>
  <c r="N334" i="2" s="1"/>
  <c r="G334" i="2"/>
  <c r="D334" i="2"/>
  <c r="O333" i="2"/>
  <c r="N333" i="2"/>
  <c r="M333" i="2"/>
  <c r="G333" i="2"/>
  <c r="D333" i="2"/>
  <c r="O332" i="2"/>
  <c r="M332" i="2"/>
  <c r="N332" i="2" s="1"/>
  <c r="G332" i="2"/>
  <c r="D332" i="2"/>
  <c r="O331" i="2"/>
  <c r="N331" i="2"/>
  <c r="M331" i="2"/>
  <c r="G331" i="2"/>
  <c r="D331" i="2"/>
  <c r="O330" i="2"/>
  <c r="M330" i="2"/>
  <c r="N330" i="2" s="1"/>
  <c r="G330" i="2"/>
  <c r="D330" i="2"/>
  <c r="O329" i="2"/>
  <c r="N329" i="2"/>
  <c r="M329" i="2"/>
  <c r="G329" i="2"/>
  <c r="D329" i="2"/>
  <c r="O328" i="2"/>
  <c r="M328" i="2"/>
  <c r="N328" i="2" s="1"/>
  <c r="G328" i="2"/>
  <c r="D328" i="2"/>
  <c r="O327" i="2"/>
  <c r="N327" i="2"/>
  <c r="M327" i="2"/>
  <c r="G327" i="2"/>
  <c r="D327" i="2"/>
  <c r="O326" i="2"/>
  <c r="M326" i="2"/>
  <c r="N326" i="2" s="1"/>
  <c r="G326" i="2"/>
  <c r="D326" i="2"/>
  <c r="O325" i="2"/>
  <c r="N325" i="2"/>
  <c r="M325" i="2"/>
  <c r="G325" i="2"/>
  <c r="D325" i="2"/>
  <c r="O324" i="2"/>
  <c r="M324" i="2"/>
  <c r="N324" i="2" s="1"/>
  <c r="G324" i="2"/>
  <c r="D324" i="2"/>
  <c r="O323" i="2"/>
  <c r="N323" i="2"/>
  <c r="M323" i="2"/>
  <c r="G323" i="2"/>
  <c r="D323" i="2"/>
  <c r="O322" i="2"/>
  <c r="M322" i="2"/>
  <c r="N322" i="2" s="1"/>
  <c r="G322" i="2"/>
  <c r="D322" i="2"/>
  <c r="O321" i="2"/>
  <c r="N321" i="2"/>
  <c r="M321" i="2"/>
  <c r="G321" i="2"/>
  <c r="D321" i="2"/>
  <c r="O320" i="2"/>
  <c r="M320" i="2"/>
  <c r="N320" i="2" s="1"/>
  <c r="G320" i="2"/>
  <c r="D320" i="2"/>
  <c r="O319" i="2"/>
  <c r="M319" i="2"/>
  <c r="N319" i="2" s="1"/>
  <c r="G319" i="2"/>
  <c r="D319" i="2"/>
  <c r="O318" i="2"/>
  <c r="M318" i="2"/>
  <c r="N318" i="2" s="1"/>
  <c r="G318" i="2"/>
  <c r="D318" i="2"/>
  <c r="O317" i="2"/>
  <c r="N317" i="2"/>
  <c r="M317" i="2"/>
  <c r="G317" i="2"/>
  <c r="D317" i="2"/>
  <c r="O316" i="2"/>
  <c r="M316" i="2"/>
  <c r="N316" i="2" s="1"/>
  <c r="G316" i="2"/>
  <c r="D316" i="2"/>
  <c r="O315" i="2"/>
  <c r="M315" i="2"/>
  <c r="N315" i="2" s="1"/>
  <c r="G315" i="2"/>
  <c r="D315" i="2"/>
  <c r="O314" i="2"/>
  <c r="M314" i="2"/>
  <c r="N314" i="2" s="1"/>
  <c r="G314" i="2"/>
  <c r="D314" i="2"/>
  <c r="O313" i="2"/>
  <c r="N313" i="2"/>
  <c r="M313" i="2"/>
  <c r="G313" i="2"/>
  <c r="D313" i="2"/>
  <c r="O312" i="2"/>
  <c r="M312" i="2"/>
  <c r="N312" i="2" s="1"/>
  <c r="G312" i="2"/>
  <c r="D312" i="2"/>
  <c r="O311" i="2"/>
  <c r="N311" i="2"/>
  <c r="M311" i="2"/>
  <c r="G311" i="2"/>
  <c r="D311" i="2"/>
  <c r="O310" i="2"/>
  <c r="M310" i="2"/>
  <c r="N310" i="2" s="1"/>
  <c r="G310" i="2"/>
  <c r="D310" i="2"/>
  <c r="O309" i="2"/>
  <c r="N309" i="2"/>
  <c r="M309" i="2"/>
  <c r="G309" i="2"/>
  <c r="D309" i="2"/>
  <c r="O308" i="2"/>
  <c r="M308" i="2"/>
  <c r="N308" i="2" s="1"/>
  <c r="G308" i="2"/>
  <c r="D308" i="2"/>
  <c r="O307" i="2"/>
  <c r="N307" i="2"/>
  <c r="M307" i="2"/>
  <c r="G307" i="2"/>
  <c r="D307" i="2"/>
  <c r="O306" i="2"/>
  <c r="M306" i="2"/>
  <c r="N306" i="2" s="1"/>
  <c r="G306" i="2"/>
  <c r="D306" i="2"/>
  <c r="O305" i="2"/>
  <c r="N305" i="2"/>
  <c r="M305" i="2"/>
  <c r="G305" i="2"/>
  <c r="D305" i="2"/>
  <c r="O304" i="2"/>
  <c r="M304" i="2"/>
  <c r="N304" i="2" s="1"/>
  <c r="G304" i="2"/>
  <c r="D304" i="2"/>
  <c r="O303" i="2"/>
  <c r="N303" i="2"/>
  <c r="M303" i="2"/>
  <c r="G303" i="2"/>
  <c r="D303" i="2"/>
  <c r="O302" i="2"/>
  <c r="M302" i="2"/>
  <c r="N302" i="2" s="1"/>
  <c r="G302" i="2"/>
  <c r="D302" i="2"/>
  <c r="O301" i="2"/>
  <c r="N301" i="2"/>
  <c r="M301" i="2"/>
  <c r="G301" i="2"/>
  <c r="D301" i="2"/>
  <c r="O300" i="2"/>
  <c r="M300" i="2"/>
  <c r="N300" i="2" s="1"/>
  <c r="G300" i="2"/>
  <c r="D300" i="2"/>
  <c r="O299" i="2"/>
  <c r="N299" i="2"/>
  <c r="M299" i="2"/>
  <c r="G299" i="2"/>
  <c r="D299" i="2"/>
  <c r="O298" i="2"/>
  <c r="M298" i="2"/>
  <c r="N298" i="2" s="1"/>
  <c r="G298" i="2"/>
  <c r="D298" i="2"/>
  <c r="O297" i="2"/>
  <c r="N297" i="2"/>
  <c r="M297" i="2"/>
  <c r="G297" i="2"/>
  <c r="D297" i="2"/>
  <c r="O296" i="2"/>
  <c r="M296" i="2"/>
  <c r="N296" i="2" s="1"/>
  <c r="G296" i="2"/>
  <c r="D296" i="2"/>
  <c r="O295" i="2"/>
  <c r="N295" i="2"/>
  <c r="M295" i="2"/>
  <c r="G295" i="2"/>
  <c r="D295" i="2"/>
  <c r="O294" i="2"/>
  <c r="M294" i="2"/>
  <c r="N294" i="2" s="1"/>
  <c r="G294" i="2"/>
  <c r="D294" i="2"/>
  <c r="O293" i="2"/>
  <c r="N293" i="2"/>
  <c r="M293" i="2"/>
  <c r="G293" i="2"/>
  <c r="D293" i="2"/>
  <c r="O292" i="2"/>
  <c r="M292" i="2"/>
  <c r="N292" i="2" s="1"/>
  <c r="G292" i="2"/>
  <c r="D292" i="2"/>
  <c r="O291" i="2"/>
  <c r="N291" i="2"/>
  <c r="M291" i="2"/>
  <c r="G291" i="2"/>
  <c r="D291" i="2"/>
  <c r="O290" i="2"/>
  <c r="N290" i="2"/>
  <c r="M290" i="2"/>
  <c r="G290" i="2"/>
  <c r="D290" i="2"/>
  <c r="O289" i="2"/>
  <c r="N289" i="2"/>
  <c r="M289" i="2"/>
  <c r="G289" i="2"/>
  <c r="D289" i="2"/>
  <c r="O288" i="2"/>
  <c r="M288" i="2"/>
  <c r="N288" i="2" s="1"/>
  <c r="G288" i="2"/>
  <c r="D288" i="2"/>
  <c r="O287" i="2"/>
  <c r="N287" i="2"/>
  <c r="M287" i="2"/>
  <c r="G287" i="2"/>
  <c r="D287" i="2"/>
  <c r="O286" i="2"/>
  <c r="N286" i="2"/>
  <c r="M286" i="2"/>
  <c r="G286" i="2"/>
  <c r="D286" i="2"/>
  <c r="O285" i="2"/>
  <c r="N285" i="2"/>
  <c r="M285" i="2"/>
  <c r="G285" i="2"/>
  <c r="D285" i="2"/>
  <c r="O284" i="2"/>
  <c r="N284" i="2"/>
  <c r="M284" i="2"/>
  <c r="G284" i="2"/>
  <c r="D284" i="2"/>
  <c r="O283" i="2"/>
  <c r="N283" i="2"/>
  <c r="M283" i="2"/>
  <c r="G283" i="2"/>
  <c r="D283" i="2"/>
  <c r="O282" i="2"/>
  <c r="M282" i="2"/>
  <c r="N282" i="2" s="1"/>
  <c r="G282" i="2"/>
  <c r="D282" i="2"/>
  <c r="O281" i="2"/>
  <c r="N281" i="2"/>
  <c r="M281" i="2"/>
  <c r="G281" i="2"/>
  <c r="D281" i="2"/>
  <c r="O280" i="2"/>
  <c r="M280" i="2"/>
  <c r="N280" i="2" s="1"/>
  <c r="G280" i="2"/>
  <c r="D280" i="2"/>
  <c r="O279" i="2"/>
  <c r="N279" i="2"/>
  <c r="M279" i="2"/>
  <c r="G279" i="2"/>
  <c r="D279" i="2"/>
  <c r="O278" i="2"/>
  <c r="N278" i="2"/>
  <c r="M278" i="2"/>
  <c r="G278" i="2"/>
  <c r="D278" i="2"/>
  <c r="O277" i="2"/>
  <c r="N277" i="2"/>
  <c r="M277" i="2"/>
  <c r="G277" i="2"/>
  <c r="D277" i="2"/>
  <c r="O276" i="2"/>
  <c r="N276" i="2"/>
  <c r="M276" i="2"/>
  <c r="G276" i="2"/>
  <c r="D276" i="2"/>
  <c r="O275" i="2"/>
  <c r="N275" i="2"/>
  <c r="M275" i="2"/>
  <c r="G275" i="2"/>
  <c r="D275" i="2"/>
  <c r="O274" i="2"/>
  <c r="M274" i="2"/>
  <c r="N274" i="2" s="1"/>
  <c r="G274" i="2"/>
  <c r="D274" i="2"/>
  <c r="O273" i="2"/>
  <c r="N273" i="2"/>
  <c r="M273" i="2"/>
  <c r="G273" i="2"/>
  <c r="D273" i="2"/>
  <c r="O272" i="2"/>
  <c r="M272" i="2"/>
  <c r="N272" i="2" s="1"/>
  <c r="G272" i="2"/>
  <c r="D272" i="2"/>
  <c r="O271" i="2"/>
  <c r="N271" i="2"/>
  <c r="M271" i="2"/>
  <c r="G271" i="2"/>
  <c r="D271" i="2"/>
  <c r="O270" i="2"/>
  <c r="N270" i="2"/>
  <c r="M270" i="2"/>
  <c r="G270" i="2"/>
  <c r="D270" i="2"/>
  <c r="O269" i="2"/>
  <c r="N269" i="2"/>
  <c r="M269" i="2"/>
  <c r="G269" i="2"/>
  <c r="D269" i="2"/>
  <c r="O268" i="2"/>
  <c r="N268" i="2"/>
  <c r="M268" i="2"/>
  <c r="G268" i="2"/>
  <c r="D268" i="2"/>
  <c r="O267" i="2"/>
  <c r="N267" i="2"/>
  <c r="M267" i="2"/>
  <c r="G267" i="2"/>
  <c r="D267" i="2"/>
  <c r="O266" i="2"/>
  <c r="N266" i="2"/>
  <c r="M266" i="2"/>
  <c r="G266" i="2"/>
  <c r="D266" i="2"/>
  <c r="O265" i="2"/>
  <c r="N265" i="2"/>
  <c r="M265" i="2"/>
  <c r="G265" i="2"/>
  <c r="D265" i="2"/>
  <c r="O264" i="2"/>
  <c r="M264" i="2"/>
  <c r="N264" i="2" s="1"/>
  <c r="G264" i="2"/>
  <c r="D264" i="2"/>
  <c r="O263" i="2"/>
  <c r="N263" i="2"/>
  <c r="M263" i="2"/>
  <c r="G263" i="2"/>
  <c r="D263" i="2"/>
  <c r="O262" i="2"/>
  <c r="N262" i="2"/>
  <c r="M262" i="2"/>
  <c r="G262" i="2"/>
  <c r="D262" i="2"/>
  <c r="O261" i="2"/>
  <c r="N261" i="2"/>
  <c r="M261" i="2"/>
  <c r="G261" i="2"/>
  <c r="D261" i="2"/>
  <c r="O260" i="2"/>
  <c r="N260" i="2"/>
  <c r="M260" i="2"/>
  <c r="G260" i="2"/>
  <c r="D260" i="2"/>
  <c r="O259" i="2"/>
  <c r="N259" i="2"/>
  <c r="M259" i="2"/>
  <c r="G259" i="2"/>
  <c r="D259" i="2"/>
  <c r="O258" i="2"/>
  <c r="N258" i="2"/>
  <c r="M258" i="2"/>
  <c r="G258" i="2"/>
  <c r="D258" i="2"/>
  <c r="O257" i="2"/>
  <c r="N257" i="2"/>
  <c r="M257" i="2"/>
  <c r="G257" i="2"/>
  <c r="D257" i="2"/>
  <c r="O256" i="2"/>
  <c r="M256" i="2"/>
  <c r="N256" i="2" s="1"/>
  <c r="G256" i="2"/>
  <c r="D256" i="2"/>
  <c r="O255" i="2"/>
  <c r="N255" i="2"/>
  <c r="M255" i="2"/>
  <c r="G255" i="2"/>
  <c r="D255" i="2"/>
  <c r="O254" i="2"/>
  <c r="M254" i="2"/>
  <c r="N254" i="2" s="1"/>
  <c r="G254" i="2"/>
  <c r="D254" i="2"/>
  <c r="O253" i="2"/>
  <c r="N253" i="2"/>
  <c r="M253" i="2"/>
  <c r="G253" i="2"/>
  <c r="D253" i="2"/>
  <c r="O252" i="2"/>
  <c r="N252" i="2"/>
  <c r="M252" i="2"/>
  <c r="G252" i="2"/>
  <c r="D252" i="2"/>
  <c r="O251" i="2"/>
  <c r="N251" i="2"/>
  <c r="M251" i="2"/>
  <c r="G251" i="2"/>
  <c r="D251" i="2"/>
  <c r="O250" i="2"/>
  <c r="N250" i="2"/>
  <c r="M250" i="2"/>
  <c r="G250" i="2"/>
  <c r="D250" i="2"/>
  <c r="O249" i="2"/>
  <c r="N249" i="2"/>
  <c r="M249" i="2"/>
  <c r="G249" i="2"/>
  <c r="D249" i="2"/>
  <c r="O248" i="2"/>
  <c r="M248" i="2"/>
  <c r="N248" i="2" s="1"/>
  <c r="G248" i="2"/>
  <c r="D248" i="2"/>
  <c r="O247" i="2"/>
  <c r="N247" i="2"/>
  <c r="M247" i="2"/>
  <c r="G247" i="2"/>
  <c r="D247" i="2"/>
  <c r="O246" i="2"/>
  <c r="M246" i="2"/>
  <c r="N246" i="2" s="1"/>
  <c r="G246" i="2"/>
  <c r="D246" i="2"/>
  <c r="O245" i="2"/>
  <c r="N245" i="2"/>
  <c r="M245" i="2"/>
  <c r="G245" i="2"/>
  <c r="D245" i="2"/>
  <c r="O244" i="2"/>
  <c r="N244" i="2"/>
  <c r="M244" i="2"/>
  <c r="G244" i="2"/>
  <c r="D244" i="2"/>
  <c r="O243" i="2"/>
  <c r="N243" i="2"/>
  <c r="M243" i="2"/>
  <c r="G243" i="2"/>
  <c r="D243" i="2"/>
  <c r="O242" i="2"/>
  <c r="N242" i="2"/>
  <c r="M242" i="2"/>
  <c r="G242" i="2"/>
  <c r="D242" i="2"/>
  <c r="O241" i="2"/>
  <c r="N241" i="2"/>
  <c r="M241" i="2"/>
  <c r="G241" i="2"/>
  <c r="D241" i="2"/>
  <c r="O240" i="2"/>
  <c r="M240" i="2"/>
  <c r="N240" i="2" s="1"/>
  <c r="G240" i="2"/>
  <c r="D240" i="2"/>
  <c r="O239" i="2"/>
  <c r="N239" i="2"/>
  <c r="M239" i="2"/>
  <c r="G239" i="2"/>
  <c r="D239" i="2"/>
  <c r="O238" i="2"/>
  <c r="M238" i="2"/>
  <c r="N238" i="2" s="1"/>
  <c r="G238" i="2"/>
  <c r="D238" i="2"/>
  <c r="O237" i="2"/>
  <c r="N237" i="2"/>
  <c r="M237" i="2"/>
  <c r="G237" i="2"/>
  <c r="D237" i="2"/>
  <c r="O236" i="2"/>
  <c r="N236" i="2"/>
  <c r="M236" i="2"/>
  <c r="G236" i="2"/>
  <c r="D236" i="2"/>
  <c r="O235" i="2"/>
  <c r="N235" i="2"/>
  <c r="M235" i="2"/>
  <c r="G235" i="2"/>
  <c r="D235" i="2"/>
  <c r="O234" i="2"/>
  <c r="N234" i="2"/>
  <c r="M234" i="2"/>
  <c r="G234" i="2"/>
  <c r="D234" i="2"/>
  <c r="O233" i="2"/>
  <c r="N233" i="2"/>
  <c r="M233" i="2"/>
  <c r="G233" i="2"/>
  <c r="D233" i="2"/>
  <c r="O232" i="2"/>
  <c r="M232" i="2"/>
  <c r="N232" i="2" s="1"/>
  <c r="G232" i="2"/>
  <c r="D232" i="2"/>
  <c r="O231" i="2"/>
  <c r="N231" i="2"/>
  <c r="M231" i="2"/>
  <c r="G231" i="2"/>
  <c r="D231" i="2"/>
  <c r="O230" i="2"/>
  <c r="M230" i="2"/>
  <c r="N230" i="2" s="1"/>
  <c r="G230" i="2"/>
  <c r="D230" i="2"/>
  <c r="O229" i="2"/>
  <c r="N229" i="2"/>
  <c r="M229" i="2"/>
  <c r="G229" i="2"/>
  <c r="D229" i="2"/>
  <c r="O228" i="2"/>
  <c r="N228" i="2"/>
  <c r="M228" i="2"/>
  <c r="G228" i="2"/>
  <c r="D228" i="2"/>
  <c r="O227" i="2"/>
  <c r="N227" i="2"/>
  <c r="M227" i="2"/>
  <c r="G227" i="2"/>
  <c r="D227" i="2"/>
  <c r="O226" i="2"/>
  <c r="N226" i="2"/>
  <c r="M226" i="2"/>
  <c r="G226" i="2"/>
  <c r="D226" i="2"/>
  <c r="O225" i="2"/>
  <c r="N225" i="2"/>
  <c r="M225" i="2"/>
  <c r="G225" i="2"/>
  <c r="D225" i="2"/>
  <c r="O224" i="2"/>
  <c r="M224" i="2"/>
  <c r="N224" i="2" s="1"/>
  <c r="G224" i="2"/>
  <c r="D224" i="2"/>
  <c r="O223" i="2"/>
  <c r="N223" i="2"/>
  <c r="M223" i="2"/>
  <c r="G223" i="2"/>
  <c r="D223" i="2"/>
  <c r="O222" i="2"/>
  <c r="M222" i="2"/>
  <c r="N222" i="2" s="1"/>
  <c r="G222" i="2"/>
  <c r="D222" i="2"/>
  <c r="O221" i="2"/>
  <c r="N221" i="2"/>
  <c r="M221" i="2"/>
  <c r="G221" i="2"/>
  <c r="D221" i="2"/>
  <c r="O220" i="2"/>
  <c r="N220" i="2"/>
  <c r="M220" i="2"/>
  <c r="G220" i="2"/>
  <c r="D220" i="2"/>
  <c r="O219" i="2"/>
  <c r="N219" i="2"/>
  <c r="M219" i="2"/>
  <c r="G219" i="2"/>
  <c r="D219" i="2"/>
  <c r="O218" i="2"/>
  <c r="N218" i="2"/>
  <c r="M218" i="2"/>
  <c r="G218" i="2"/>
  <c r="D218" i="2"/>
  <c r="O217" i="2"/>
  <c r="N217" i="2"/>
  <c r="M217" i="2"/>
  <c r="G217" i="2"/>
  <c r="D217" i="2"/>
  <c r="O216" i="2"/>
  <c r="M216" i="2"/>
  <c r="N216" i="2" s="1"/>
  <c r="G216" i="2"/>
  <c r="D216" i="2"/>
  <c r="O215" i="2"/>
  <c r="N215" i="2"/>
  <c r="M215" i="2"/>
  <c r="G215" i="2"/>
  <c r="D215" i="2"/>
  <c r="O214" i="2"/>
  <c r="M214" i="2"/>
  <c r="N214" i="2" s="1"/>
  <c r="G214" i="2"/>
  <c r="D214" i="2"/>
  <c r="O213" i="2"/>
  <c r="N213" i="2"/>
  <c r="M213" i="2"/>
  <c r="G213" i="2"/>
  <c r="D213" i="2"/>
  <c r="O212" i="2"/>
  <c r="N212" i="2"/>
  <c r="M212" i="2"/>
  <c r="G212" i="2"/>
  <c r="D212" i="2"/>
  <c r="O211" i="2"/>
  <c r="N211" i="2"/>
  <c r="M211" i="2"/>
  <c r="G211" i="2"/>
  <c r="D211" i="2"/>
  <c r="O210" i="2"/>
  <c r="N210" i="2"/>
  <c r="M210" i="2"/>
  <c r="G210" i="2"/>
  <c r="D210" i="2"/>
  <c r="O209" i="2"/>
  <c r="N209" i="2"/>
  <c r="M209" i="2"/>
  <c r="G209" i="2"/>
  <c r="D209" i="2"/>
  <c r="O208" i="2"/>
  <c r="M208" i="2"/>
  <c r="N208" i="2" s="1"/>
  <c r="G208" i="2"/>
  <c r="D208" i="2"/>
  <c r="O207" i="2"/>
  <c r="N207" i="2"/>
  <c r="M207" i="2"/>
  <c r="G207" i="2"/>
  <c r="D207" i="2"/>
  <c r="O206" i="2"/>
  <c r="M206" i="2"/>
  <c r="N206" i="2" s="1"/>
  <c r="G206" i="2"/>
  <c r="D206" i="2"/>
  <c r="O205" i="2"/>
  <c r="N205" i="2"/>
  <c r="M205" i="2"/>
  <c r="G205" i="2"/>
  <c r="D205" i="2"/>
  <c r="O204" i="2"/>
  <c r="N204" i="2"/>
  <c r="M204" i="2"/>
  <c r="G204" i="2"/>
  <c r="D204" i="2"/>
  <c r="O203" i="2"/>
  <c r="N203" i="2"/>
  <c r="M203" i="2"/>
  <c r="G203" i="2"/>
  <c r="D203" i="2"/>
  <c r="O202" i="2"/>
  <c r="N202" i="2"/>
  <c r="M202" i="2"/>
  <c r="G202" i="2"/>
  <c r="D202" i="2"/>
  <c r="O201" i="2"/>
  <c r="N201" i="2"/>
  <c r="M201" i="2"/>
  <c r="G201" i="2"/>
  <c r="D201" i="2"/>
  <c r="O200" i="2"/>
  <c r="M200" i="2"/>
  <c r="N200" i="2" s="1"/>
  <c r="G200" i="2"/>
  <c r="D200" i="2"/>
  <c r="O199" i="2"/>
  <c r="N199" i="2"/>
  <c r="M199" i="2"/>
  <c r="G199" i="2"/>
  <c r="D199" i="2"/>
  <c r="O198" i="2"/>
  <c r="M198" i="2"/>
  <c r="N198" i="2" s="1"/>
  <c r="G198" i="2"/>
  <c r="D198" i="2"/>
  <c r="O197" i="2"/>
  <c r="N197" i="2"/>
  <c r="M197" i="2"/>
  <c r="G197" i="2"/>
  <c r="D197" i="2"/>
  <c r="O196" i="2"/>
  <c r="N196" i="2"/>
  <c r="M196" i="2"/>
  <c r="G196" i="2"/>
  <c r="D196" i="2"/>
  <c r="O195" i="2"/>
  <c r="N195" i="2"/>
  <c r="M195" i="2"/>
  <c r="G195" i="2"/>
  <c r="D195" i="2"/>
  <c r="O194" i="2"/>
  <c r="N194" i="2"/>
  <c r="M194" i="2"/>
  <c r="G194" i="2"/>
  <c r="D194" i="2"/>
  <c r="O193" i="2"/>
  <c r="N193" i="2"/>
  <c r="M193" i="2"/>
  <c r="G193" i="2"/>
  <c r="D193" i="2"/>
  <c r="O192" i="2"/>
  <c r="N192" i="2"/>
  <c r="M192" i="2"/>
  <c r="G192" i="2"/>
  <c r="D192" i="2"/>
  <c r="O191" i="2"/>
  <c r="N191" i="2"/>
  <c r="M191" i="2"/>
  <c r="G191" i="2"/>
  <c r="D191" i="2"/>
  <c r="O190" i="2"/>
  <c r="M190" i="2"/>
  <c r="N190" i="2" s="1"/>
  <c r="G190" i="2"/>
  <c r="D190" i="2"/>
  <c r="O189" i="2"/>
  <c r="N189" i="2"/>
  <c r="M189" i="2"/>
  <c r="G189" i="2"/>
  <c r="D189" i="2"/>
  <c r="O188" i="2"/>
  <c r="M188" i="2"/>
  <c r="N188" i="2" s="1"/>
  <c r="G188" i="2"/>
  <c r="D188" i="2"/>
  <c r="O187" i="2"/>
  <c r="N187" i="2"/>
  <c r="M187" i="2"/>
  <c r="G187" i="2"/>
  <c r="D187" i="2"/>
  <c r="O186" i="2"/>
  <c r="N186" i="2"/>
  <c r="M186" i="2"/>
  <c r="G186" i="2"/>
  <c r="D186" i="2"/>
  <c r="O185" i="2"/>
  <c r="M185" i="2"/>
  <c r="N185" i="2" s="1"/>
  <c r="G185" i="2"/>
  <c r="D185" i="2"/>
  <c r="O184" i="2"/>
  <c r="N184" i="2"/>
  <c r="M184" i="2"/>
  <c r="G184" i="2"/>
  <c r="D184" i="2"/>
  <c r="O183" i="2"/>
  <c r="M183" i="2"/>
  <c r="N183" i="2" s="1"/>
  <c r="G183" i="2"/>
  <c r="D183" i="2"/>
  <c r="O182" i="2"/>
  <c r="N182" i="2"/>
  <c r="M182" i="2"/>
  <c r="G182" i="2"/>
  <c r="D182" i="2"/>
  <c r="O181" i="2"/>
  <c r="M181" i="2"/>
  <c r="N181" i="2" s="1"/>
  <c r="G181" i="2"/>
  <c r="D181" i="2"/>
  <c r="O180" i="2"/>
  <c r="N180" i="2"/>
  <c r="M180" i="2"/>
  <c r="G180" i="2"/>
  <c r="D180" i="2"/>
  <c r="O179" i="2"/>
  <c r="M179" i="2"/>
  <c r="N179" i="2" s="1"/>
  <c r="G179" i="2"/>
  <c r="D179" i="2"/>
  <c r="O178" i="2"/>
  <c r="N178" i="2"/>
  <c r="M178" i="2"/>
  <c r="G178" i="2"/>
  <c r="D178" i="2"/>
  <c r="O177" i="2"/>
  <c r="M177" i="2"/>
  <c r="N177" i="2" s="1"/>
  <c r="G177" i="2"/>
  <c r="D177" i="2"/>
  <c r="O176" i="2"/>
  <c r="N176" i="2"/>
  <c r="M176" i="2"/>
  <c r="G176" i="2"/>
  <c r="D176" i="2"/>
  <c r="O175" i="2"/>
  <c r="M175" i="2"/>
  <c r="N175" i="2" s="1"/>
  <c r="G175" i="2"/>
  <c r="D175" i="2"/>
  <c r="O174" i="2"/>
  <c r="N174" i="2"/>
  <c r="M174" i="2"/>
  <c r="G174" i="2"/>
  <c r="D174" i="2"/>
  <c r="O173" i="2"/>
  <c r="M173" i="2"/>
  <c r="N173" i="2" s="1"/>
  <c r="G173" i="2"/>
  <c r="D173" i="2"/>
  <c r="O172" i="2"/>
  <c r="N172" i="2"/>
  <c r="M172" i="2"/>
  <c r="G172" i="2"/>
  <c r="D172" i="2"/>
  <c r="O171" i="2"/>
  <c r="M171" i="2"/>
  <c r="N171" i="2" s="1"/>
  <c r="G171" i="2"/>
  <c r="D171" i="2"/>
  <c r="O170" i="2"/>
  <c r="N170" i="2"/>
  <c r="M170" i="2"/>
  <c r="G170" i="2"/>
  <c r="D170" i="2"/>
  <c r="O169" i="2"/>
  <c r="M169" i="2"/>
  <c r="N169" i="2" s="1"/>
  <c r="G169" i="2"/>
  <c r="D169" i="2"/>
  <c r="O168" i="2"/>
  <c r="N168" i="2"/>
  <c r="M168" i="2"/>
  <c r="G168" i="2"/>
  <c r="D168" i="2"/>
  <c r="O167" i="2"/>
  <c r="M167" i="2"/>
  <c r="N167" i="2" s="1"/>
  <c r="G167" i="2"/>
  <c r="D167" i="2"/>
  <c r="O166" i="2"/>
  <c r="N166" i="2"/>
  <c r="M166" i="2"/>
  <c r="G166" i="2"/>
  <c r="D166" i="2"/>
  <c r="O165" i="2"/>
  <c r="M165" i="2"/>
  <c r="N165" i="2" s="1"/>
  <c r="G165" i="2"/>
  <c r="D165" i="2"/>
  <c r="O164" i="2"/>
  <c r="N164" i="2"/>
  <c r="M164" i="2"/>
  <c r="G164" i="2"/>
  <c r="D164" i="2"/>
  <c r="O163" i="2"/>
  <c r="M163" i="2"/>
  <c r="N163" i="2" s="1"/>
  <c r="G163" i="2"/>
  <c r="D163" i="2"/>
  <c r="O162" i="2"/>
  <c r="N162" i="2"/>
  <c r="M162" i="2"/>
  <c r="G162" i="2"/>
  <c r="D162" i="2"/>
  <c r="O161" i="2"/>
  <c r="M161" i="2"/>
  <c r="N161" i="2" s="1"/>
  <c r="G161" i="2"/>
  <c r="D161" i="2"/>
  <c r="O160" i="2"/>
  <c r="N160" i="2"/>
  <c r="M160" i="2"/>
  <c r="G160" i="2"/>
  <c r="D160" i="2"/>
  <c r="O159" i="2"/>
  <c r="M159" i="2"/>
  <c r="N159" i="2" s="1"/>
  <c r="G159" i="2"/>
  <c r="D159" i="2"/>
  <c r="O158" i="2"/>
  <c r="N158" i="2"/>
  <c r="M158" i="2"/>
  <c r="G158" i="2"/>
  <c r="D158" i="2"/>
  <c r="O157" i="2"/>
  <c r="M157" i="2"/>
  <c r="N157" i="2" s="1"/>
  <c r="G157" i="2"/>
  <c r="D157" i="2"/>
  <c r="O156" i="2"/>
  <c r="N156" i="2"/>
  <c r="M156" i="2"/>
  <c r="G156" i="2"/>
  <c r="D156" i="2"/>
  <c r="O155" i="2"/>
  <c r="M155" i="2"/>
  <c r="N155" i="2" s="1"/>
  <c r="G155" i="2"/>
  <c r="D155" i="2"/>
  <c r="O154" i="2"/>
  <c r="N154" i="2"/>
  <c r="M154" i="2"/>
  <c r="G154" i="2"/>
  <c r="D154" i="2"/>
  <c r="O153" i="2"/>
  <c r="M153" i="2"/>
  <c r="N153" i="2" s="1"/>
  <c r="G153" i="2"/>
  <c r="D153" i="2"/>
  <c r="O152" i="2"/>
  <c r="N152" i="2"/>
  <c r="M152" i="2"/>
  <c r="G152" i="2"/>
  <c r="D152" i="2"/>
  <c r="O151" i="2"/>
  <c r="M151" i="2"/>
  <c r="N151" i="2" s="1"/>
  <c r="G151" i="2"/>
  <c r="D151" i="2"/>
  <c r="O150" i="2"/>
  <c r="N150" i="2"/>
  <c r="M150" i="2"/>
  <c r="G150" i="2"/>
  <c r="D150" i="2"/>
  <c r="O149" i="2"/>
  <c r="M149" i="2"/>
  <c r="N149" i="2" s="1"/>
  <c r="G149" i="2"/>
  <c r="D149" i="2"/>
  <c r="O148" i="2"/>
  <c r="N148" i="2"/>
  <c r="M148" i="2"/>
  <c r="G148" i="2"/>
  <c r="D148" i="2"/>
  <c r="O147" i="2"/>
  <c r="M147" i="2"/>
  <c r="N147" i="2" s="1"/>
  <c r="G147" i="2"/>
  <c r="D147" i="2"/>
  <c r="O146" i="2"/>
  <c r="N146" i="2"/>
  <c r="M146" i="2"/>
  <c r="G146" i="2"/>
  <c r="D146" i="2"/>
  <c r="O145" i="2"/>
  <c r="M145" i="2"/>
  <c r="N145" i="2" s="1"/>
  <c r="G145" i="2"/>
  <c r="D145" i="2"/>
  <c r="O144" i="2"/>
  <c r="N144" i="2"/>
  <c r="M144" i="2"/>
  <c r="G144" i="2"/>
  <c r="D144" i="2"/>
  <c r="O143" i="2"/>
  <c r="N143" i="2"/>
  <c r="M143" i="2"/>
  <c r="G143" i="2"/>
  <c r="D143" i="2"/>
  <c r="O142" i="2"/>
  <c r="N142" i="2"/>
  <c r="M142" i="2"/>
  <c r="G142" i="2"/>
  <c r="D142" i="2"/>
  <c r="O141" i="2"/>
  <c r="N141" i="2"/>
  <c r="M141" i="2"/>
  <c r="G141" i="2"/>
  <c r="D141" i="2"/>
  <c r="O140" i="2"/>
  <c r="N140" i="2"/>
  <c r="M140" i="2"/>
  <c r="G140" i="2"/>
  <c r="D140" i="2"/>
  <c r="O139" i="2"/>
  <c r="M139" i="2"/>
  <c r="N139" i="2" s="1"/>
  <c r="G139" i="2"/>
  <c r="D139" i="2"/>
  <c r="O138" i="2"/>
  <c r="N138" i="2"/>
  <c r="M138" i="2"/>
  <c r="G138" i="2"/>
  <c r="D138" i="2"/>
  <c r="O137" i="2"/>
  <c r="M137" i="2"/>
  <c r="N137" i="2" s="1"/>
  <c r="G137" i="2"/>
  <c r="D137" i="2"/>
  <c r="O136" i="2"/>
  <c r="N136" i="2"/>
  <c r="M136" i="2"/>
  <c r="G136" i="2"/>
  <c r="D136" i="2"/>
  <c r="O135" i="2"/>
  <c r="N135" i="2"/>
  <c r="M135" i="2"/>
  <c r="G135" i="2"/>
  <c r="D135" i="2"/>
  <c r="O134" i="2"/>
  <c r="N134" i="2"/>
  <c r="M134" i="2"/>
  <c r="G134" i="2"/>
  <c r="D134" i="2"/>
  <c r="O133" i="2"/>
  <c r="N133" i="2"/>
  <c r="M133" i="2"/>
  <c r="G133" i="2"/>
  <c r="D133" i="2"/>
  <c r="O132" i="2"/>
  <c r="N132" i="2"/>
  <c r="M132" i="2"/>
  <c r="G132" i="2"/>
  <c r="D132" i="2"/>
  <c r="O131" i="2"/>
  <c r="M131" i="2"/>
  <c r="N131" i="2" s="1"/>
  <c r="G131" i="2"/>
  <c r="D131" i="2"/>
  <c r="O130" i="2"/>
  <c r="N130" i="2"/>
  <c r="M130" i="2"/>
  <c r="G130" i="2"/>
  <c r="D130" i="2"/>
  <c r="O129" i="2"/>
  <c r="M129" i="2"/>
  <c r="N129" i="2" s="1"/>
  <c r="G129" i="2"/>
  <c r="D129" i="2"/>
  <c r="O128" i="2"/>
  <c r="N128" i="2"/>
  <c r="M128" i="2"/>
  <c r="G128" i="2"/>
  <c r="D128" i="2"/>
  <c r="O127" i="2"/>
  <c r="N127" i="2"/>
  <c r="M127" i="2"/>
  <c r="G127" i="2"/>
  <c r="D127" i="2"/>
  <c r="O126" i="2"/>
  <c r="N126" i="2"/>
  <c r="M126" i="2"/>
  <c r="G126" i="2"/>
  <c r="D126" i="2"/>
  <c r="O125" i="2"/>
  <c r="M125" i="2"/>
  <c r="N125" i="2" s="1"/>
  <c r="G125" i="2"/>
  <c r="D125" i="2"/>
  <c r="O124" i="2"/>
  <c r="N124" i="2"/>
  <c r="M124" i="2"/>
  <c r="G124" i="2"/>
  <c r="D124" i="2"/>
  <c r="O123" i="2"/>
  <c r="M123" i="2"/>
  <c r="N123" i="2" s="1"/>
  <c r="G123" i="2"/>
  <c r="D123" i="2"/>
  <c r="O122" i="2"/>
  <c r="N122" i="2"/>
  <c r="M122" i="2"/>
  <c r="G122" i="2"/>
  <c r="D122" i="2"/>
  <c r="O121" i="2"/>
  <c r="M121" i="2"/>
  <c r="N121" i="2" s="1"/>
  <c r="G121" i="2"/>
  <c r="D121" i="2"/>
  <c r="O120" i="2"/>
  <c r="N120" i="2"/>
  <c r="M120" i="2"/>
  <c r="G120" i="2"/>
  <c r="D120" i="2"/>
  <c r="O119" i="2"/>
  <c r="N119" i="2"/>
  <c r="M119" i="2"/>
  <c r="G119" i="2"/>
  <c r="D119" i="2"/>
  <c r="O118" i="2"/>
  <c r="N118" i="2"/>
  <c r="M118" i="2"/>
  <c r="G118" i="2"/>
  <c r="D118" i="2"/>
  <c r="O117" i="2"/>
  <c r="M117" i="2"/>
  <c r="N117" i="2" s="1"/>
  <c r="G117" i="2"/>
  <c r="D117" i="2"/>
  <c r="O116" i="2"/>
  <c r="N116" i="2"/>
  <c r="M116" i="2"/>
  <c r="G116" i="2"/>
  <c r="D116" i="2"/>
  <c r="O115" i="2"/>
  <c r="M115" i="2"/>
  <c r="N115" i="2" s="1"/>
  <c r="G115" i="2"/>
  <c r="D115" i="2"/>
  <c r="O114" i="2"/>
  <c r="N114" i="2"/>
  <c r="M114" i="2"/>
  <c r="G114" i="2"/>
  <c r="D114" i="2"/>
  <c r="O113" i="2"/>
  <c r="M113" i="2"/>
  <c r="N113" i="2" s="1"/>
  <c r="G113" i="2"/>
  <c r="D113" i="2"/>
  <c r="O112" i="2"/>
  <c r="N112" i="2"/>
  <c r="M112" i="2"/>
  <c r="G112" i="2"/>
  <c r="D112" i="2"/>
  <c r="O111" i="2"/>
  <c r="M111" i="2"/>
  <c r="N111" i="2" s="1"/>
  <c r="G111" i="2"/>
  <c r="D111" i="2"/>
  <c r="O110" i="2"/>
  <c r="N110" i="2"/>
  <c r="M110" i="2"/>
  <c r="G110" i="2"/>
  <c r="D110" i="2"/>
  <c r="O109" i="2"/>
  <c r="N109" i="2"/>
  <c r="M109" i="2"/>
  <c r="G109" i="2"/>
  <c r="D109" i="2"/>
  <c r="O108" i="2"/>
  <c r="N108" i="2"/>
  <c r="M108" i="2"/>
  <c r="G108" i="2"/>
  <c r="D108" i="2"/>
  <c r="O107" i="2"/>
  <c r="N107" i="2"/>
  <c r="M107" i="2"/>
  <c r="G107" i="2"/>
  <c r="D107" i="2"/>
  <c r="O106" i="2"/>
  <c r="N106" i="2"/>
  <c r="M106" i="2"/>
  <c r="G106" i="2"/>
  <c r="D106" i="2"/>
  <c r="O105" i="2"/>
  <c r="M105" i="2"/>
  <c r="N105" i="2" s="1"/>
  <c r="G105" i="2"/>
  <c r="D105" i="2"/>
  <c r="O104" i="2"/>
  <c r="N104" i="2"/>
  <c r="M104" i="2"/>
  <c r="G104" i="2"/>
  <c r="D104" i="2"/>
  <c r="O103" i="2"/>
  <c r="M103" i="2"/>
  <c r="N103" i="2" s="1"/>
  <c r="G103" i="2"/>
  <c r="D103" i="2"/>
  <c r="O102" i="2"/>
  <c r="N102" i="2"/>
  <c r="M102" i="2"/>
  <c r="G102" i="2"/>
  <c r="D102" i="2"/>
  <c r="O101" i="2"/>
  <c r="N101" i="2"/>
  <c r="M101" i="2"/>
  <c r="G101" i="2"/>
  <c r="D101" i="2"/>
  <c r="O100" i="2"/>
  <c r="N100" i="2"/>
  <c r="M100" i="2"/>
  <c r="G100" i="2"/>
  <c r="D100" i="2"/>
  <c r="O99" i="2"/>
  <c r="N99" i="2"/>
  <c r="M99" i="2"/>
  <c r="G99" i="2"/>
  <c r="D99" i="2"/>
  <c r="O98" i="2"/>
  <c r="N98" i="2"/>
  <c r="M98" i="2"/>
  <c r="G98" i="2"/>
  <c r="D98" i="2"/>
  <c r="O97" i="2"/>
  <c r="M97" i="2"/>
  <c r="N97" i="2" s="1"/>
  <c r="G97" i="2"/>
  <c r="D97" i="2"/>
  <c r="O96" i="2"/>
  <c r="N96" i="2"/>
  <c r="M96" i="2"/>
  <c r="G96" i="2"/>
  <c r="D96" i="2"/>
  <c r="O95" i="2"/>
  <c r="M95" i="2"/>
  <c r="N95" i="2" s="1"/>
  <c r="G95" i="2"/>
  <c r="D95" i="2"/>
  <c r="O94" i="2"/>
  <c r="N94" i="2"/>
  <c r="M94" i="2"/>
  <c r="G94" i="2"/>
  <c r="D94" i="2"/>
  <c r="O93" i="2"/>
  <c r="N93" i="2"/>
  <c r="M93" i="2"/>
  <c r="G93" i="2"/>
  <c r="D93" i="2"/>
  <c r="O92" i="2"/>
  <c r="N92" i="2"/>
  <c r="M92" i="2"/>
  <c r="G92" i="2"/>
  <c r="D92" i="2"/>
  <c r="O91" i="2"/>
  <c r="N91" i="2"/>
  <c r="M91" i="2"/>
  <c r="G91" i="2"/>
  <c r="D91" i="2"/>
  <c r="O90" i="2"/>
  <c r="N90" i="2"/>
  <c r="M90" i="2"/>
  <c r="G90" i="2"/>
  <c r="D90" i="2"/>
  <c r="O89" i="2"/>
  <c r="M89" i="2"/>
  <c r="N89" i="2" s="1"/>
  <c r="G89" i="2"/>
  <c r="D89" i="2"/>
  <c r="O88" i="2"/>
  <c r="N88" i="2"/>
  <c r="M88" i="2"/>
  <c r="G88" i="2"/>
  <c r="D88" i="2"/>
  <c r="O87" i="2"/>
  <c r="M87" i="2"/>
  <c r="N87" i="2" s="1"/>
  <c r="G87" i="2"/>
  <c r="D87" i="2"/>
  <c r="O86" i="2"/>
  <c r="N86" i="2"/>
  <c r="M86" i="2"/>
  <c r="G86" i="2"/>
  <c r="D86" i="2"/>
  <c r="O85" i="2"/>
  <c r="N85" i="2"/>
  <c r="M85" i="2"/>
  <c r="G85" i="2"/>
  <c r="D85" i="2"/>
  <c r="O84" i="2"/>
  <c r="N84" i="2"/>
  <c r="M84" i="2"/>
  <c r="G84" i="2"/>
  <c r="D84" i="2"/>
  <c r="O83" i="2"/>
  <c r="N83" i="2"/>
  <c r="M83" i="2"/>
  <c r="G83" i="2"/>
  <c r="D83" i="2"/>
  <c r="O82" i="2"/>
  <c r="N82" i="2"/>
  <c r="M82" i="2"/>
  <c r="G82" i="2"/>
  <c r="D82" i="2"/>
  <c r="O81" i="2"/>
  <c r="M81" i="2"/>
  <c r="N81" i="2" s="1"/>
  <c r="G81" i="2"/>
  <c r="D81" i="2"/>
  <c r="O80" i="2"/>
  <c r="N80" i="2"/>
  <c r="M80" i="2"/>
  <c r="G80" i="2"/>
  <c r="D80" i="2"/>
  <c r="O79" i="2"/>
  <c r="M79" i="2"/>
  <c r="N79" i="2" s="1"/>
  <c r="G79" i="2"/>
  <c r="D79" i="2"/>
  <c r="O78" i="2"/>
  <c r="N78" i="2"/>
  <c r="M78" i="2"/>
  <c r="G78" i="2"/>
  <c r="D78" i="2"/>
  <c r="O77" i="2"/>
  <c r="N77" i="2"/>
  <c r="M77" i="2"/>
  <c r="G77" i="2"/>
  <c r="D77" i="2"/>
  <c r="O76" i="2"/>
  <c r="N76" i="2"/>
  <c r="M76" i="2"/>
  <c r="G76" i="2"/>
  <c r="D76" i="2"/>
  <c r="O75" i="2"/>
  <c r="N75" i="2"/>
  <c r="M75" i="2"/>
  <c r="G75" i="2"/>
  <c r="D75" i="2"/>
  <c r="O74" i="2"/>
  <c r="N74" i="2"/>
  <c r="M74" i="2"/>
  <c r="G74" i="2"/>
  <c r="D74" i="2"/>
  <c r="O73" i="2"/>
  <c r="M73" i="2"/>
  <c r="N73" i="2" s="1"/>
  <c r="G73" i="2"/>
  <c r="D73" i="2"/>
  <c r="O72" i="2"/>
  <c r="N72" i="2"/>
  <c r="M72" i="2"/>
  <c r="G72" i="2"/>
  <c r="D72" i="2"/>
  <c r="O71" i="2"/>
  <c r="M71" i="2"/>
  <c r="N71" i="2" s="1"/>
  <c r="G71" i="2"/>
  <c r="D71" i="2"/>
  <c r="O70" i="2"/>
  <c r="N70" i="2"/>
  <c r="M70" i="2"/>
  <c r="G70" i="2"/>
  <c r="D70" i="2"/>
  <c r="O69" i="2"/>
  <c r="N69" i="2"/>
  <c r="M69" i="2"/>
  <c r="G69" i="2"/>
  <c r="D69" i="2"/>
  <c r="O68" i="2"/>
  <c r="N68" i="2"/>
  <c r="M68" i="2"/>
  <c r="G68" i="2"/>
  <c r="D68" i="2"/>
  <c r="O67" i="2"/>
  <c r="N67" i="2"/>
  <c r="M67" i="2"/>
  <c r="G67" i="2"/>
  <c r="D67" i="2"/>
  <c r="O66" i="2"/>
  <c r="N66" i="2"/>
  <c r="M66" i="2"/>
  <c r="G66" i="2"/>
  <c r="D66" i="2"/>
  <c r="O65" i="2"/>
  <c r="M65" i="2"/>
  <c r="N65" i="2" s="1"/>
  <c r="G65" i="2"/>
  <c r="D65" i="2"/>
  <c r="O64" i="2"/>
  <c r="N64" i="2"/>
  <c r="M64" i="2"/>
  <c r="G64" i="2"/>
  <c r="D64" i="2"/>
  <c r="O63" i="2"/>
  <c r="M63" i="2"/>
  <c r="N63" i="2" s="1"/>
  <c r="G63" i="2"/>
  <c r="D63" i="2"/>
  <c r="O62" i="2"/>
  <c r="N62" i="2"/>
  <c r="M62" i="2"/>
  <c r="G62" i="2"/>
  <c r="D62" i="2"/>
  <c r="O61" i="2"/>
  <c r="N61" i="2"/>
  <c r="M61" i="2"/>
  <c r="G61" i="2"/>
  <c r="D61" i="2"/>
  <c r="O60" i="2"/>
  <c r="N60" i="2"/>
  <c r="M60" i="2"/>
  <c r="G60" i="2"/>
  <c r="D60" i="2"/>
  <c r="O59" i="2"/>
  <c r="N59" i="2"/>
  <c r="M59" i="2"/>
  <c r="G59" i="2"/>
  <c r="D59" i="2"/>
  <c r="O58" i="2"/>
  <c r="N58" i="2"/>
  <c r="M58" i="2"/>
  <c r="G58" i="2"/>
  <c r="D58" i="2"/>
  <c r="O57" i="2"/>
  <c r="M57" i="2"/>
  <c r="N57" i="2" s="1"/>
  <c r="G57" i="2"/>
  <c r="D57" i="2"/>
  <c r="O56" i="2"/>
  <c r="N56" i="2"/>
  <c r="M56" i="2"/>
  <c r="G56" i="2"/>
  <c r="D56" i="2"/>
  <c r="O55" i="2"/>
  <c r="M55" i="2"/>
  <c r="N55" i="2" s="1"/>
  <c r="G55" i="2"/>
  <c r="D55" i="2"/>
  <c r="O54" i="2"/>
  <c r="N54" i="2"/>
  <c r="M54" i="2"/>
  <c r="G54" i="2"/>
  <c r="D54" i="2"/>
  <c r="O53" i="2"/>
  <c r="N53" i="2"/>
  <c r="M53" i="2"/>
  <c r="G53" i="2"/>
  <c r="D53" i="2"/>
  <c r="O52" i="2"/>
  <c r="N52" i="2"/>
  <c r="M52" i="2"/>
  <c r="G52" i="2"/>
  <c r="D52" i="2"/>
  <c r="O51" i="2"/>
  <c r="N51" i="2"/>
  <c r="M51" i="2"/>
  <c r="G51" i="2"/>
  <c r="D51" i="2"/>
  <c r="O50" i="2"/>
  <c r="N50" i="2"/>
  <c r="M50" i="2"/>
  <c r="G50" i="2"/>
  <c r="D50" i="2"/>
  <c r="O49" i="2"/>
  <c r="M49" i="2"/>
  <c r="N49" i="2" s="1"/>
  <c r="G49" i="2"/>
  <c r="D49" i="2"/>
  <c r="O48" i="2"/>
  <c r="N48" i="2"/>
  <c r="M48" i="2"/>
  <c r="G48" i="2"/>
  <c r="D48" i="2"/>
  <c r="O47" i="2"/>
  <c r="M47" i="2"/>
  <c r="N47" i="2" s="1"/>
  <c r="G47" i="2"/>
  <c r="D47" i="2"/>
  <c r="O46" i="2"/>
  <c r="N46" i="2"/>
  <c r="M46" i="2"/>
  <c r="G46" i="2"/>
  <c r="D46" i="2"/>
  <c r="O45" i="2"/>
  <c r="N45" i="2"/>
  <c r="M45" i="2"/>
  <c r="G45" i="2"/>
  <c r="D45" i="2"/>
  <c r="O44" i="2"/>
  <c r="N44" i="2"/>
  <c r="M44" i="2"/>
  <c r="G44" i="2"/>
  <c r="D44" i="2"/>
  <c r="O43" i="2"/>
  <c r="N43" i="2"/>
  <c r="M43" i="2"/>
  <c r="G43" i="2"/>
  <c r="D43" i="2"/>
  <c r="O42" i="2"/>
  <c r="N42" i="2"/>
  <c r="M42" i="2"/>
  <c r="G42" i="2"/>
  <c r="D42" i="2"/>
  <c r="O41" i="2"/>
  <c r="M41" i="2"/>
  <c r="N41" i="2" s="1"/>
  <c r="G41" i="2"/>
  <c r="D41" i="2"/>
  <c r="O40" i="2"/>
  <c r="N40" i="2"/>
  <c r="M40" i="2"/>
  <c r="G40" i="2"/>
  <c r="D40" i="2"/>
  <c r="O39" i="2"/>
  <c r="M39" i="2"/>
  <c r="N39" i="2" s="1"/>
  <c r="G39" i="2"/>
  <c r="D39" i="2"/>
  <c r="O38" i="2"/>
  <c r="N38" i="2"/>
  <c r="M38" i="2"/>
  <c r="G38" i="2"/>
  <c r="D38" i="2"/>
  <c r="O37" i="2"/>
  <c r="N37" i="2"/>
  <c r="M37" i="2"/>
  <c r="G37" i="2"/>
  <c r="D37" i="2"/>
  <c r="O36" i="2"/>
  <c r="N36" i="2"/>
  <c r="M36" i="2"/>
  <c r="G36" i="2"/>
  <c r="D36" i="2"/>
  <c r="O35" i="2"/>
  <c r="N35" i="2"/>
  <c r="M35" i="2"/>
  <c r="G35" i="2"/>
  <c r="D35" i="2"/>
  <c r="O34" i="2"/>
  <c r="M34" i="2"/>
  <c r="N34" i="2" s="1"/>
  <c r="G34" i="2"/>
  <c r="D34" i="2"/>
  <c r="G33" i="2"/>
  <c r="D33" i="2"/>
  <c r="O32" i="2"/>
  <c r="N32" i="2"/>
  <c r="M32" i="2"/>
  <c r="G32" i="2"/>
  <c r="D32" i="2"/>
  <c r="O31" i="2"/>
  <c r="M31" i="2"/>
  <c r="N31" i="2" s="1"/>
  <c r="G31" i="2"/>
  <c r="D31" i="2"/>
  <c r="O30" i="2"/>
  <c r="N30" i="2"/>
  <c r="M30" i="2"/>
  <c r="G30" i="2"/>
  <c r="D30" i="2"/>
  <c r="O29" i="2"/>
  <c r="N29" i="2"/>
  <c r="M29" i="2"/>
  <c r="G29" i="2"/>
  <c r="D29" i="2"/>
  <c r="O28" i="2"/>
  <c r="N28" i="2"/>
  <c r="M28" i="2"/>
  <c r="G28" i="2"/>
  <c r="D28" i="2"/>
  <c r="O27" i="2"/>
  <c r="N27" i="2"/>
  <c r="M27" i="2"/>
  <c r="G27" i="2"/>
  <c r="D27" i="2"/>
  <c r="B7" i="3" s="1"/>
  <c r="O26" i="2"/>
  <c r="N26" i="2"/>
  <c r="M26" i="2"/>
  <c r="G26" i="2"/>
  <c r="D26" i="2"/>
  <c r="O25" i="2"/>
  <c r="M25" i="2"/>
  <c r="N25" i="2" s="1"/>
  <c r="G25" i="2"/>
  <c r="D25" i="2"/>
  <c r="O24" i="2"/>
  <c r="N24" i="2"/>
  <c r="M24" i="2"/>
  <c r="G24" i="2"/>
  <c r="D24" i="2"/>
  <c r="O23" i="2"/>
  <c r="M23" i="2"/>
  <c r="N23" i="2" s="1"/>
  <c r="G23" i="2"/>
  <c r="D23" i="2"/>
  <c r="O22" i="2"/>
  <c r="M22" i="2"/>
  <c r="N22" i="2" s="1"/>
  <c r="G22" i="2"/>
  <c r="D22" i="2"/>
  <c r="O21" i="2"/>
  <c r="M21" i="2"/>
  <c r="N21" i="2" s="1"/>
  <c r="G21" i="2"/>
  <c r="D21" i="2"/>
  <c r="O20" i="2"/>
  <c r="M20" i="2"/>
  <c r="N20" i="2" s="1"/>
  <c r="G20" i="2"/>
  <c r="D20" i="2"/>
  <c r="O19" i="2"/>
  <c r="M19" i="2"/>
  <c r="N19" i="2" s="1"/>
  <c r="G19" i="2"/>
  <c r="D19" i="2"/>
  <c r="O18" i="2"/>
  <c r="M18" i="2"/>
  <c r="N18" i="2" s="1"/>
  <c r="G18" i="2"/>
  <c r="D18" i="2"/>
  <c r="O17" i="2"/>
  <c r="M17" i="2"/>
  <c r="N17" i="2" s="1"/>
  <c r="G17" i="2"/>
  <c r="D17" i="2"/>
  <c r="O16" i="2"/>
  <c r="M16" i="2"/>
  <c r="N16" i="2" s="1"/>
  <c r="G16" i="2"/>
  <c r="D16" i="2"/>
  <c r="O15" i="2"/>
  <c r="M15" i="2"/>
  <c r="N15" i="2" s="1"/>
  <c r="G15" i="2"/>
  <c r="D15" i="2"/>
  <c r="O14" i="2"/>
  <c r="M14" i="2"/>
  <c r="G14" i="2"/>
  <c r="D14" i="2"/>
  <c r="O13" i="2"/>
  <c r="M13" i="2"/>
  <c r="G13" i="2"/>
  <c r="D13" i="2"/>
  <c r="O12" i="2"/>
  <c r="M12" i="2"/>
  <c r="G12" i="2"/>
  <c r="D12" i="2"/>
  <c r="O11" i="2"/>
  <c r="M11" i="2"/>
  <c r="G11" i="2"/>
  <c r="D11" i="2"/>
  <c r="O10" i="2"/>
  <c r="M10" i="2"/>
  <c r="G10" i="2"/>
  <c r="D10" i="2"/>
  <c r="O9" i="2"/>
  <c r="M9" i="2"/>
  <c r="G9" i="2"/>
  <c r="D9" i="2"/>
  <c r="O8" i="2"/>
  <c r="M8" i="2"/>
  <c r="G8" i="2"/>
  <c r="D8" i="2"/>
  <c r="O7" i="2"/>
  <c r="M7" i="2"/>
  <c r="G7" i="2"/>
  <c r="D7" i="2"/>
  <c r="O6" i="2"/>
  <c r="M6" i="2"/>
  <c r="G6" i="2"/>
  <c r="G5" i="2"/>
  <c r="V4" i="2"/>
  <c r="V5" i="2" s="1"/>
  <c r="O4" i="2"/>
  <c r="M4" i="2"/>
  <c r="H4" i="2"/>
  <c r="C4" i="2"/>
  <c r="C5" i="2" s="1"/>
  <c r="E5" i="2" s="1"/>
  <c r="N5" i="2" s="1"/>
  <c r="M6" i="1"/>
  <c r="L6" i="1"/>
  <c r="E4" i="2" l="1"/>
  <c r="G4" i="2" s="1"/>
  <c r="D4" i="2"/>
  <c r="Q7" i="2"/>
  <c r="Q6" i="2" s="1"/>
  <c r="T7" i="2"/>
  <c r="D13" i="1"/>
  <c r="S10" i="2"/>
  <c r="S6" i="2"/>
  <c r="W5" i="2"/>
  <c r="V6" i="2"/>
  <c r="H5" i="2"/>
  <c r="C6" i="2"/>
  <c r="W4" i="2"/>
  <c r="B17" i="3"/>
  <c r="C11" i="3"/>
  <c r="C10" i="3"/>
  <c r="K5" i="3"/>
  <c r="J7" i="3" s="1"/>
  <c r="K7" i="3" s="1"/>
  <c r="J8" i="3" s="1"/>
  <c r="K8" i="3" s="1"/>
  <c r="J9" i="3" s="1"/>
  <c r="N4" i="2"/>
  <c r="Q10" i="2" l="1"/>
  <c r="C20" i="3"/>
  <c r="C21" i="3"/>
  <c r="C22" i="3"/>
  <c r="K9" i="3"/>
  <c r="J10" i="3" s="1"/>
  <c r="W6" i="2"/>
  <c r="V7" i="2"/>
  <c r="F10" i="3"/>
  <c r="D10" i="3"/>
  <c r="F11" i="3"/>
  <c r="D11" i="3"/>
  <c r="C13" i="3"/>
  <c r="C7" i="2"/>
  <c r="E6" i="2"/>
  <c r="N6" i="2" s="1"/>
  <c r="H6" i="2"/>
  <c r="C24" i="3" l="1"/>
  <c r="F22" i="3"/>
  <c r="D22" i="3"/>
  <c r="W7" i="2"/>
  <c r="V8" i="2"/>
  <c r="F21" i="3"/>
  <c r="D21" i="3"/>
  <c r="E7" i="2"/>
  <c r="N7" i="2" s="1"/>
  <c r="H7" i="2"/>
  <c r="C8" i="2"/>
  <c r="D20" i="3"/>
  <c r="F20" i="3"/>
  <c r="C9" i="2" l="1"/>
  <c r="E8" i="2"/>
  <c r="N8" i="2" s="1"/>
  <c r="H8" i="2"/>
  <c r="V9" i="2"/>
  <c r="W8" i="2"/>
  <c r="W9" i="2" l="1"/>
  <c r="V10" i="2"/>
  <c r="C10" i="2"/>
  <c r="H9" i="2"/>
  <c r="E9" i="2"/>
  <c r="N9" i="2" s="1"/>
  <c r="H10" i="2" l="1"/>
  <c r="C11" i="2"/>
  <c r="E10" i="2"/>
  <c r="N10" i="2" s="1"/>
  <c r="W10" i="2"/>
  <c r="V11" i="2"/>
  <c r="C12" i="2" l="1"/>
  <c r="H11" i="2"/>
  <c r="E11" i="2"/>
  <c r="N11" i="2" s="1"/>
  <c r="V12" i="2"/>
  <c r="W11" i="2"/>
  <c r="W12" i="2" l="1"/>
  <c r="V13" i="2"/>
  <c r="E12" i="2"/>
  <c r="N12" i="2" s="1"/>
  <c r="C13" i="2"/>
  <c r="H12" i="2"/>
  <c r="H13" i="2" l="1"/>
  <c r="E13" i="2"/>
  <c r="N13" i="2" s="1"/>
  <c r="C14" i="2"/>
  <c r="W13" i="2"/>
  <c r="V14" i="2"/>
  <c r="E14" i="2" l="1"/>
  <c r="N14" i="2" s="1"/>
  <c r="C15" i="2"/>
  <c r="H14" i="2"/>
  <c r="W14" i="2"/>
  <c r="V15" i="2"/>
  <c r="C16" i="2" l="1"/>
  <c r="E15" i="2"/>
  <c r="H15" i="2"/>
  <c r="V16" i="2"/>
  <c r="W15" i="2"/>
  <c r="W16" i="2" l="1"/>
  <c r="V17" i="2"/>
  <c r="H16" i="2"/>
  <c r="C17" i="2"/>
  <c r="E16" i="2"/>
  <c r="C18" i="2" l="1"/>
  <c r="E17" i="2"/>
  <c r="H17" i="2"/>
  <c r="V18" i="2"/>
  <c r="W17" i="2"/>
  <c r="W18" i="2" l="1"/>
  <c r="V19" i="2"/>
  <c r="C19" i="2"/>
  <c r="H18" i="2"/>
  <c r="E18" i="2"/>
  <c r="H19" i="2" l="1"/>
  <c r="C20" i="2"/>
  <c r="E19" i="2"/>
  <c r="V20" i="2"/>
  <c r="W19" i="2"/>
  <c r="E20" i="2" l="1"/>
  <c r="C21" i="2"/>
  <c r="H20" i="2"/>
  <c r="W20" i="2"/>
  <c r="V21" i="2"/>
  <c r="H21" i="2" l="1"/>
  <c r="C22" i="2"/>
  <c r="E21" i="2"/>
  <c r="W21" i="2"/>
  <c r="V22" i="2"/>
  <c r="E22" i="2" l="1"/>
  <c r="C23" i="2"/>
  <c r="H22" i="2"/>
  <c r="W22" i="2"/>
  <c r="V23" i="2"/>
  <c r="V24" i="2" l="1"/>
  <c r="W23" i="2"/>
  <c r="C24" i="2"/>
  <c r="E23" i="2"/>
  <c r="H23" i="2"/>
  <c r="H24" i="2" l="1"/>
  <c r="C25" i="2"/>
  <c r="E24" i="2"/>
  <c r="W24" i="2"/>
  <c r="V25" i="2"/>
  <c r="C26" i="2" l="1"/>
  <c r="E25" i="2"/>
  <c r="H25" i="2"/>
  <c r="V26" i="2"/>
  <c r="W25" i="2"/>
  <c r="W26" i="2" l="1"/>
  <c r="V27" i="2"/>
  <c r="C27" i="2"/>
  <c r="H26" i="2"/>
  <c r="E26" i="2"/>
  <c r="H27" i="2" l="1"/>
  <c r="C28" i="2"/>
  <c r="E27" i="2"/>
  <c r="V28" i="2"/>
  <c r="W27" i="2"/>
  <c r="W28" i="2" l="1"/>
  <c r="V29" i="2"/>
  <c r="E28" i="2"/>
  <c r="C29" i="2"/>
  <c r="H28" i="2"/>
  <c r="W29" i="2" l="1"/>
  <c r="V30" i="2"/>
  <c r="H29" i="2"/>
  <c r="C30" i="2"/>
  <c r="E29" i="2"/>
  <c r="E30" i="2" l="1"/>
  <c r="C31" i="2"/>
  <c r="H30" i="2"/>
  <c r="W30" i="2"/>
  <c r="V31" i="2"/>
  <c r="C32" i="2" l="1"/>
  <c r="E31" i="2"/>
  <c r="H31" i="2"/>
  <c r="V32" i="2"/>
  <c r="W31" i="2"/>
  <c r="W32" i="2" l="1"/>
  <c r="V33" i="2"/>
  <c r="H32" i="2"/>
  <c r="C33" i="2"/>
  <c r="E32" i="2"/>
  <c r="C34" i="2" l="1"/>
  <c r="E33" i="2"/>
  <c r="H33" i="2"/>
  <c r="V34" i="2"/>
  <c r="W33" i="2"/>
  <c r="W34" i="2" l="1"/>
  <c r="V35" i="2"/>
  <c r="C35" i="2"/>
  <c r="H34" i="2"/>
  <c r="E34" i="2"/>
  <c r="H35" i="2" l="1"/>
  <c r="C36" i="2"/>
  <c r="E35" i="2"/>
  <c r="V36" i="2"/>
  <c r="W35" i="2"/>
  <c r="E36" i="2" l="1"/>
  <c r="C37" i="2"/>
  <c r="H36" i="2"/>
  <c r="W36" i="2"/>
  <c r="V37" i="2"/>
  <c r="H37" i="2" l="1"/>
  <c r="C38" i="2"/>
  <c r="E37" i="2"/>
  <c r="W37" i="2"/>
  <c r="V38" i="2"/>
  <c r="E38" i="2" l="1"/>
  <c r="C39" i="2"/>
  <c r="H38" i="2"/>
  <c r="W38" i="2"/>
  <c r="V39" i="2"/>
  <c r="C40" i="2" l="1"/>
  <c r="E39" i="2"/>
  <c r="H39" i="2"/>
  <c r="V40" i="2"/>
  <c r="W39" i="2"/>
  <c r="W40" i="2" l="1"/>
  <c r="V41" i="2"/>
  <c r="H40" i="2"/>
  <c r="C41" i="2"/>
  <c r="E40" i="2"/>
  <c r="V42" i="2" l="1"/>
  <c r="W41" i="2"/>
  <c r="C42" i="2"/>
  <c r="E41" i="2"/>
  <c r="H41" i="2"/>
  <c r="C43" i="2" l="1"/>
  <c r="H42" i="2"/>
  <c r="E42" i="2"/>
  <c r="W42" i="2"/>
  <c r="V43" i="2"/>
  <c r="V44" i="2" l="1"/>
  <c r="W43" i="2"/>
  <c r="H43" i="2"/>
  <c r="C44" i="2"/>
  <c r="E43" i="2"/>
  <c r="E44" i="2" l="1"/>
  <c r="C45" i="2"/>
  <c r="H44" i="2"/>
  <c r="W44" i="2"/>
  <c r="V45" i="2"/>
  <c r="H45" i="2" l="1"/>
  <c r="C46" i="2"/>
  <c r="E45" i="2"/>
  <c r="W45" i="2"/>
  <c r="V46" i="2"/>
  <c r="E46" i="2" l="1"/>
  <c r="C47" i="2"/>
  <c r="H46" i="2"/>
  <c r="W46" i="2"/>
  <c r="V47" i="2"/>
  <c r="C48" i="2" l="1"/>
  <c r="E47" i="2"/>
  <c r="H47" i="2"/>
  <c r="V48" i="2"/>
  <c r="W47" i="2"/>
  <c r="W48" i="2" l="1"/>
  <c r="V49" i="2"/>
  <c r="H48" i="2"/>
  <c r="C49" i="2"/>
  <c r="E48" i="2"/>
  <c r="C50" i="2" l="1"/>
  <c r="E49" i="2"/>
  <c r="H49" i="2"/>
  <c r="V50" i="2"/>
  <c r="W49" i="2"/>
  <c r="W50" i="2" l="1"/>
  <c r="V51" i="2"/>
  <c r="C51" i="2"/>
  <c r="H50" i="2"/>
  <c r="E50" i="2"/>
  <c r="H51" i="2" l="1"/>
  <c r="C52" i="2"/>
  <c r="E51" i="2"/>
  <c r="V52" i="2"/>
  <c r="W51" i="2"/>
  <c r="W52" i="2" l="1"/>
  <c r="V53" i="2"/>
  <c r="E52" i="2"/>
  <c r="C53" i="2"/>
  <c r="H52" i="2"/>
  <c r="H53" i="2" l="1"/>
  <c r="C54" i="2"/>
  <c r="E53" i="2"/>
  <c r="W53" i="2"/>
  <c r="V54" i="2"/>
  <c r="W54" i="2" l="1"/>
  <c r="V55" i="2"/>
  <c r="E54" i="2"/>
  <c r="C55" i="2"/>
  <c r="H54" i="2"/>
  <c r="V56" i="2" l="1"/>
  <c r="W55" i="2"/>
  <c r="C56" i="2"/>
  <c r="E55" i="2"/>
  <c r="H55" i="2"/>
  <c r="H56" i="2" l="1"/>
  <c r="C57" i="2"/>
  <c r="E56" i="2"/>
  <c r="W56" i="2"/>
  <c r="V57" i="2"/>
  <c r="C58" i="2" l="1"/>
  <c r="E57" i="2"/>
  <c r="H57" i="2"/>
  <c r="V58" i="2"/>
  <c r="W57" i="2"/>
  <c r="W58" i="2" l="1"/>
  <c r="V59" i="2"/>
  <c r="C59" i="2"/>
  <c r="H58" i="2"/>
  <c r="E58" i="2"/>
  <c r="H59" i="2" l="1"/>
  <c r="C60" i="2"/>
  <c r="E59" i="2"/>
  <c r="V60" i="2"/>
  <c r="W59" i="2"/>
  <c r="W60" i="2" l="1"/>
  <c r="V61" i="2"/>
  <c r="E60" i="2"/>
  <c r="C61" i="2"/>
  <c r="H60" i="2"/>
  <c r="H61" i="2" l="1"/>
  <c r="C62" i="2"/>
  <c r="E61" i="2"/>
  <c r="W61" i="2"/>
  <c r="V62" i="2"/>
  <c r="E62" i="2" l="1"/>
  <c r="C63" i="2"/>
  <c r="H62" i="2"/>
  <c r="W62" i="2"/>
  <c r="V63" i="2"/>
  <c r="V64" i="2" l="1"/>
  <c r="W63" i="2"/>
  <c r="C64" i="2"/>
  <c r="E63" i="2"/>
  <c r="H63" i="2"/>
  <c r="H64" i="2" l="1"/>
  <c r="C65" i="2"/>
  <c r="E64" i="2"/>
  <c r="W64" i="2"/>
  <c r="V65" i="2"/>
  <c r="C66" i="2" l="1"/>
  <c r="E65" i="2"/>
  <c r="H65" i="2"/>
  <c r="V66" i="2"/>
  <c r="W65" i="2"/>
  <c r="W66" i="2" l="1"/>
  <c r="V67" i="2"/>
  <c r="C67" i="2"/>
  <c r="H66" i="2"/>
  <c r="E66" i="2"/>
  <c r="H67" i="2" l="1"/>
  <c r="C68" i="2"/>
  <c r="E67" i="2"/>
  <c r="V68" i="2"/>
  <c r="W67" i="2"/>
  <c r="W68" i="2" l="1"/>
  <c r="V69" i="2"/>
  <c r="E68" i="2"/>
  <c r="C69" i="2"/>
  <c r="H68" i="2"/>
  <c r="H69" i="2" l="1"/>
  <c r="C70" i="2"/>
  <c r="E69" i="2"/>
  <c r="W69" i="2"/>
  <c r="V70" i="2"/>
  <c r="E70" i="2" l="1"/>
  <c r="C71" i="2"/>
  <c r="H70" i="2"/>
  <c r="W70" i="2"/>
  <c r="V71" i="2"/>
  <c r="V72" i="2" l="1"/>
  <c r="W71" i="2"/>
  <c r="C72" i="2"/>
  <c r="E71" i="2"/>
  <c r="H71" i="2"/>
  <c r="H72" i="2" l="1"/>
  <c r="C73" i="2"/>
  <c r="E72" i="2"/>
  <c r="W72" i="2"/>
  <c r="V73" i="2"/>
  <c r="C74" i="2" l="1"/>
  <c r="E73" i="2"/>
  <c r="H73" i="2"/>
  <c r="V74" i="2"/>
  <c r="W73" i="2"/>
  <c r="W74" i="2" l="1"/>
  <c r="V75" i="2"/>
  <c r="C75" i="2"/>
  <c r="H74" i="2"/>
  <c r="E74" i="2"/>
  <c r="H75" i="2" l="1"/>
  <c r="C76" i="2"/>
  <c r="E75" i="2"/>
  <c r="V76" i="2"/>
  <c r="W75" i="2"/>
  <c r="W76" i="2" l="1"/>
  <c r="V77" i="2"/>
  <c r="E76" i="2"/>
  <c r="C77" i="2"/>
  <c r="H76" i="2"/>
  <c r="H77" i="2" l="1"/>
  <c r="C78" i="2"/>
  <c r="E77" i="2"/>
  <c r="W77" i="2"/>
  <c r="V78" i="2"/>
  <c r="E78" i="2" l="1"/>
  <c r="C79" i="2"/>
  <c r="H78" i="2"/>
  <c r="W78" i="2"/>
  <c r="V79" i="2"/>
  <c r="C80" i="2" l="1"/>
  <c r="E79" i="2"/>
  <c r="H79" i="2"/>
  <c r="V80" i="2"/>
  <c r="W79" i="2"/>
  <c r="W80" i="2" l="1"/>
  <c r="V81" i="2"/>
  <c r="H80" i="2"/>
  <c r="C81" i="2"/>
  <c r="E80" i="2"/>
  <c r="C82" i="2" l="1"/>
  <c r="E81" i="2"/>
  <c r="H81" i="2"/>
  <c r="V82" i="2"/>
  <c r="W81" i="2"/>
  <c r="W82" i="2" l="1"/>
  <c r="V83" i="2"/>
  <c r="C83" i="2"/>
  <c r="H82" i="2"/>
  <c r="E82" i="2"/>
  <c r="V84" i="2" l="1"/>
  <c r="W83" i="2"/>
  <c r="H83" i="2"/>
  <c r="C84" i="2"/>
  <c r="E83" i="2"/>
  <c r="E84" i="2" l="1"/>
  <c r="C85" i="2"/>
  <c r="H84" i="2"/>
  <c r="W84" i="2"/>
  <c r="V85" i="2"/>
  <c r="H85" i="2" l="1"/>
  <c r="C86" i="2"/>
  <c r="E85" i="2"/>
  <c r="W85" i="2"/>
  <c r="V86" i="2"/>
  <c r="W86" i="2" l="1"/>
  <c r="V87" i="2"/>
  <c r="E86" i="2"/>
  <c r="C87" i="2"/>
  <c r="H86" i="2"/>
  <c r="C88" i="2" l="1"/>
  <c r="E87" i="2"/>
  <c r="H87" i="2"/>
  <c r="V88" i="2"/>
  <c r="W87" i="2"/>
  <c r="W88" i="2" l="1"/>
  <c r="V89" i="2"/>
  <c r="H88" i="2"/>
  <c r="C89" i="2"/>
  <c r="E88" i="2"/>
  <c r="C90" i="2" l="1"/>
  <c r="E89" i="2"/>
  <c r="H89" i="2"/>
  <c r="V90" i="2"/>
  <c r="W89" i="2"/>
  <c r="W90" i="2" l="1"/>
  <c r="V91" i="2"/>
  <c r="C91" i="2"/>
  <c r="H90" i="2"/>
  <c r="E90" i="2"/>
  <c r="H91" i="2" l="1"/>
  <c r="C92" i="2"/>
  <c r="E91" i="2"/>
  <c r="V92" i="2"/>
  <c r="W91" i="2"/>
  <c r="W92" i="2" l="1"/>
  <c r="V93" i="2"/>
  <c r="E92" i="2"/>
  <c r="C93" i="2"/>
  <c r="H92" i="2"/>
  <c r="W93" i="2" l="1"/>
  <c r="V94" i="2"/>
  <c r="H93" i="2"/>
  <c r="C94" i="2"/>
  <c r="E93" i="2"/>
  <c r="W94" i="2" l="1"/>
  <c r="V95" i="2"/>
  <c r="E94" i="2"/>
  <c r="C95" i="2"/>
  <c r="H94" i="2"/>
  <c r="C96" i="2" l="1"/>
  <c r="E95" i="2"/>
  <c r="H95" i="2"/>
  <c r="V96" i="2"/>
  <c r="W95" i="2"/>
  <c r="W96" i="2" l="1"/>
  <c r="V97" i="2"/>
  <c r="H96" i="2"/>
  <c r="C97" i="2"/>
  <c r="E96" i="2"/>
  <c r="C98" i="2" l="1"/>
  <c r="E97" i="2"/>
  <c r="H97" i="2"/>
  <c r="V98" i="2"/>
  <c r="W97" i="2"/>
  <c r="W98" i="2" l="1"/>
  <c r="V99" i="2"/>
  <c r="C99" i="2"/>
  <c r="H98" i="2"/>
  <c r="E98" i="2"/>
  <c r="H99" i="2" l="1"/>
  <c r="C100" i="2"/>
  <c r="E99" i="2"/>
  <c r="V100" i="2"/>
  <c r="W99" i="2"/>
  <c r="E100" i="2" l="1"/>
  <c r="C101" i="2"/>
  <c r="H100" i="2"/>
  <c r="W100" i="2"/>
  <c r="V101" i="2"/>
  <c r="W101" i="2" l="1"/>
  <c r="V102" i="2"/>
  <c r="H101" i="2"/>
  <c r="C102" i="2"/>
  <c r="E101" i="2"/>
  <c r="E102" i="2" l="1"/>
  <c r="C103" i="2"/>
  <c r="H102" i="2"/>
  <c r="W102" i="2"/>
  <c r="V103" i="2"/>
  <c r="C104" i="2" l="1"/>
  <c r="E103" i="2"/>
  <c r="H103" i="2"/>
  <c r="V104" i="2"/>
  <c r="W103" i="2"/>
  <c r="W104" i="2" l="1"/>
  <c r="V105" i="2"/>
  <c r="H104" i="2"/>
  <c r="C105" i="2"/>
  <c r="E104" i="2"/>
  <c r="C106" i="2" l="1"/>
  <c r="E105" i="2"/>
  <c r="H105" i="2"/>
  <c r="V106" i="2"/>
  <c r="W105" i="2"/>
  <c r="W106" i="2" l="1"/>
  <c r="V107" i="2"/>
  <c r="C107" i="2"/>
  <c r="H106" i="2"/>
  <c r="E106" i="2"/>
  <c r="H107" i="2" l="1"/>
  <c r="C108" i="2"/>
  <c r="E107" i="2"/>
  <c r="V108" i="2"/>
  <c r="W107" i="2"/>
  <c r="W108" i="2" l="1"/>
  <c r="V109" i="2"/>
  <c r="E108" i="2"/>
  <c r="C109" i="2"/>
  <c r="H108" i="2"/>
  <c r="H109" i="2" l="1"/>
  <c r="C110" i="2"/>
  <c r="E109" i="2"/>
  <c r="W109" i="2"/>
  <c r="V110" i="2"/>
  <c r="E110" i="2" l="1"/>
  <c r="C111" i="2"/>
  <c r="H110" i="2"/>
  <c r="W110" i="2"/>
  <c r="V111" i="2"/>
  <c r="C112" i="2" l="1"/>
  <c r="E111" i="2"/>
  <c r="H111" i="2"/>
  <c r="V112" i="2"/>
  <c r="W111" i="2"/>
  <c r="W112" i="2" l="1"/>
  <c r="V113" i="2"/>
  <c r="H112" i="2"/>
  <c r="C113" i="2"/>
  <c r="E112" i="2"/>
  <c r="C114" i="2" l="1"/>
  <c r="E113" i="2"/>
  <c r="H113" i="2"/>
  <c r="W113" i="2"/>
  <c r="V114" i="2"/>
  <c r="V115" i="2" l="1"/>
  <c r="W114" i="2"/>
  <c r="C115" i="2"/>
  <c r="E114" i="2"/>
  <c r="H114" i="2"/>
  <c r="H115" i="2" l="1"/>
  <c r="E115" i="2"/>
  <c r="C116" i="2"/>
  <c r="V116" i="2"/>
  <c r="W115" i="2"/>
  <c r="V117" i="2" l="1"/>
  <c r="W116" i="2"/>
  <c r="C117" i="2"/>
  <c r="E116" i="2"/>
  <c r="H116" i="2"/>
  <c r="V118" i="2" l="1"/>
  <c r="W117" i="2"/>
  <c r="H117" i="2"/>
  <c r="E117" i="2"/>
  <c r="C118" i="2"/>
  <c r="C119" i="2" l="1"/>
  <c r="E118" i="2"/>
  <c r="H118" i="2"/>
  <c r="V119" i="2"/>
  <c r="W118" i="2"/>
  <c r="V120" i="2" l="1"/>
  <c r="W119" i="2"/>
  <c r="H119" i="2"/>
  <c r="C120" i="2"/>
  <c r="E119" i="2"/>
  <c r="C121" i="2" l="1"/>
  <c r="E120" i="2"/>
  <c r="H120" i="2"/>
  <c r="V121" i="2"/>
  <c r="W120" i="2"/>
  <c r="W121" i="2" l="1"/>
  <c r="V122" i="2"/>
  <c r="H121" i="2"/>
  <c r="C122" i="2"/>
  <c r="E121" i="2"/>
  <c r="C123" i="2" l="1"/>
  <c r="E122" i="2"/>
  <c r="H122" i="2"/>
  <c r="V123" i="2"/>
  <c r="W122" i="2"/>
  <c r="H123" i="2" l="1"/>
  <c r="E123" i="2"/>
  <c r="C124" i="2"/>
  <c r="V124" i="2"/>
  <c r="W123" i="2"/>
  <c r="V125" i="2" l="1"/>
  <c r="W124" i="2"/>
  <c r="C125" i="2"/>
  <c r="E124" i="2"/>
  <c r="H124" i="2"/>
  <c r="H125" i="2" l="1"/>
  <c r="E125" i="2"/>
  <c r="C126" i="2"/>
  <c r="V126" i="2"/>
  <c r="W125" i="2"/>
  <c r="C127" i="2" l="1"/>
  <c r="E126" i="2"/>
  <c r="H126" i="2"/>
  <c r="V127" i="2"/>
  <c r="W126" i="2"/>
  <c r="V128" i="2" l="1"/>
  <c r="W127" i="2"/>
  <c r="H127" i="2"/>
  <c r="C128" i="2"/>
  <c r="E127" i="2"/>
  <c r="C129" i="2" l="1"/>
  <c r="E128" i="2"/>
  <c r="H128" i="2"/>
  <c r="V129" i="2"/>
  <c r="W128" i="2"/>
  <c r="V130" i="2" l="1"/>
  <c r="W129" i="2"/>
  <c r="H129" i="2"/>
  <c r="E129" i="2"/>
  <c r="C130" i="2"/>
  <c r="C131" i="2" l="1"/>
  <c r="E130" i="2"/>
  <c r="H130" i="2"/>
  <c r="V131" i="2"/>
  <c r="W130" i="2"/>
  <c r="V132" i="2" l="1"/>
  <c r="W131" i="2"/>
  <c r="H131" i="2"/>
  <c r="E131" i="2"/>
  <c r="C132" i="2"/>
  <c r="C133" i="2" l="1"/>
  <c r="E132" i="2"/>
  <c r="H132" i="2"/>
  <c r="V133" i="2"/>
  <c r="W132" i="2"/>
  <c r="V134" i="2" l="1"/>
  <c r="W133" i="2"/>
  <c r="H133" i="2"/>
  <c r="C134" i="2"/>
  <c r="E133" i="2"/>
  <c r="C135" i="2" l="1"/>
  <c r="E134" i="2"/>
  <c r="H134" i="2"/>
  <c r="V135" i="2"/>
  <c r="W134" i="2"/>
  <c r="V136" i="2" l="1"/>
  <c r="W135" i="2"/>
  <c r="H135" i="2"/>
  <c r="C136" i="2"/>
  <c r="E135" i="2"/>
  <c r="C137" i="2" l="1"/>
  <c r="E136" i="2"/>
  <c r="H136" i="2"/>
  <c r="V137" i="2"/>
  <c r="W136" i="2"/>
  <c r="W137" i="2" l="1"/>
  <c r="V138" i="2"/>
  <c r="H137" i="2"/>
  <c r="E137" i="2"/>
  <c r="C138" i="2"/>
  <c r="V139" i="2" l="1"/>
  <c r="W138" i="2"/>
  <c r="C139" i="2"/>
  <c r="E138" i="2"/>
  <c r="H138" i="2"/>
  <c r="H139" i="2" l="1"/>
  <c r="E139" i="2"/>
  <c r="C140" i="2"/>
  <c r="V140" i="2"/>
  <c r="W139" i="2"/>
  <c r="C141" i="2" l="1"/>
  <c r="E140" i="2"/>
  <c r="H140" i="2"/>
  <c r="V141" i="2"/>
  <c r="W140" i="2"/>
  <c r="H141" i="2" l="1"/>
  <c r="C142" i="2"/>
  <c r="E141" i="2"/>
  <c r="V142" i="2"/>
  <c r="W141" i="2"/>
  <c r="V143" i="2" l="1"/>
  <c r="W142" i="2"/>
  <c r="C143" i="2"/>
  <c r="E142" i="2"/>
  <c r="H142" i="2"/>
  <c r="H143" i="2" l="1"/>
  <c r="C144" i="2"/>
  <c r="E143" i="2"/>
  <c r="V144" i="2"/>
  <c r="W143" i="2"/>
  <c r="V145" i="2" l="1"/>
  <c r="W144" i="2"/>
  <c r="C145" i="2"/>
  <c r="E144" i="2"/>
  <c r="H144" i="2"/>
  <c r="H145" i="2" l="1"/>
  <c r="E145" i="2"/>
  <c r="C146" i="2"/>
  <c r="W145" i="2"/>
  <c r="V146" i="2"/>
  <c r="C147" i="2" l="1"/>
  <c r="E146" i="2"/>
  <c r="H146" i="2"/>
  <c r="V147" i="2"/>
  <c r="W146" i="2"/>
  <c r="V148" i="2" l="1"/>
  <c r="W147" i="2"/>
  <c r="H147" i="2"/>
  <c r="E147" i="2"/>
  <c r="C148" i="2"/>
  <c r="C149" i="2" l="1"/>
  <c r="E148" i="2"/>
  <c r="H148" i="2"/>
  <c r="V149" i="2"/>
  <c r="W148" i="2"/>
  <c r="V150" i="2" l="1"/>
  <c r="W149" i="2"/>
  <c r="H149" i="2"/>
  <c r="C150" i="2"/>
  <c r="E149" i="2"/>
  <c r="C151" i="2" l="1"/>
  <c r="E150" i="2"/>
  <c r="H150" i="2"/>
  <c r="V151" i="2"/>
  <c r="W150" i="2"/>
  <c r="V152" i="2" l="1"/>
  <c r="W151" i="2"/>
  <c r="H151" i="2"/>
  <c r="C152" i="2"/>
  <c r="E151" i="2"/>
  <c r="C153" i="2" l="1"/>
  <c r="E152" i="2"/>
  <c r="H152" i="2"/>
  <c r="V153" i="2"/>
  <c r="W152" i="2"/>
  <c r="V154" i="2" l="1"/>
  <c r="W153" i="2"/>
  <c r="H153" i="2"/>
  <c r="C154" i="2"/>
  <c r="E153" i="2"/>
  <c r="C155" i="2" l="1"/>
  <c r="E154" i="2"/>
  <c r="H154" i="2"/>
  <c r="V155" i="2"/>
  <c r="W154" i="2"/>
  <c r="H155" i="2" l="1"/>
  <c r="C156" i="2"/>
  <c r="E155" i="2"/>
  <c r="V156" i="2"/>
  <c r="W155" i="2"/>
  <c r="V157" i="2" l="1"/>
  <c r="W156" i="2"/>
  <c r="C157" i="2"/>
  <c r="E156" i="2"/>
  <c r="H156" i="2"/>
  <c r="H157" i="2" l="1"/>
  <c r="C158" i="2"/>
  <c r="E157" i="2"/>
  <c r="V158" i="2"/>
  <c r="W157" i="2"/>
  <c r="V159" i="2" l="1"/>
  <c r="W158" i="2"/>
  <c r="C159" i="2"/>
  <c r="E158" i="2"/>
  <c r="H158" i="2"/>
  <c r="H159" i="2" l="1"/>
  <c r="C160" i="2"/>
  <c r="E159" i="2"/>
  <c r="V160" i="2"/>
  <c r="W159" i="2"/>
  <c r="V161" i="2" l="1"/>
  <c r="W160" i="2"/>
  <c r="C161" i="2"/>
  <c r="E160" i="2"/>
  <c r="H160" i="2"/>
  <c r="H161" i="2" l="1"/>
  <c r="C162" i="2"/>
  <c r="E161" i="2"/>
  <c r="V162" i="2"/>
  <c r="W161" i="2"/>
  <c r="C163" i="2" l="1"/>
  <c r="E162" i="2"/>
  <c r="H162" i="2"/>
  <c r="V163" i="2"/>
  <c r="W162" i="2"/>
  <c r="V164" i="2" l="1"/>
  <c r="W163" i="2"/>
  <c r="H163" i="2"/>
  <c r="C164" i="2"/>
  <c r="E163" i="2"/>
  <c r="C165" i="2" l="1"/>
  <c r="E164" i="2"/>
  <c r="H164" i="2"/>
  <c r="V165" i="2"/>
  <c r="W164" i="2"/>
  <c r="V166" i="2" l="1"/>
  <c r="W165" i="2"/>
  <c r="H165" i="2"/>
  <c r="C166" i="2"/>
  <c r="E165" i="2"/>
  <c r="C167" i="2" l="1"/>
  <c r="E166" i="2"/>
  <c r="H166" i="2"/>
  <c r="V167" i="2"/>
  <c r="W166" i="2"/>
  <c r="V168" i="2" l="1"/>
  <c r="W167" i="2"/>
  <c r="H167" i="2"/>
  <c r="C168" i="2"/>
  <c r="E167" i="2"/>
  <c r="C169" i="2" l="1"/>
  <c r="E168" i="2"/>
  <c r="H168" i="2"/>
  <c r="V169" i="2"/>
  <c r="W168" i="2"/>
  <c r="V170" i="2" l="1"/>
  <c r="W169" i="2"/>
  <c r="H169" i="2"/>
  <c r="C170" i="2"/>
  <c r="E169" i="2"/>
  <c r="C171" i="2" l="1"/>
  <c r="E170" i="2"/>
  <c r="H170" i="2"/>
  <c r="V171" i="2"/>
  <c r="W170" i="2"/>
  <c r="V172" i="2" l="1"/>
  <c r="W171" i="2"/>
  <c r="H171" i="2"/>
  <c r="C172" i="2"/>
  <c r="E171" i="2"/>
  <c r="C173" i="2" l="1"/>
  <c r="E172" i="2"/>
  <c r="H172" i="2"/>
  <c r="V173" i="2"/>
  <c r="W172" i="2"/>
  <c r="V174" i="2" l="1"/>
  <c r="W173" i="2"/>
  <c r="H173" i="2"/>
  <c r="C174" i="2"/>
  <c r="E173" i="2"/>
  <c r="V175" i="2" l="1"/>
  <c r="W174" i="2"/>
  <c r="C175" i="2"/>
  <c r="E174" i="2"/>
  <c r="H174" i="2"/>
  <c r="H175" i="2" l="1"/>
  <c r="C176" i="2"/>
  <c r="E175" i="2"/>
  <c r="V176" i="2"/>
  <c r="W175" i="2"/>
  <c r="V177" i="2" l="1"/>
  <c r="W176" i="2"/>
  <c r="C177" i="2"/>
  <c r="E176" i="2"/>
  <c r="H176" i="2"/>
  <c r="H177" i="2" l="1"/>
  <c r="C178" i="2"/>
  <c r="E177" i="2"/>
  <c r="V178" i="2"/>
  <c r="W177" i="2"/>
  <c r="V179" i="2" l="1"/>
  <c r="W178" i="2"/>
  <c r="C179" i="2"/>
  <c r="E178" i="2"/>
  <c r="H178" i="2"/>
  <c r="H179" i="2" l="1"/>
  <c r="C180" i="2"/>
  <c r="E179" i="2"/>
  <c r="V180" i="2"/>
  <c r="W179" i="2"/>
  <c r="V181" i="2" l="1"/>
  <c r="W180" i="2"/>
  <c r="C181" i="2"/>
  <c r="E180" i="2"/>
  <c r="H180" i="2"/>
  <c r="V182" i="2" l="1"/>
  <c r="W181" i="2"/>
  <c r="H181" i="2"/>
  <c r="C182" i="2"/>
  <c r="E181" i="2"/>
  <c r="C183" i="2" l="1"/>
  <c r="E182" i="2"/>
  <c r="H182" i="2"/>
  <c r="V183" i="2"/>
  <c r="W182" i="2"/>
  <c r="V184" i="2" l="1"/>
  <c r="W183" i="2"/>
  <c r="H183" i="2"/>
  <c r="C184" i="2"/>
  <c r="E183" i="2"/>
  <c r="C185" i="2" l="1"/>
  <c r="E184" i="2"/>
  <c r="H184" i="2"/>
  <c r="V185" i="2"/>
  <c r="W184" i="2"/>
  <c r="H185" i="2" l="1"/>
  <c r="C186" i="2"/>
  <c r="E185" i="2"/>
  <c r="V186" i="2"/>
  <c r="W185" i="2"/>
  <c r="C187" i="2" l="1"/>
  <c r="E186" i="2"/>
  <c r="H186" i="2"/>
  <c r="V187" i="2"/>
  <c r="W186" i="2"/>
  <c r="W187" i="2" l="1"/>
  <c r="V188" i="2"/>
  <c r="H187" i="2"/>
  <c r="E187" i="2"/>
  <c r="C188" i="2"/>
  <c r="V189" i="2" l="1"/>
  <c r="W188" i="2"/>
  <c r="C189" i="2"/>
  <c r="E188" i="2"/>
  <c r="H188" i="2"/>
  <c r="C190" i="2" l="1"/>
  <c r="H189" i="2"/>
  <c r="E189" i="2"/>
  <c r="W189" i="2"/>
  <c r="V190" i="2"/>
  <c r="V191" i="2" l="1"/>
  <c r="W190" i="2"/>
  <c r="H190" i="2"/>
  <c r="C191" i="2"/>
  <c r="E190" i="2"/>
  <c r="E191" i="2" l="1"/>
  <c r="C192" i="2"/>
  <c r="H191" i="2"/>
  <c r="W191" i="2"/>
  <c r="V192" i="2"/>
  <c r="H192" i="2" l="1"/>
  <c r="C193" i="2"/>
  <c r="E192" i="2"/>
  <c r="V193" i="2"/>
  <c r="W192" i="2"/>
  <c r="V194" i="2" l="1"/>
  <c r="W193" i="2"/>
  <c r="C194" i="2"/>
  <c r="E193" i="2"/>
  <c r="H193" i="2"/>
  <c r="H194" i="2" l="1"/>
  <c r="C195" i="2"/>
  <c r="E194" i="2"/>
  <c r="V195" i="2"/>
  <c r="W194" i="2"/>
  <c r="V196" i="2" l="1"/>
  <c r="W195" i="2"/>
  <c r="C196" i="2"/>
  <c r="E195" i="2"/>
  <c r="H195" i="2"/>
  <c r="H196" i="2" l="1"/>
  <c r="C197" i="2"/>
  <c r="E196" i="2"/>
  <c r="V197" i="2"/>
  <c r="W196" i="2"/>
  <c r="C198" i="2" l="1"/>
  <c r="E197" i="2"/>
  <c r="H197" i="2"/>
  <c r="V198" i="2"/>
  <c r="W197" i="2"/>
  <c r="V199" i="2" l="1"/>
  <c r="W198" i="2"/>
  <c r="H198" i="2"/>
  <c r="E198" i="2"/>
  <c r="C199" i="2"/>
  <c r="C200" i="2" l="1"/>
  <c r="E199" i="2"/>
  <c r="H199" i="2"/>
  <c r="V200" i="2"/>
  <c r="W199" i="2"/>
  <c r="V201" i="2" l="1"/>
  <c r="W200" i="2"/>
  <c r="H200" i="2"/>
  <c r="E200" i="2"/>
  <c r="C201" i="2"/>
  <c r="C202" i="2" l="1"/>
  <c r="E201" i="2"/>
  <c r="H201" i="2"/>
  <c r="V202" i="2"/>
  <c r="W201" i="2"/>
  <c r="V203" i="2" l="1"/>
  <c r="W202" i="2"/>
  <c r="H202" i="2"/>
  <c r="C203" i="2"/>
  <c r="E202" i="2"/>
  <c r="C204" i="2" l="1"/>
  <c r="E203" i="2"/>
  <c r="H203" i="2"/>
  <c r="V204" i="2"/>
  <c r="W203" i="2"/>
  <c r="V205" i="2" l="1"/>
  <c r="W204" i="2"/>
  <c r="H204" i="2"/>
  <c r="C205" i="2"/>
  <c r="E204" i="2"/>
  <c r="C206" i="2" l="1"/>
  <c r="E205" i="2"/>
  <c r="H205" i="2"/>
  <c r="V206" i="2"/>
  <c r="W205" i="2"/>
  <c r="W206" i="2" l="1"/>
  <c r="V207" i="2"/>
  <c r="H206" i="2"/>
  <c r="E206" i="2"/>
  <c r="C207" i="2"/>
  <c r="V208" i="2" l="1"/>
  <c r="W207" i="2"/>
  <c r="C208" i="2"/>
  <c r="E207" i="2"/>
  <c r="H207" i="2"/>
  <c r="H208" i="2" l="1"/>
  <c r="E208" i="2"/>
  <c r="C209" i="2"/>
  <c r="V209" i="2"/>
  <c r="W208" i="2"/>
  <c r="C210" i="2" l="1"/>
  <c r="E209" i="2"/>
  <c r="H209" i="2"/>
  <c r="V210" i="2"/>
  <c r="W209" i="2"/>
  <c r="V211" i="2" l="1"/>
  <c r="W210" i="2"/>
  <c r="H210" i="2"/>
  <c r="C211" i="2"/>
  <c r="E210" i="2"/>
  <c r="C212" i="2" l="1"/>
  <c r="E211" i="2"/>
  <c r="H211" i="2"/>
  <c r="V212" i="2"/>
  <c r="W211" i="2"/>
  <c r="V213" i="2" l="1"/>
  <c r="W212" i="2"/>
  <c r="H212" i="2"/>
  <c r="C213" i="2"/>
  <c r="E212" i="2"/>
  <c r="C214" i="2" l="1"/>
  <c r="E213" i="2"/>
  <c r="H213" i="2"/>
  <c r="V214" i="2"/>
  <c r="W213" i="2"/>
  <c r="W214" i="2" l="1"/>
  <c r="V215" i="2"/>
  <c r="H214" i="2"/>
  <c r="E214" i="2"/>
  <c r="C215" i="2"/>
  <c r="V216" i="2" l="1"/>
  <c r="W215" i="2"/>
  <c r="C216" i="2"/>
  <c r="E215" i="2"/>
  <c r="H215" i="2"/>
  <c r="V217" i="2" l="1"/>
  <c r="W216" i="2"/>
  <c r="H216" i="2"/>
  <c r="E216" i="2"/>
  <c r="C217" i="2"/>
  <c r="C218" i="2" l="1"/>
  <c r="E217" i="2"/>
  <c r="H217" i="2"/>
  <c r="V218" i="2"/>
  <c r="W217" i="2"/>
  <c r="V219" i="2" l="1"/>
  <c r="W218" i="2"/>
  <c r="H218" i="2"/>
  <c r="C219" i="2"/>
  <c r="E218" i="2"/>
  <c r="C220" i="2" l="1"/>
  <c r="E219" i="2"/>
  <c r="H219" i="2"/>
  <c r="V220" i="2"/>
  <c r="W219" i="2"/>
  <c r="V221" i="2" l="1"/>
  <c r="W220" i="2"/>
  <c r="H220" i="2"/>
  <c r="C221" i="2"/>
  <c r="E220" i="2"/>
  <c r="C222" i="2" l="1"/>
  <c r="E221" i="2"/>
  <c r="H221" i="2"/>
  <c r="V222" i="2"/>
  <c r="W221" i="2"/>
  <c r="W222" i="2" l="1"/>
  <c r="V223" i="2"/>
  <c r="H222" i="2"/>
  <c r="E222" i="2"/>
  <c r="C223" i="2"/>
  <c r="C224" i="2" l="1"/>
  <c r="E223" i="2"/>
  <c r="H223" i="2"/>
  <c r="V224" i="2"/>
  <c r="W223" i="2"/>
  <c r="V225" i="2" l="1"/>
  <c r="W224" i="2"/>
  <c r="H224" i="2"/>
  <c r="E224" i="2"/>
  <c r="C225" i="2"/>
  <c r="C226" i="2" l="1"/>
  <c r="E225" i="2"/>
  <c r="H225" i="2"/>
  <c r="V226" i="2"/>
  <c r="W225" i="2"/>
  <c r="V227" i="2" l="1"/>
  <c r="W226" i="2"/>
  <c r="H226" i="2"/>
  <c r="C227" i="2"/>
  <c r="E226" i="2"/>
  <c r="C228" i="2" l="1"/>
  <c r="E227" i="2"/>
  <c r="H227" i="2"/>
  <c r="V228" i="2"/>
  <c r="W227" i="2"/>
  <c r="V229" i="2" l="1"/>
  <c r="W228" i="2"/>
  <c r="H228" i="2"/>
  <c r="C229" i="2"/>
  <c r="E228" i="2"/>
  <c r="C230" i="2" l="1"/>
  <c r="E229" i="2"/>
  <c r="H229" i="2"/>
  <c r="V230" i="2"/>
  <c r="W229" i="2"/>
  <c r="V231" i="2" l="1"/>
  <c r="W230" i="2"/>
  <c r="H230" i="2"/>
  <c r="E230" i="2"/>
  <c r="C231" i="2"/>
  <c r="C232" i="2" l="1"/>
  <c r="E231" i="2"/>
  <c r="H231" i="2"/>
  <c r="V232" i="2"/>
  <c r="W231" i="2"/>
  <c r="V233" i="2" l="1"/>
  <c r="W232" i="2"/>
  <c r="H232" i="2"/>
  <c r="E232" i="2"/>
  <c r="C233" i="2"/>
  <c r="C234" i="2" l="1"/>
  <c r="E233" i="2"/>
  <c r="H233" i="2"/>
  <c r="V234" i="2"/>
  <c r="W233" i="2"/>
  <c r="V235" i="2" l="1"/>
  <c r="W234" i="2"/>
  <c r="H234" i="2"/>
  <c r="C235" i="2"/>
  <c r="E234" i="2"/>
  <c r="C236" i="2" l="1"/>
  <c r="E235" i="2"/>
  <c r="H235" i="2"/>
  <c r="V236" i="2"/>
  <c r="W235" i="2"/>
  <c r="V237" i="2" l="1"/>
  <c r="W236" i="2"/>
  <c r="H236" i="2"/>
  <c r="C237" i="2"/>
  <c r="E236" i="2"/>
  <c r="C238" i="2" l="1"/>
  <c r="E237" i="2"/>
  <c r="H237" i="2"/>
  <c r="V238" i="2"/>
  <c r="W237" i="2"/>
  <c r="W238" i="2" l="1"/>
  <c r="V239" i="2"/>
  <c r="H238" i="2"/>
  <c r="E238" i="2"/>
  <c r="C239" i="2"/>
  <c r="V240" i="2" l="1"/>
  <c r="W239" i="2"/>
  <c r="C240" i="2"/>
  <c r="E239" i="2"/>
  <c r="H239" i="2"/>
  <c r="H240" i="2" l="1"/>
  <c r="E240" i="2"/>
  <c r="C241" i="2"/>
  <c r="V241" i="2"/>
  <c r="W240" i="2"/>
  <c r="C242" i="2" l="1"/>
  <c r="E241" i="2"/>
  <c r="H241" i="2"/>
  <c r="V242" i="2"/>
  <c r="W241" i="2"/>
  <c r="V243" i="2" l="1"/>
  <c r="W242" i="2"/>
  <c r="H242" i="2"/>
  <c r="C243" i="2"/>
  <c r="E242" i="2"/>
  <c r="C244" i="2" l="1"/>
  <c r="E243" i="2"/>
  <c r="H243" i="2"/>
  <c r="V244" i="2"/>
  <c r="W243" i="2"/>
  <c r="V245" i="2" l="1"/>
  <c r="W244" i="2"/>
  <c r="H244" i="2"/>
  <c r="C245" i="2"/>
  <c r="E244" i="2"/>
  <c r="C246" i="2" l="1"/>
  <c r="E245" i="2"/>
  <c r="H245" i="2"/>
  <c r="V246" i="2"/>
  <c r="W245" i="2"/>
  <c r="W246" i="2" l="1"/>
  <c r="V247" i="2"/>
  <c r="H246" i="2"/>
  <c r="E246" i="2"/>
  <c r="C247" i="2"/>
  <c r="V248" i="2" l="1"/>
  <c r="W247" i="2"/>
  <c r="C248" i="2"/>
  <c r="E247" i="2"/>
  <c r="H247" i="2"/>
  <c r="H248" i="2" l="1"/>
  <c r="E248" i="2"/>
  <c r="C249" i="2"/>
  <c r="V249" i="2"/>
  <c r="W248" i="2"/>
  <c r="C250" i="2" l="1"/>
  <c r="E249" i="2"/>
  <c r="H249" i="2"/>
  <c r="V250" i="2"/>
  <c r="W249" i="2"/>
  <c r="V251" i="2" l="1"/>
  <c r="W250" i="2"/>
  <c r="H250" i="2"/>
  <c r="C251" i="2"/>
  <c r="E250" i="2"/>
  <c r="C252" i="2" l="1"/>
  <c r="E251" i="2"/>
  <c r="H251" i="2"/>
  <c r="V252" i="2"/>
  <c r="W251" i="2"/>
  <c r="V253" i="2" l="1"/>
  <c r="W252" i="2"/>
  <c r="H252" i="2"/>
  <c r="C253" i="2"/>
  <c r="E252" i="2"/>
  <c r="C254" i="2" l="1"/>
  <c r="E253" i="2"/>
  <c r="H253" i="2"/>
  <c r="V254" i="2"/>
  <c r="W253" i="2"/>
  <c r="W254" i="2" l="1"/>
  <c r="V255" i="2"/>
  <c r="H254" i="2"/>
  <c r="E254" i="2"/>
  <c r="C255" i="2"/>
  <c r="V256" i="2" l="1"/>
  <c r="W255" i="2"/>
  <c r="C256" i="2"/>
  <c r="E255" i="2"/>
  <c r="H255" i="2"/>
  <c r="H256" i="2" l="1"/>
  <c r="E256" i="2"/>
  <c r="C257" i="2"/>
  <c r="V257" i="2"/>
  <c r="W256" i="2"/>
  <c r="V258" i="2" l="1"/>
  <c r="W257" i="2"/>
  <c r="C258" i="2"/>
  <c r="E257" i="2"/>
  <c r="H257" i="2"/>
  <c r="H258" i="2" l="1"/>
  <c r="C259" i="2"/>
  <c r="E258" i="2"/>
  <c r="V259" i="2"/>
  <c r="W258" i="2"/>
  <c r="W259" i="2" l="1"/>
  <c r="V260" i="2"/>
  <c r="E259" i="2"/>
  <c r="C260" i="2"/>
  <c r="H259" i="2"/>
  <c r="H260" i="2" l="1"/>
  <c r="C261" i="2"/>
  <c r="E260" i="2"/>
  <c r="W260" i="2"/>
  <c r="V261" i="2"/>
  <c r="E261" i="2" l="1"/>
  <c r="C262" i="2"/>
  <c r="H261" i="2"/>
  <c r="V262" i="2"/>
  <c r="W261" i="2"/>
  <c r="E262" i="2" l="1"/>
  <c r="C263" i="2"/>
  <c r="H262" i="2"/>
  <c r="V263" i="2"/>
  <c r="W262" i="2"/>
  <c r="C264" i="2" l="1"/>
  <c r="E263" i="2"/>
  <c r="H263" i="2"/>
  <c r="V264" i="2"/>
  <c r="W263" i="2"/>
  <c r="W264" i="2" l="1"/>
  <c r="V265" i="2"/>
  <c r="H264" i="2"/>
  <c r="E264" i="2"/>
  <c r="C265" i="2"/>
  <c r="V266" i="2" l="1"/>
  <c r="W265" i="2"/>
  <c r="C266" i="2"/>
  <c r="E265" i="2"/>
  <c r="H265" i="2"/>
  <c r="H266" i="2" l="1"/>
  <c r="E266" i="2"/>
  <c r="C267" i="2"/>
  <c r="V267" i="2"/>
  <c r="W266" i="2"/>
  <c r="C268" i="2" l="1"/>
  <c r="E267" i="2"/>
  <c r="H267" i="2"/>
  <c r="V268" i="2"/>
  <c r="W267" i="2"/>
  <c r="V269" i="2" l="1"/>
  <c r="W268" i="2"/>
  <c r="H268" i="2"/>
  <c r="C269" i="2"/>
  <c r="E268" i="2"/>
  <c r="V270" i="2" l="1"/>
  <c r="W269" i="2"/>
  <c r="C270" i="2"/>
  <c r="E269" i="2"/>
  <c r="H269" i="2"/>
  <c r="H270" i="2" l="1"/>
  <c r="C271" i="2"/>
  <c r="E270" i="2"/>
  <c r="W270" i="2"/>
  <c r="V271" i="2"/>
  <c r="C272" i="2" l="1"/>
  <c r="E271" i="2"/>
  <c r="H271" i="2"/>
  <c r="V272" i="2"/>
  <c r="W271" i="2"/>
  <c r="H272" i="2" l="1"/>
  <c r="E272" i="2"/>
  <c r="C273" i="2"/>
  <c r="V273" i="2"/>
  <c r="W272" i="2"/>
  <c r="V274" i="2" l="1"/>
  <c r="W273" i="2"/>
  <c r="C274" i="2"/>
  <c r="E273" i="2"/>
  <c r="H273" i="2"/>
  <c r="H274" i="2" l="1"/>
  <c r="E274" i="2"/>
  <c r="C275" i="2"/>
  <c r="V275" i="2"/>
  <c r="W274" i="2"/>
  <c r="V276" i="2" l="1"/>
  <c r="W275" i="2"/>
  <c r="C276" i="2"/>
  <c r="E275" i="2"/>
  <c r="H275" i="2"/>
  <c r="H276" i="2" l="1"/>
  <c r="C277" i="2"/>
  <c r="E276" i="2"/>
  <c r="V277" i="2"/>
  <c r="W276" i="2"/>
  <c r="V278" i="2" l="1"/>
  <c r="W277" i="2"/>
  <c r="C278" i="2"/>
  <c r="E277" i="2"/>
  <c r="H277" i="2"/>
  <c r="H278" i="2" l="1"/>
  <c r="C279" i="2"/>
  <c r="E278" i="2"/>
  <c r="W278" i="2"/>
  <c r="V279" i="2"/>
  <c r="C280" i="2" l="1"/>
  <c r="E279" i="2"/>
  <c r="H279" i="2"/>
  <c r="V280" i="2"/>
  <c r="W279" i="2"/>
  <c r="V281" i="2" l="1"/>
  <c r="W280" i="2"/>
  <c r="H280" i="2"/>
  <c r="E280" i="2"/>
  <c r="C281" i="2"/>
  <c r="C282" i="2" l="1"/>
  <c r="E281" i="2"/>
  <c r="H281" i="2"/>
  <c r="V282" i="2"/>
  <c r="W281" i="2"/>
  <c r="V283" i="2" l="1"/>
  <c r="W282" i="2"/>
  <c r="H282" i="2"/>
  <c r="E282" i="2"/>
  <c r="C283" i="2"/>
  <c r="C284" i="2" l="1"/>
  <c r="E283" i="2"/>
  <c r="H283" i="2"/>
  <c r="V284" i="2"/>
  <c r="W283" i="2"/>
  <c r="V285" i="2" l="1"/>
  <c r="W284" i="2"/>
  <c r="H284" i="2"/>
  <c r="C285" i="2"/>
  <c r="E284" i="2"/>
  <c r="C286" i="2" l="1"/>
  <c r="E285" i="2"/>
  <c r="H285" i="2"/>
  <c r="V286" i="2"/>
  <c r="W285" i="2"/>
  <c r="W286" i="2" l="1"/>
  <c r="V287" i="2"/>
  <c r="H286" i="2"/>
  <c r="C287" i="2"/>
  <c r="E286" i="2"/>
  <c r="V288" i="2" l="1"/>
  <c r="W287" i="2"/>
  <c r="C288" i="2"/>
  <c r="E287" i="2"/>
  <c r="H287" i="2"/>
  <c r="H288" i="2" l="1"/>
  <c r="E288" i="2"/>
  <c r="C289" i="2"/>
  <c r="V289" i="2"/>
  <c r="W288" i="2"/>
  <c r="C290" i="2" l="1"/>
  <c r="E289" i="2"/>
  <c r="H289" i="2"/>
  <c r="V290" i="2"/>
  <c r="W289" i="2"/>
  <c r="V291" i="2" l="1"/>
  <c r="W290" i="2"/>
  <c r="H290" i="2"/>
  <c r="E290" i="2"/>
  <c r="C291" i="2"/>
  <c r="C292" i="2" l="1"/>
  <c r="E291" i="2"/>
  <c r="H291" i="2"/>
  <c r="V292" i="2"/>
  <c r="W291" i="2"/>
  <c r="V293" i="2" l="1"/>
  <c r="W292" i="2"/>
  <c r="C293" i="2"/>
  <c r="H292" i="2"/>
  <c r="E292" i="2"/>
  <c r="H293" i="2" l="1"/>
  <c r="C294" i="2"/>
  <c r="E293" i="2"/>
  <c r="W293" i="2"/>
  <c r="V294" i="2"/>
  <c r="V295" i="2" l="1"/>
  <c r="W294" i="2"/>
  <c r="C295" i="2"/>
  <c r="E294" i="2"/>
  <c r="H294" i="2"/>
  <c r="H295" i="2" l="1"/>
  <c r="C296" i="2"/>
  <c r="E295" i="2"/>
  <c r="W295" i="2"/>
  <c r="V296" i="2"/>
  <c r="C297" i="2" l="1"/>
  <c r="E296" i="2"/>
  <c r="H296" i="2"/>
  <c r="V297" i="2"/>
  <c r="W296" i="2"/>
  <c r="W297" i="2" l="1"/>
  <c r="V298" i="2"/>
  <c r="H297" i="2"/>
  <c r="C298" i="2"/>
  <c r="E297" i="2"/>
  <c r="C299" i="2" l="1"/>
  <c r="E298" i="2"/>
  <c r="H298" i="2"/>
  <c r="V299" i="2"/>
  <c r="W298" i="2"/>
  <c r="W299" i="2" l="1"/>
  <c r="V300" i="2"/>
  <c r="H299" i="2"/>
  <c r="E299" i="2"/>
  <c r="C300" i="2"/>
  <c r="C301" i="2" l="1"/>
  <c r="E300" i="2"/>
  <c r="H300" i="2"/>
  <c r="V301" i="2"/>
  <c r="W300" i="2"/>
  <c r="W301" i="2" l="1"/>
  <c r="V302" i="2"/>
  <c r="H301" i="2"/>
  <c r="C302" i="2"/>
  <c r="E301" i="2"/>
  <c r="C303" i="2" l="1"/>
  <c r="E302" i="2"/>
  <c r="H302" i="2"/>
  <c r="V303" i="2"/>
  <c r="W302" i="2"/>
  <c r="W303" i="2" l="1"/>
  <c r="V304" i="2"/>
  <c r="H303" i="2"/>
  <c r="E303" i="2"/>
  <c r="C304" i="2"/>
  <c r="V305" i="2" l="1"/>
  <c r="W304" i="2"/>
  <c r="C305" i="2"/>
  <c r="E304" i="2"/>
  <c r="H304" i="2"/>
  <c r="H305" i="2" l="1"/>
  <c r="C306" i="2"/>
  <c r="E305" i="2"/>
  <c r="W305" i="2"/>
  <c r="V306" i="2"/>
  <c r="C307" i="2" l="1"/>
  <c r="E306" i="2"/>
  <c r="H306" i="2"/>
  <c r="V307" i="2"/>
  <c r="W306" i="2"/>
  <c r="W307" i="2" l="1"/>
  <c r="V308" i="2"/>
  <c r="H307" i="2"/>
  <c r="C308" i="2"/>
  <c r="E307" i="2"/>
  <c r="V309" i="2" l="1"/>
  <c r="W308" i="2"/>
  <c r="C309" i="2"/>
  <c r="E308" i="2"/>
  <c r="H308" i="2"/>
  <c r="H309" i="2" l="1"/>
  <c r="C310" i="2"/>
  <c r="E309" i="2"/>
  <c r="W309" i="2"/>
  <c r="V310" i="2"/>
  <c r="V311" i="2" l="1"/>
  <c r="W310" i="2"/>
  <c r="C311" i="2"/>
  <c r="E310" i="2"/>
  <c r="H310" i="2"/>
  <c r="H311" i="2" l="1"/>
  <c r="C312" i="2"/>
  <c r="E311" i="2"/>
  <c r="W311" i="2"/>
  <c r="V312" i="2"/>
  <c r="C313" i="2" l="1"/>
  <c r="E312" i="2"/>
  <c r="H312" i="2"/>
  <c r="V313" i="2"/>
  <c r="W312" i="2"/>
  <c r="V314" i="2" l="1"/>
  <c r="W313" i="2"/>
  <c r="H313" i="2"/>
  <c r="C314" i="2"/>
  <c r="E313" i="2"/>
  <c r="C315" i="2" l="1"/>
  <c r="E314" i="2"/>
  <c r="H314" i="2"/>
  <c r="V315" i="2"/>
  <c r="W314" i="2"/>
  <c r="W315" i="2" l="1"/>
  <c r="V316" i="2"/>
  <c r="H315" i="2"/>
  <c r="E315" i="2"/>
  <c r="C316" i="2"/>
  <c r="C317" i="2" l="1"/>
  <c r="E316" i="2"/>
  <c r="H316" i="2"/>
  <c r="V317" i="2"/>
  <c r="W316" i="2"/>
  <c r="W317" i="2" l="1"/>
  <c r="V318" i="2"/>
  <c r="H317" i="2"/>
  <c r="C318" i="2"/>
  <c r="E317" i="2"/>
  <c r="C319" i="2" l="1"/>
  <c r="E318" i="2"/>
  <c r="H318" i="2"/>
  <c r="V319" i="2"/>
  <c r="W318" i="2"/>
  <c r="W319" i="2" l="1"/>
  <c r="V320" i="2"/>
  <c r="H319" i="2"/>
  <c r="C320" i="2"/>
  <c r="E319" i="2"/>
  <c r="C321" i="2" l="1"/>
  <c r="E320" i="2"/>
  <c r="H320" i="2"/>
  <c r="V321" i="2"/>
  <c r="W320" i="2"/>
  <c r="W321" i="2" l="1"/>
  <c r="V322" i="2"/>
  <c r="H321" i="2"/>
  <c r="C322" i="2"/>
  <c r="E321" i="2"/>
  <c r="C323" i="2" l="1"/>
  <c r="E322" i="2"/>
  <c r="H322" i="2"/>
  <c r="V323" i="2"/>
  <c r="W322" i="2"/>
  <c r="W323" i="2" l="1"/>
  <c r="V324" i="2"/>
  <c r="H323" i="2"/>
  <c r="C324" i="2"/>
  <c r="E323" i="2"/>
  <c r="V325" i="2" l="1"/>
  <c r="W324" i="2"/>
  <c r="C325" i="2"/>
  <c r="E324" i="2"/>
  <c r="H324" i="2"/>
  <c r="H325" i="2" l="1"/>
  <c r="C326" i="2"/>
  <c r="E325" i="2"/>
  <c r="W325" i="2"/>
  <c r="V326" i="2"/>
  <c r="C327" i="2" l="1"/>
  <c r="E326" i="2"/>
  <c r="H326" i="2"/>
  <c r="V327" i="2"/>
  <c r="W326" i="2"/>
  <c r="W327" i="2" l="1"/>
  <c r="V328" i="2"/>
  <c r="H327" i="2"/>
  <c r="C328" i="2"/>
  <c r="E327" i="2"/>
  <c r="V329" i="2" l="1"/>
  <c r="W328" i="2"/>
  <c r="C329" i="2"/>
  <c r="E328" i="2"/>
  <c r="H328" i="2"/>
  <c r="H329" i="2" l="1"/>
  <c r="C330" i="2"/>
  <c r="E329" i="2"/>
  <c r="W329" i="2"/>
  <c r="V330" i="2"/>
  <c r="V331" i="2" l="1"/>
  <c r="W330" i="2"/>
  <c r="C331" i="2"/>
  <c r="E330" i="2"/>
  <c r="H330" i="2"/>
  <c r="H331" i="2" l="1"/>
  <c r="E331" i="2"/>
  <c r="C332" i="2"/>
  <c r="W331" i="2"/>
  <c r="V332" i="2"/>
  <c r="C333" i="2" l="1"/>
  <c r="E332" i="2"/>
  <c r="H332" i="2"/>
  <c r="V333" i="2"/>
  <c r="W332" i="2"/>
  <c r="W333" i="2" l="1"/>
  <c r="V334" i="2"/>
  <c r="H333" i="2"/>
  <c r="C334" i="2"/>
  <c r="E333" i="2"/>
  <c r="C335" i="2" l="1"/>
  <c r="E334" i="2"/>
  <c r="H334" i="2"/>
  <c r="V335" i="2"/>
  <c r="W334" i="2"/>
  <c r="W335" i="2" l="1"/>
  <c r="V336" i="2"/>
  <c r="H335" i="2"/>
  <c r="E335" i="2"/>
  <c r="C336" i="2"/>
  <c r="V337" i="2" l="1"/>
  <c r="W336" i="2"/>
  <c r="C337" i="2"/>
  <c r="E336" i="2"/>
  <c r="H336" i="2"/>
  <c r="C338" i="2" l="1"/>
  <c r="H337" i="2"/>
  <c r="E337" i="2"/>
  <c r="W337" i="2"/>
  <c r="V338" i="2"/>
  <c r="V339" i="2" l="1"/>
  <c r="W338" i="2"/>
  <c r="C339" i="2"/>
  <c r="E338" i="2"/>
  <c r="H338" i="2"/>
  <c r="H339" i="2" l="1"/>
  <c r="C340" i="2"/>
  <c r="E339" i="2"/>
  <c r="V340" i="2"/>
  <c r="W339" i="2"/>
  <c r="V341" i="2" l="1"/>
  <c r="W340" i="2"/>
  <c r="C341" i="2"/>
  <c r="E340" i="2"/>
  <c r="H340" i="2"/>
  <c r="H341" i="2" l="1"/>
  <c r="E341" i="2"/>
  <c r="C342" i="2"/>
  <c r="V342" i="2"/>
  <c r="W341" i="2"/>
  <c r="V343" i="2" l="1"/>
  <c r="W342" i="2"/>
  <c r="C343" i="2"/>
  <c r="E342" i="2"/>
  <c r="H342" i="2"/>
  <c r="H343" i="2" l="1"/>
  <c r="E343" i="2"/>
  <c r="C344" i="2"/>
  <c r="W343" i="2"/>
  <c r="V344" i="2"/>
  <c r="C345" i="2" l="1"/>
  <c r="E344" i="2"/>
  <c r="H344" i="2"/>
  <c r="V345" i="2"/>
  <c r="W344" i="2"/>
  <c r="W345" i="2" l="1"/>
  <c r="V346" i="2"/>
  <c r="H345" i="2"/>
  <c r="C346" i="2"/>
  <c r="E345" i="2"/>
  <c r="V347" i="2" l="1"/>
  <c r="W346" i="2"/>
  <c r="C347" i="2"/>
  <c r="E346" i="2"/>
  <c r="H346" i="2"/>
  <c r="H347" i="2" l="1"/>
  <c r="C348" i="2"/>
  <c r="E347" i="2"/>
  <c r="W347" i="2"/>
  <c r="V348" i="2"/>
  <c r="C349" i="2" l="1"/>
  <c r="E348" i="2"/>
  <c r="H348" i="2"/>
  <c r="V349" i="2"/>
  <c r="W348" i="2"/>
  <c r="V350" i="2" l="1"/>
  <c r="W349" i="2"/>
  <c r="H349" i="2"/>
  <c r="E349" i="2"/>
  <c r="C350" i="2"/>
  <c r="C351" i="2" l="1"/>
  <c r="E350" i="2"/>
  <c r="H350" i="2"/>
  <c r="V351" i="2"/>
  <c r="W350" i="2"/>
  <c r="W351" i="2" l="1"/>
  <c r="V352" i="2"/>
  <c r="H351" i="2"/>
  <c r="E351" i="2"/>
  <c r="C352" i="2"/>
  <c r="V353" i="2" l="1"/>
  <c r="W352" i="2"/>
  <c r="C353" i="2"/>
  <c r="E352" i="2"/>
  <c r="H352" i="2"/>
  <c r="W353" i="2" l="1"/>
  <c r="V354" i="2"/>
  <c r="H353" i="2"/>
  <c r="C354" i="2"/>
  <c r="E353" i="2"/>
  <c r="C355" i="2" l="1"/>
  <c r="E354" i="2"/>
  <c r="H354" i="2"/>
  <c r="V355" i="2"/>
  <c r="W354" i="2"/>
  <c r="V356" i="2" l="1"/>
  <c r="W355" i="2"/>
  <c r="H355" i="2"/>
  <c r="C356" i="2"/>
  <c r="E355" i="2"/>
  <c r="C357" i="2" l="1"/>
  <c r="E356" i="2"/>
  <c r="H356" i="2"/>
  <c r="V357" i="2"/>
  <c r="W356" i="2"/>
  <c r="V358" i="2" l="1"/>
  <c r="W357" i="2"/>
  <c r="H357" i="2"/>
  <c r="E357" i="2"/>
  <c r="C358" i="2"/>
  <c r="C359" i="2" l="1"/>
  <c r="E358" i="2"/>
  <c r="H358" i="2"/>
  <c r="V359" i="2"/>
  <c r="W358" i="2"/>
  <c r="H359" i="2" l="1"/>
  <c r="E359" i="2"/>
  <c r="C360" i="2"/>
  <c r="W359" i="2"/>
  <c r="V360" i="2"/>
  <c r="C361" i="2" l="1"/>
  <c r="E360" i="2"/>
  <c r="H360" i="2"/>
  <c r="V361" i="2"/>
  <c r="W360" i="2"/>
  <c r="W361" i="2" l="1"/>
  <c r="V362" i="2"/>
  <c r="H361" i="2"/>
  <c r="C362" i="2"/>
  <c r="E361" i="2"/>
  <c r="V363" i="2" l="1"/>
  <c r="W362" i="2"/>
  <c r="C363" i="2"/>
  <c r="E362" i="2"/>
  <c r="H362" i="2"/>
  <c r="W363" i="2" l="1"/>
  <c r="V364" i="2"/>
  <c r="H363" i="2"/>
  <c r="C364" i="2"/>
  <c r="E363" i="2"/>
  <c r="C365" i="2" l="1"/>
  <c r="E364" i="2"/>
  <c r="H364" i="2"/>
  <c r="V365" i="2"/>
  <c r="W364" i="2"/>
  <c r="V366" i="2" l="1"/>
  <c r="W365" i="2"/>
  <c r="H365" i="2"/>
  <c r="E365" i="2"/>
  <c r="C366" i="2"/>
  <c r="C367" i="2" l="1"/>
  <c r="E366" i="2"/>
  <c r="H366" i="2"/>
  <c r="V367" i="2"/>
  <c r="W366" i="2"/>
  <c r="V368" i="2" l="1"/>
  <c r="W368" i="2" s="1"/>
  <c r="D16" i="1" s="1"/>
  <c r="W367" i="2"/>
  <c r="H367" i="2"/>
  <c r="E367" i="2"/>
  <c r="C368" i="2"/>
  <c r="E368" i="2" l="1"/>
  <c r="H368" i="2"/>
  <c r="R3" i="2" s="1"/>
</calcChain>
</file>

<file path=xl/sharedStrings.xml><?xml version="1.0" encoding="utf-8"?>
<sst xmlns="http://schemas.openxmlformats.org/spreadsheetml/2006/main" count="438" uniqueCount="54">
  <si>
    <t>Configurações</t>
  </si>
  <si>
    <t>2.</t>
  </si>
  <si>
    <t>Banca Inicial:</t>
  </si>
  <si>
    <t>Win</t>
  </si>
  <si>
    <t>Loss</t>
  </si>
  <si>
    <t>3.</t>
  </si>
  <si>
    <t>Meta de Ganho:</t>
  </si>
  <si>
    <t>4.</t>
  </si>
  <si>
    <t>% Meta Diária:</t>
  </si>
  <si>
    <t>5.</t>
  </si>
  <si>
    <t>% Loss Diária:</t>
  </si>
  <si>
    <t>6.</t>
  </si>
  <si>
    <t>Lucro Atual:</t>
  </si>
  <si>
    <t>Projeção:</t>
  </si>
  <si>
    <r>
      <rPr>
        <sz val="12"/>
        <color rgb="FFB4C6E7"/>
        <rFont val="Calibri"/>
      </rPr>
      <t xml:space="preserve">dias para atingir a sua </t>
    </r>
    <r>
      <rPr>
        <b/>
        <sz val="12"/>
        <color rgb="FFB4C6E7"/>
        <rFont val="Calibri"/>
      </rPr>
      <t>Meta de Ganho</t>
    </r>
  </si>
  <si>
    <t>Dia</t>
  </si>
  <si>
    <t>Meta do dia</t>
  </si>
  <si>
    <t>Sugestão de Entrada</t>
  </si>
  <si>
    <t>Resultados do Dia</t>
  </si>
  <si>
    <t>Objetivo Financeiro</t>
  </si>
  <si>
    <t>Terminar com</t>
  </si>
  <si>
    <t>Stop Loss</t>
  </si>
  <si>
    <t xml:space="preserve">Meta Lucro </t>
  </si>
  <si>
    <t>Entrada(s)</t>
  </si>
  <si>
    <t>Em Caixa</t>
  </si>
  <si>
    <t xml:space="preserve">Data </t>
  </si>
  <si>
    <t>Lucro em R$</t>
  </si>
  <si>
    <t>Diferença</t>
  </si>
  <si>
    <t>Lucro em %</t>
  </si>
  <si>
    <t>Faltam</t>
  </si>
  <si>
    <t>Dia(s)</t>
  </si>
  <si>
    <t>&gt;</t>
  </si>
  <si>
    <t>Total de Lucro</t>
  </si>
  <si>
    <t>em</t>
  </si>
  <si>
    <t>Média de Lucro</t>
  </si>
  <si>
    <t>* Não respeitei o Stop Win e fique no stop loss</t>
  </si>
  <si>
    <t>CASTIÇAIS</t>
  </si>
  <si>
    <t>SOROS</t>
  </si>
  <si>
    <t>CAPITAL MINIMO 25</t>
  </si>
  <si>
    <t>CASTIÇAL 2.0</t>
  </si>
  <si>
    <t>Colocar aqui o Capital a ser investido</t>
  </si>
  <si>
    <t>STOP LOSS</t>
  </si>
  <si>
    <t>PAYOUT / Retorno</t>
  </si>
  <si>
    <t>OP 01</t>
  </si>
  <si>
    <t>OP 02</t>
  </si>
  <si>
    <t>SNIPER</t>
  </si>
  <si>
    <t>OP 03</t>
  </si>
  <si>
    <t>Não Arrisque</t>
  </si>
  <si>
    <t>OP02</t>
  </si>
  <si>
    <t>Soma</t>
  </si>
  <si>
    <t>CELULAS AZUIS PODEM SER ALTERADAS</t>
  </si>
  <si>
    <t>CAPITAL MINIMO 18</t>
  </si>
  <si>
    <t>CASTIÇAL 3.0</t>
  </si>
  <si>
    <t>OP03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</si>
</sst>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[$$-409]* #,##0.00_ ;_-[$$-409]* \-#,##0.00\ ;_-[$$-409]* &quot;-&quot;??_ ;_-@_ "/>
    <numFmt numFmtId="165" formatCode="_-[$€-2]\ * #,##0.00_-;\-[$€-2]\ * #,##0.00_-;_-[$€-2]\ * &quot;-&quot;??_-;_-@"/>
    <numFmt numFmtId="166" formatCode="_-[$$-F0000]* #,##0.00_ ;_-[$$-F0000]* \-#,##0.00\ ;_-[$$-F0000]* &quot;-&quot;??_ ;_-@_ "/>
    <numFmt numFmtId="167" formatCode="&quot;R$&quot;#,##0.00"/>
    <numFmt numFmtId="168" formatCode="#,##0_ ;\-#,##0\ "/>
    <numFmt numFmtId="169" formatCode="_-&quot;R$&quot;* #,##0.00_-;\-&quot;R$&quot;* #,##0.00_-;_-&quot;R$&quot;* &quot;-&quot;??_-;_-@"/>
    <numFmt numFmtId="170" formatCode="_-&quot;R$&quot;\ * #,##0.00_-;\-&quot;R$&quot;\ * #,##0.00_-;_-&quot;R$&quot;\ * &quot;-&quot;??_-;_-@"/>
    <numFmt numFmtId="171" formatCode="&quot;R$&quot;\ #,##0.00"/>
  </numFmts>
  <fonts count="44">
    <font>
      <sz val="11"/>
      <color rgb="FF000000"/>
      <name val="Calibri"/>
    </font>
    <font>
      <sz val="11"/>
      <color rgb="FFFFFFFF"/>
      <name val="Calibri"/>
    </font>
    <font>
      <b/>
      <sz val="11"/>
      <color rgb="FFED7D31"/>
      <name val="Calibri"/>
    </font>
    <font>
      <sz val="10"/>
      <color rgb="FFFFFFFF"/>
      <name val="Calibri"/>
    </font>
    <font>
      <sz val="11"/>
      <color rgb="FFED7D31"/>
      <name val="Calibri"/>
    </font>
    <font>
      <sz val="10"/>
      <color rgb="FF000000"/>
      <name val="Calibri"/>
    </font>
    <font>
      <b/>
      <sz val="14"/>
      <color rgb="FFFFFFFF"/>
      <name val="Calibri"/>
    </font>
    <font>
      <sz val="10"/>
      <color rgb="FFED7D31"/>
      <name val="Calibri"/>
    </font>
    <font>
      <sz val="14"/>
      <color rgb="FF000000"/>
      <name val="Calibri"/>
    </font>
    <font>
      <sz val="9"/>
      <color rgb="FFDF5F5F"/>
      <name val="Calibri"/>
    </font>
    <font>
      <b/>
      <sz val="14"/>
      <color rgb="FFB4C6E7"/>
      <name val="Calibri"/>
    </font>
    <font>
      <sz val="12"/>
      <color rgb="FFB4C6E7"/>
      <name val="Calibri"/>
    </font>
    <font>
      <sz val="11"/>
      <color rgb="FFB4C6E7"/>
      <name val="Calibri"/>
    </font>
    <font>
      <b/>
      <sz val="14"/>
      <color rgb="FF142340"/>
      <name val="Calibri"/>
    </font>
    <font>
      <sz val="11"/>
      <color rgb="FF5B9BD5"/>
      <name val="Calibri"/>
    </font>
    <font>
      <sz val="11"/>
      <color rgb="FF142340"/>
      <name val="Calibri"/>
    </font>
    <font>
      <sz val="9"/>
      <color rgb="FFED7D31"/>
      <name val="Calibri"/>
    </font>
    <font>
      <b/>
      <sz val="11"/>
      <color rgb="FF142340"/>
      <name val="Calibri"/>
    </font>
    <font>
      <sz val="11"/>
      <name val="Calibri"/>
    </font>
    <font>
      <b/>
      <sz val="9"/>
      <color rgb="FF142340"/>
      <name val="Calibri"/>
    </font>
    <font>
      <b/>
      <sz val="9"/>
      <color rgb="FFFFFFFF"/>
      <name val="Calibri"/>
    </font>
    <font>
      <sz val="10"/>
      <color rgb="FF5B9BD5"/>
      <name val="Calibri"/>
    </font>
    <font>
      <b/>
      <sz val="10"/>
      <color rgb="FF70AD47"/>
      <name val="Calibri"/>
    </font>
    <font>
      <sz val="10"/>
      <color rgb="FF142340"/>
      <name val="Calibri"/>
    </font>
    <font>
      <b/>
      <sz val="10"/>
      <color rgb="FF142340"/>
      <name val="Calibri"/>
    </font>
    <font>
      <b/>
      <sz val="11"/>
      <color rgb="FFB4C6E7"/>
      <name val="Calibri"/>
    </font>
    <font>
      <b/>
      <sz val="9"/>
      <color rgb="FFB4C6E7"/>
      <name val="Calibri"/>
    </font>
    <font>
      <sz val="9"/>
      <color rgb="FFB4C6E7"/>
      <name val="Calibri"/>
    </font>
    <font>
      <sz val="10"/>
      <color rgb="FF70AD47"/>
      <name val="Calibri"/>
    </font>
    <font>
      <sz val="11"/>
      <color rgb="FF000000"/>
      <name val="Arial"/>
    </font>
    <font>
      <sz val="22"/>
      <color rgb="FF000000"/>
      <name val="Calibri"/>
    </font>
    <font>
      <sz val="20"/>
      <color rgb="FF000000"/>
      <name val="Calibri"/>
    </font>
    <font>
      <b/>
      <sz val="14"/>
      <color rgb="FF000000"/>
      <name val="Calibri"/>
    </font>
    <font>
      <b/>
      <i/>
      <sz val="16"/>
      <color rgb="FFFF0000"/>
      <name val="Calibri"/>
    </font>
    <font>
      <b/>
      <sz val="10"/>
      <color rgb="FF000000"/>
      <name val="Calibri"/>
    </font>
    <font>
      <b/>
      <sz val="11"/>
      <color rgb="FF000000"/>
      <name val="Calibri"/>
    </font>
    <font>
      <u/>
      <sz val="11"/>
      <color rgb="FF000000"/>
      <name val="Calibri"/>
    </font>
    <font>
      <sz val="21"/>
      <color rgb="FF000000"/>
      <name val="Calibri"/>
    </font>
    <font>
      <b/>
      <u/>
      <sz val="10"/>
      <color rgb="FF000000"/>
      <name val="Calibri"/>
    </font>
    <font>
      <b/>
      <sz val="12"/>
      <color rgb="FF000000"/>
      <name val="Calibri"/>
    </font>
    <font>
      <u/>
      <sz val="14"/>
      <color rgb="FF000000"/>
      <name val="Calibri"/>
    </font>
    <font>
      <b/>
      <sz val="16"/>
      <color rgb="FF000000"/>
      <name val="Calibri"/>
    </font>
    <font>
      <sz val="14"/>
      <color rgb="FFFFFFFF"/>
      <name val="Calibri"/>
    </font>
    <font>
      <b/>
      <sz val="12"/>
      <color rgb="FFB4C6E7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142340"/>
        <bgColor rgb="FF142340"/>
      </patternFill>
    </fill>
    <fill>
      <patternFill patternType="solid">
        <fgColor rgb="FF1F3864"/>
        <bgColor rgb="FF1F3864"/>
      </patternFill>
    </fill>
    <fill>
      <patternFill patternType="solid">
        <fgColor rgb="FF0E0A24"/>
        <bgColor rgb="FF0E0A24"/>
      </patternFill>
    </fill>
    <fill>
      <patternFill patternType="solid">
        <fgColor rgb="FFED7D31"/>
        <bgColor rgb="FFED7D31"/>
      </patternFill>
    </fill>
    <fill>
      <patternFill patternType="solid">
        <fgColor rgb="FF5B9BD5"/>
        <bgColor rgb="FF5B9BD5"/>
      </patternFill>
    </fill>
    <fill>
      <patternFill patternType="solid">
        <fgColor rgb="FF70AD47"/>
        <bgColor rgb="FF70AD47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9CC2E5"/>
        <bgColor rgb="FF9CC2E5"/>
      </patternFill>
    </fill>
    <fill>
      <patternFill patternType="solid">
        <fgColor rgb="FFA8D08D"/>
        <bgColor rgb="FFA8D08D"/>
      </patternFill>
    </fill>
    <fill>
      <patternFill patternType="solid">
        <fgColor rgb="FF00B050"/>
        <bgColor rgb="FF00B050"/>
      </patternFill>
    </fill>
    <fill>
      <patternFill patternType="solid">
        <fgColor rgb="FFE2EFD9"/>
        <bgColor rgb="FFE2EFD9"/>
      </patternFill>
    </fill>
    <fill>
      <patternFill patternType="solid">
        <fgColor rgb="FF92D050"/>
        <bgColor rgb="FF92D050"/>
      </patternFill>
    </fill>
    <fill>
      <patternFill patternType="solid">
        <fgColor rgb="FFC5E0B3"/>
        <bgColor rgb="FFC5E0B3"/>
      </patternFill>
    </fill>
    <fill>
      <patternFill patternType="solid">
        <fgColor rgb="FFF4B083"/>
        <bgColor rgb="FFF4B083"/>
      </patternFill>
    </fill>
    <fill>
      <patternFill patternType="solid">
        <fgColor rgb="FFC00000"/>
        <bgColor rgb="FFC00000"/>
      </patternFill>
    </fill>
    <fill>
      <patternFill patternType="solid">
        <fgColor theme="8" tint="-0.249977111117893"/>
        <bgColor rgb="FF142340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thin">
        <color rgb="FF44546A"/>
      </left>
      <right style="thin">
        <color rgb="FF44546A"/>
      </right>
      <top style="thin">
        <color rgb="FF44546A"/>
      </top>
      <bottom style="thin">
        <color rgb="FF44546A"/>
      </bottom>
      <diagonal/>
    </border>
    <border>
      <left style="thin">
        <color rgb="FF44546A"/>
      </left>
      <right style="thin">
        <color rgb="FF44546A"/>
      </right>
      <top style="thin">
        <color rgb="FF44546A"/>
      </top>
      <bottom/>
      <diagonal/>
    </border>
    <border>
      <left style="thin">
        <color rgb="FF44546A"/>
      </left>
      <right/>
      <top style="thin">
        <color rgb="FF44546A"/>
      </top>
      <bottom style="thin">
        <color rgb="FF44546A"/>
      </bottom>
      <diagonal/>
    </border>
    <border>
      <left/>
      <right/>
      <top style="thin">
        <color rgb="FF44546A"/>
      </top>
      <bottom style="thin">
        <color rgb="FF44546A"/>
      </bottom>
      <diagonal/>
    </border>
    <border>
      <left/>
      <right style="thin">
        <color rgb="FF44546A"/>
      </right>
      <top style="thin">
        <color rgb="FF44546A"/>
      </top>
      <bottom style="thin">
        <color rgb="FF44546A"/>
      </bottom>
      <diagonal/>
    </border>
    <border>
      <left style="thin">
        <color rgb="FF44546A"/>
      </left>
      <right/>
      <top/>
      <bottom style="thin">
        <color rgb="FF44546A"/>
      </bottom>
      <diagonal/>
    </border>
    <border>
      <left/>
      <right/>
      <top/>
      <bottom style="thin">
        <color rgb="FF44546A"/>
      </bottom>
      <diagonal/>
    </border>
    <border>
      <left style="thin">
        <color rgb="FF44546A"/>
      </left>
      <right/>
      <top/>
      <bottom/>
      <diagonal/>
    </border>
    <border>
      <left/>
      <right/>
      <top/>
      <bottom/>
      <diagonal/>
    </border>
    <border>
      <left style="thin">
        <color rgb="FF44546A"/>
      </left>
      <right style="thin">
        <color rgb="FF44546A"/>
      </right>
      <top/>
      <bottom style="thin">
        <color rgb="FF44546A"/>
      </bottom>
      <diagonal/>
    </border>
    <border>
      <left style="thin">
        <color rgb="FF44546A"/>
      </left>
      <right/>
      <top/>
      <bottom/>
      <diagonal/>
    </border>
    <border>
      <left/>
      <right style="thin">
        <color rgb="FF44546A"/>
      </right>
      <top/>
      <bottom style="thin">
        <color rgb="FF44546A"/>
      </bottom>
      <diagonal/>
    </border>
    <border>
      <left style="thin">
        <color rgb="FF44546A"/>
      </left>
      <right style="thin">
        <color rgb="FF44546A"/>
      </right>
      <top style="thin">
        <color rgb="FF44546A"/>
      </top>
      <bottom/>
      <diagonal/>
    </border>
    <border>
      <left/>
      <right/>
      <top style="thin">
        <color rgb="FF44546A"/>
      </top>
      <bottom/>
      <diagonal/>
    </border>
    <border>
      <left style="thin">
        <color rgb="FF44546A"/>
      </left>
      <right/>
      <top/>
      <bottom style="thin">
        <color rgb="FF44546A"/>
      </bottom>
      <diagonal/>
    </border>
    <border>
      <left style="thin">
        <color rgb="FF44546A"/>
      </left>
      <right/>
      <top/>
      <bottom/>
      <diagonal/>
    </border>
    <border>
      <left/>
      <right style="thin">
        <color rgb="FF44546A"/>
      </right>
      <top/>
      <bottom/>
      <diagonal/>
    </border>
    <border>
      <left style="thin">
        <color rgb="FF44546A"/>
      </left>
      <right/>
      <top/>
      <bottom style="thin">
        <color rgb="FF44546A"/>
      </bottom>
      <diagonal/>
    </border>
    <border>
      <left/>
      <right style="thin">
        <color rgb="FF44546A"/>
      </right>
      <top/>
      <bottom style="thin">
        <color rgb="FF44546A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32">
    <xf numFmtId="0" fontId="0" fillId="0" borderId="0" xfId="0" applyFont="1" applyAlignment="1"/>
    <xf numFmtId="0" fontId="1" fillId="2" borderId="1" xfId="0" applyFont="1" applyFill="1" applyBorder="1" applyAlignment="1">
      <alignment horizontal="right" vertical="center"/>
    </xf>
    <xf numFmtId="0" fontId="0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164" fontId="0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165" fontId="0" fillId="2" borderId="1" xfId="0" applyNumberFormat="1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166" fontId="6" fillId="3" borderId="1" xfId="0" applyNumberFormat="1" applyFont="1" applyFill="1" applyBorder="1" applyAlignment="1">
      <alignment vertical="center"/>
    </xf>
    <xf numFmtId="165" fontId="4" fillId="2" borderId="1" xfId="0" applyNumberFormat="1" applyFont="1" applyFill="1" applyBorder="1" applyAlignment="1">
      <alignment vertical="center"/>
    </xf>
    <xf numFmtId="167" fontId="7" fillId="2" borderId="2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168" fontId="9" fillId="2" borderId="2" xfId="0" applyNumberFormat="1" applyFont="1" applyFill="1" applyBorder="1" applyAlignment="1">
      <alignment horizontal="center" vertical="center"/>
    </xf>
    <xf numFmtId="166" fontId="6" fillId="3" borderId="1" xfId="0" applyNumberFormat="1" applyFont="1" applyFill="1" applyBorder="1" applyAlignment="1">
      <alignment vertical="center"/>
    </xf>
    <xf numFmtId="169" fontId="0" fillId="2" borderId="1" xfId="0" applyNumberFormat="1" applyFont="1" applyFill="1" applyBorder="1" applyAlignment="1">
      <alignment vertical="center"/>
    </xf>
    <xf numFmtId="9" fontId="6" fillId="3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/>
    </xf>
    <xf numFmtId="0" fontId="10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165" fontId="7" fillId="2" borderId="1" xfId="0" applyNumberFormat="1" applyFont="1" applyFill="1" applyBorder="1" applyAlignment="1">
      <alignment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14" fillId="2" borderId="1" xfId="0" applyNumberFormat="1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vertical="center" wrapText="1"/>
    </xf>
    <xf numFmtId="167" fontId="4" fillId="2" borderId="1" xfId="0" applyNumberFormat="1" applyFont="1" applyFill="1" applyBorder="1" applyAlignment="1">
      <alignment vertical="center"/>
    </xf>
    <xf numFmtId="10" fontId="16" fillId="2" borderId="1" xfId="0" applyNumberFormat="1" applyFont="1" applyFill="1" applyBorder="1" applyAlignment="1">
      <alignment horizontal="left" vertical="center"/>
    </xf>
    <xf numFmtId="167" fontId="15" fillId="2" borderId="1" xfId="0" applyNumberFormat="1" applyFont="1" applyFill="1" applyBorder="1" applyAlignment="1">
      <alignment horizontal="center" vertical="center"/>
    </xf>
    <xf numFmtId="167" fontId="15" fillId="2" borderId="1" xfId="0" applyNumberFormat="1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20" fillId="3" borderId="2" xfId="0" applyFont="1" applyFill="1" applyBorder="1" applyAlignment="1">
      <alignment horizontal="center" vertical="center"/>
    </xf>
    <xf numFmtId="167" fontId="21" fillId="2" borderId="2" xfId="0" applyNumberFormat="1" applyFont="1" applyFill="1" applyBorder="1" applyAlignment="1">
      <alignment horizontal="center" vertical="center"/>
    </xf>
    <xf numFmtId="167" fontId="7" fillId="3" borderId="2" xfId="0" applyNumberFormat="1" applyFont="1" applyFill="1" applyBorder="1" applyAlignment="1">
      <alignment horizontal="center" vertical="center"/>
    </xf>
    <xf numFmtId="10" fontId="7" fillId="2" borderId="2" xfId="0" applyNumberFormat="1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right" vertical="center"/>
    </xf>
    <xf numFmtId="0" fontId="22" fillId="2" borderId="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left" vertical="center"/>
    </xf>
    <xf numFmtId="167" fontId="23" fillId="2" borderId="1" xfId="0" applyNumberFormat="1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5" fillId="2" borderId="2" xfId="0" applyFont="1" applyFill="1" applyBorder="1" applyAlignment="1">
      <alignment horizontal="center" vertical="center"/>
    </xf>
    <xf numFmtId="166" fontId="12" fillId="2" borderId="2" xfId="0" applyNumberFormat="1" applyFont="1" applyFill="1" applyBorder="1" applyAlignment="1">
      <alignment horizontal="center" vertical="center"/>
    </xf>
    <xf numFmtId="9" fontId="26" fillId="3" borderId="2" xfId="0" applyNumberFormat="1" applyFont="1" applyFill="1" applyBorder="1" applyAlignment="1">
      <alignment horizontal="center" vertical="center"/>
    </xf>
    <xf numFmtId="166" fontId="21" fillId="2" borderId="2" xfId="0" applyNumberFormat="1" applyFont="1" applyFill="1" applyBorder="1" applyAlignment="1">
      <alignment horizontal="center" vertical="center"/>
    </xf>
    <xf numFmtId="166" fontId="25" fillId="3" borderId="2" xfId="0" applyNumberFormat="1" applyFont="1" applyFill="1" applyBorder="1" applyAlignment="1">
      <alignment horizontal="center" vertical="center"/>
    </xf>
    <xf numFmtId="14" fontId="27" fillId="2" borderId="2" xfId="0" applyNumberFormat="1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0" fontId="9" fillId="2" borderId="14" xfId="0" applyNumberFormat="1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vertical="center"/>
    </xf>
    <xf numFmtId="167" fontId="17" fillId="2" borderId="1" xfId="0" applyNumberFormat="1" applyFont="1" applyFill="1" applyBorder="1" applyAlignment="1">
      <alignment horizontal="center" vertical="center"/>
    </xf>
    <xf numFmtId="166" fontId="25" fillId="3" borderId="2" xfId="0" applyNumberFormat="1" applyFont="1" applyFill="1" applyBorder="1" applyAlignment="1">
      <alignment horizontal="center" vertical="center"/>
    </xf>
    <xf numFmtId="166" fontId="9" fillId="2" borderId="1" xfId="0" applyNumberFormat="1" applyFont="1" applyFill="1" applyBorder="1" applyAlignment="1">
      <alignment horizontal="center" vertical="center"/>
    </xf>
    <xf numFmtId="10" fontId="9" fillId="2" borderId="2" xfId="0" applyNumberFormat="1" applyFont="1" applyFill="1" applyBorder="1" applyAlignment="1">
      <alignment horizontal="center" vertical="center"/>
    </xf>
    <xf numFmtId="10" fontId="28" fillId="2" borderId="16" xfId="0" applyNumberFormat="1" applyFont="1" applyFill="1" applyBorder="1" applyAlignment="1">
      <alignment horizontal="center" vertical="center"/>
    </xf>
    <xf numFmtId="166" fontId="28" fillId="2" borderId="16" xfId="0" applyNumberFormat="1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vertical="center"/>
    </xf>
    <xf numFmtId="10" fontId="28" fillId="2" borderId="12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vertical="center"/>
    </xf>
    <xf numFmtId="14" fontId="27" fillId="2" borderId="2" xfId="0" applyNumberFormat="1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vertical="center"/>
    </xf>
    <xf numFmtId="170" fontId="4" fillId="2" borderId="1" xfId="0" applyNumberFormat="1" applyFont="1" applyFill="1" applyBorder="1" applyAlignment="1">
      <alignment vertical="center"/>
    </xf>
    <xf numFmtId="0" fontId="29" fillId="0" borderId="0" xfId="0" applyFont="1"/>
    <xf numFmtId="0" fontId="34" fillId="13" borderId="1" xfId="0" applyFont="1" applyFill="1" applyBorder="1" applyAlignment="1">
      <alignment horizontal="center" vertical="center"/>
    </xf>
    <xf numFmtId="0" fontId="36" fillId="0" borderId="0" xfId="0" applyFont="1"/>
    <xf numFmtId="0" fontId="34" fillId="13" borderId="32" xfId="0" applyFont="1" applyFill="1" applyBorder="1" applyAlignment="1">
      <alignment horizontal="center" vertical="center"/>
    </xf>
    <xf numFmtId="0" fontId="34" fillId="15" borderId="33" xfId="0" applyFont="1" applyFill="1" applyBorder="1" applyAlignment="1">
      <alignment horizontal="center" vertical="center"/>
    </xf>
    <xf numFmtId="170" fontId="34" fillId="9" borderId="33" xfId="0" applyNumberFormat="1" applyFont="1" applyFill="1" applyBorder="1" applyAlignment="1">
      <alignment horizontal="center" vertical="center"/>
    </xf>
    <xf numFmtId="0" fontId="34" fillId="10" borderId="36" xfId="0" applyFont="1" applyFill="1" applyBorder="1" applyAlignment="1">
      <alignment horizontal="center" vertical="center"/>
    </xf>
    <xf numFmtId="0" fontId="38" fillId="14" borderId="33" xfId="0" applyFont="1" applyFill="1" applyBorder="1" applyAlignment="1">
      <alignment horizontal="center" vertical="center"/>
    </xf>
    <xf numFmtId="0" fontId="34" fillId="13" borderId="38" xfId="0" applyFont="1" applyFill="1" applyBorder="1" applyAlignment="1">
      <alignment horizontal="center" vertical="center"/>
    </xf>
    <xf numFmtId="0" fontId="0" fillId="16" borderId="33" xfId="0" applyFont="1" applyFill="1" applyBorder="1" applyAlignment="1">
      <alignment horizontal="center" vertical="center"/>
    </xf>
    <xf numFmtId="171" fontId="8" fillId="16" borderId="33" xfId="0" applyNumberFormat="1" applyFont="1" applyFill="1" applyBorder="1" applyAlignment="1">
      <alignment horizontal="center" vertical="center"/>
    </xf>
    <xf numFmtId="171" fontId="34" fillId="17" borderId="33" xfId="0" applyNumberFormat="1" applyFont="1" applyFill="1" applyBorder="1" applyAlignment="1">
      <alignment horizontal="center" vertical="center"/>
    </xf>
    <xf numFmtId="0" fontId="34" fillId="13" borderId="40" xfId="0" applyFont="1" applyFill="1" applyBorder="1" applyAlignment="1">
      <alignment horizontal="center" vertical="center"/>
    </xf>
    <xf numFmtId="0" fontId="34" fillId="13" borderId="41" xfId="0" applyFont="1" applyFill="1" applyBorder="1" applyAlignment="1">
      <alignment horizontal="center" vertical="center"/>
    </xf>
    <xf numFmtId="170" fontId="34" fillId="16" borderId="33" xfId="0" applyNumberFormat="1" applyFont="1" applyFill="1" applyBorder="1" applyAlignment="1">
      <alignment horizontal="center" vertical="center"/>
    </xf>
    <xf numFmtId="170" fontId="39" fillId="11" borderId="33" xfId="0" applyNumberFormat="1" applyFont="1" applyFill="1" applyBorder="1" applyAlignment="1">
      <alignment horizontal="center" vertical="center"/>
    </xf>
    <xf numFmtId="0" fontId="0" fillId="9" borderId="33" xfId="0" applyFont="1" applyFill="1" applyBorder="1" applyAlignment="1">
      <alignment horizontal="center" vertical="center"/>
    </xf>
    <xf numFmtId="171" fontId="8" fillId="9" borderId="33" xfId="0" applyNumberFormat="1" applyFont="1" applyFill="1" applyBorder="1" applyAlignment="1">
      <alignment horizontal="center" vertical="center"/>
    </xf>
    <xf numFmtId="0" fontId="0" fillId="18" borderId="33" xfId="0" applyFont="1" applyFill="1" applyBorder="1" applyAlignment="1">
      <alignment horizontal="center" vertical="center"/>
    </xf>
    <xf numFmtId="171" fontId="40" fillId="18" borderId="33" xfId="0" applyNumberFormat="1" applyFont="1" applyFill="1" applyBorder="1" applyAlignment="1">
      <alignment horizontal="center" vertical="center"/>
    </xf>
    <xf numFmtId="0" fontId="41" fillId="19" borderId="33" xfId="0" applyFont="1" applyFill="1" applyBorder="1" applyAlignment="1">
      <alignment horizontal="center" vertical="center"/>
    </xf>
    <xf numFmtId="171" fontId="6" fillId="19" borderId="33" xfId="0" applyNumberFormat="1" applyFont="1" applyFill="1" applyBorder="1" applyAlignment="1">
      <alignment horizontal="center" vertical="center"/>
    </xf>
    <xf numFmtId="0" fontId="34" fillId="13" borderId="43" xfId="0" applyFont="1" applyFill="1" applyBorder="1" applyAlignment="1">
      <alignment horizontal="center" vertical="center"/>
    </xf>
    <xf numFmtId="0" fontId="34" fillId="14" borderId="33" xfId="0" applyFont="1" applyFill="1" applyBorder="1" applyAlignment="1">
      <alignment horizontal="center" vertical="center"/>
    </xf>
    <xf numFmtId="171" fontId="8" fillId="18" borderId="33" xfId="0" applyNumberFormat="1" applyFont="1" applyFill="1" applyBorder="1" applyAlignment="1">
      <alignment horizontal="center" vertical="center"/>
    </xf>
    <xf numFmtId="14" fontId="27" fillId="20" borderId="2" xfId="0" applyNumberFormat="1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left" vertical="center"/>
    </xf>
    <xf numFmtId="0" fontId="18" fillId="0" borderId="20" xfId="0" applyFont="1" applyBorder="1"/>
    <xf numFmtId="0" fontId="4" fillId="2" borderId="17" xfId="0" applyFont="1" applyFill="1" applyBorder="1" applyAlignment="1">
      <alignment horizontal="center" vertical="center"/>
    </xf>
    <xf numFmtId="0" fontId="18" fillId="0" borderId="19" xfId="0" applyFont="1" applyBorder="1"/>
    <xf numFmtId="0" fontId="17" fillId="7" borderId="9" xfId="0" applyFont="1" applyFill="1" applyBorder="1" applyAlignment="1">
      <alignment horizontal="center" vertical="center"/>
    </xf>
    <xf numFmtId="0" fontId="18" fillId="0" borderId="10" xfId="0" applyFont="1" applyBorder="1"/>
    <xf numFmtId="0" fontId="17" fillId="5" borderId="3" xfId="0" applyFont="1" applyFill="1" applyBorder="1" applyAlignment="1">
      <alignment horizontal="center" vertical="center"/>
    </xf>
    <xf numFmtId="0" fontId="18" fillId="0" borderId="11" xfId="0" applyFont="1" applyBorder="1"/>
    <xf numFmtId="0" fontId="17" fillId="5" borderId="4" xfId="0" applyFont="1" applyFill="1" applyBorder="1" applyAlignment="1">
      <alignment horizontal="center" vertical="center"/>
    </xf>
    <xf numFmtId="0" fontId="18" fillId="0" borderId="5" xfId="0" applyFont="1" applyBorder="1"/>
    <xf numFmtId="0" fontId="18" fillId="0" borderId="6" xfId="0" applyFont="1" applyBorder="1"/>
    <xf numFmtId="0" fontId="19" fillId="6" borderId="4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/>
    </xf>
    <xf numFmtId="0" fontId="18" fillId="0" borderId="8" xfId="0" applyFont="1" applyBorder="1"/>
    <xf numFmtId="0" fontId="35" fillId="14" borderId="27" xfId="0" applyFont="1" applyFill="1" applyBorder="1" applyAlignment="1">
      <alignment horizontal="center" vertical="center"/>
    </xf>
    <xf numFmtId="0" fontId="18" fillId="0" borderId="28" xfId="0" applyFont="1" applyBorder="1"/>
    <xf numFmtId="10" fontId="30" fillId="12" borderId="37" xfId="0" applyNumberFormat="1" applyFont="1" applyFill="1" applyBorder="1" applyAlignment="1">
      <alignment horizontal="center" vertical="center"/>
    </xf>
    <xf numFmtId="0" fontId="18" fillId="0" borderId="23" xfId="0" applyFont="1" applyBorder="1"/>
    <xf numFmtId="0" fontId="18" fillId="0" borderId="39" xfId="0" applyFont="1" applyBorder="1"/>
    <xf numFmtId="0" fontId="18" fillId="0" borderId="35" xfId="0" applyFont="1" applyBorder="1"/>
    <xf numFmtId="0" fontId="18" fillId="0" borderId="42" xfId="0" applyFont="1" applyBorder="1"/>
    <xf numFmtId="0" fontId="18" fillId="0" borderId="26" xfId="0" applyFont="1" applyBorder="1"/>
    <xf numFmtId="0" fontId="42" fillId="12" borderId="27" xfId="0" applyFont="1" applyFill="1" applyBorder="1" applyAlignment="1">
      <alignment horizontal="center" vertical="center"/>
    </xf>
    <xf numFmtId="0" fontId="18" fillId="0" borderId="29" xfId="0" applyFont="1" applyBorder="1"/>
    <xf numFmtId="0" fontId="30" fillId="8" borderId="21" xfId="0" applyFont="1" applyFill="1" applyBorder="1" applyAlignment="1">
      <alignment horizontal="center"/>
    </xf>
    <xf numFmtId="0" fontId="18" fillId="0" borderId="22" xfId="0" applyFont="1" applyBorder="1"/>
    <xf numFmtId="0" fontId="18" fillId="0" borderId="24" xfId="0" applyFont="1" applyBorder="1"/>
    <xf numFmtId="0" fontId="18" fillId="0" borderId="25" xfId="0" applyFont="1" applyBorder="1"/>
    <xf numFmtId="0" fontId="31" fillId="8" borderId="21" xfId="0" applyFont="1" applyFill="1" applyBorder="1" applyAlignment="1">
      <alignment horizontal="center" vertical="center"/>
    </xf>
    <xf numFmtId="0" fontId="32" fillId="9" borderId="27" xfId="0" applyFont="1" applyFill="1" applyBorder="1" applyAlignment="1">
      <alignment horizontal="center" vertical="center"/>
    </xf>
    <xf numFmtId="0" fontId="33" fillId="10" borderId="27" xfId="0" applyFont="1" applyFill="1" applyBorder="1" applyAlignment="1">
      <alignment horizontal="center" vertical="center"/>
    </xf>
    <xf numFmtId="0" fontId="35" fillId="11" borderId="27" xfId="0" applyFont="1" applyFill="1" applyBorder="1" applyAlignment="1">
      <alignment horizontal="center" vertical="center"/>
    </xf>
    <xf numFmtId="171" fontId="37" fillId="12" borderId="21" xfId="0" applyNumberFormat="1" applyFont="1" applyFill="1" applyBorder="1" applyAlignment="1">
      <alignment horizontal="center" vertical="center"/>
    </xf>
    <xf numFmtId="0" fontId="18" fillId="0" borderId="34" xfId="0" applyFont="1" applyBorder="1"/>
    <xf numFmtId="0" fontId="34" fillId="11" borderId="21" xfId="0" applyFont="1" applyFill="1" applyBorder="1" applyAlignment="1">
      <alignment horizontal="center" vertical="center"/>
    </xf>
    <xf numFmtId="171" fontId="31" fillId="12" borderId="30" xfId="0" applyNumberFormat="1" applyFont="1" applyFill="1" applyBorder="1" applyAlignment="1">
      <alignment horizontal="center" vertical="center"/>
    </xf>
    <xf numFmtId="0" fontId="18" fillId="0" borderId="31" xfId="0" applyFont="1" applyBorder="1"/>
    <xf numFmtId="10" fontId="30" fillId="12" borderId="2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4">
    <dxf>
      <font>
        <color rgb="FFED7D31"/>
      </font>
      <fill>
        <patternFill patternType="none"/>
      </fill>
    </dxf>
    <dxf>
      <font>
        <color rgb="FFED7D31"/>
      </font>
      <fill>
        <patternFill patternType="none"/>
      </fill>
    </dxf>
    <dxf>
      <font>
        <color rgb="FFED7D31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color rgb="FFDF5F5F"/>
      </font>
      <fill>
        <patternFill patternType="none"/>
      </fill>
    </dxf>
    <dxf>
      <font>
        <color rgb="FFED7D31"/>
      </font>
      <fill>
        <patternFill patternType="none"/>
      </fill>
    </dxf>
    <dxf>
      <font>
        <color rgb="FFED7D31"/>
      </font>
      <fill>
        <patternFill patternType="none"/>
      </fill>
    </dxf>
    <dxf>
      <font>
        <color rgb="FFDF5F5F"/>
      </font>
      <fill>
        <patternFill patternType="none"/>
      </fill>
    </dxf>
    <dxf>
      <font>
        <color rgb="FFED7D31"/>
      </font>
      <fill>
        <patternFill patternType="none"/>
      </fill>
    </dxf>
    <dxf>
      <font>
        <color rgb="FFED7D31"/>
      </font>
      <fill>
        <patternFill patternType="none"/>
      </fill>
    </dxf>
    <dxf>
      <font>
        <b/>
        <color rgb="FFED7D31"/>
      </font>
      <fill>
        <patternFill patternType="none"/>
      </fill>
    </dxf>
    <dxf>
      <font>
        <b/>
        <color rgb="FFED7D31"/>
      </font>
      <fill>
        <patternFill patternType="none"/>
      </fill>
    </dxf>
    <dxf>
      <font>
        <color rgb="FFED7D31"/>
      </font>
      <fill>
        <patternFill patternType="none"/>
      </fill>
    </dxf>
    <dxf>
      <font>
        <color rgb="FFED7D31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  <dxf>
      <font>
        <b/>
        <color rgb="FF70AD47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rgbClr val="595959"/>
                </a:solidFill>
                <a:latin typeface="Calibri"/>
              </a:defRPr>
            </a:pPr>
            <a:r>
              <a:rPr lang="pt-BR" sz="1800" b="1" i="0">
                <a:solidFill>
                  <a:srgbClr val="595959"/>
                </a:solidFill>
                <a:latin typeface="Calibri"/>
              </a:rPr>
              <a:t>GRAU DE CONSISTÊNCIA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1-AE44-488B-AED4-D77103477EF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'Config.'!$L$5:$M$5</c:f>
              <c:strCache>
                <c:ptCount val="2"/>
                <c:pt idx="0">
                  <c:v>Win</c:v>
                </c:pt>
                <c:pt idx="1">
                  <c:v>Loss</c:v>
                </c:pt>
              </c:strCache>
            </c:strRef>
          </c:cat>
          <c:val>
            <c:numRef>
              <c:f>'Config.'!$L$6:$M$6</c:f>
              <c:numCache>
                <c:formatCode>#,##0_ ;\-#,##0\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44-488B-AED4-D77103477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595959"/>
              </a:solidFill>
              <a:latin typeface="Calibri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Gest&#227;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fig.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17</xdr:row>
      <xdr:rowOff>0</xdr:rowOff>
    </xdr:from>
    <xdr:ext cx="1857375" cy="495300"/>
    <xdr:sp macro="" textlink="">
      <xdr:nvSpPr>
        <xdr:cNvPr id="3" name="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422075" y="3537113"/>
          <a:ext cx="1847850" cy="485775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142340"/>
              </a:solidFill>
              <a:latin typeface="Calibri"/>
              <a:ea typeface="Calibri"/>
              <a:cs typeface="Calibri"/>
              <a:sym typeface="Calibri"/>
            </a:rPr>
            <a:t>Ir para a Planilha</a:t>
          </a:r>
          <a:endParaRPr sz="1400"/>
        </a:p>
      </xdr:txBody>
    </xdr:sp>
    <xdr:clientData fLocksWithSheet="0"/>
  </xdr:oneCellAnchor>
  <xdr:oneCellAnchor>
    <xdr:from>
      <xdr:col>3</xdr:col>
      <xdr:colOff>1019175</xdr:colOff>
      <xdr:row>0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>
            <a:solidFill>
              <a:schemeClr val="accent2"/>
            </a:solidFill>
          </a:endParaRPr>
        </a:p>
      </xdr:txBody>
    </xdr:sp>
    <xdr:clientData fLocksWithSheet="0"/>
  </xdr:oneCellAnchor>
  <xdr:oneCellAnchor>
    <xdr:from>
      <xdr:col>10</xdr:col>
      <xdr:colOff>171450</xdr:colOff>
      <xdr:row>2</xdr:row>
      <xdr:rowOff>228600</xdr:rowOff>
    </xdr:from>
    <xdr:ext cx="4572000" cy="3200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9525</xdr:colOff>
      <xdr:row>11</xdr:row>
      <xdr:rowOff>0</xdr:rowOff>
    </xdr:from>
    <xdr:ext cx="1809750" cy="438150"/>
    <xdr:sp macro="" textlink="">
      <xdr:nvSpPr>
        <xdr:cNvPr id="5" name="Shap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445888" y="3565688"/>
          <a:ext cx="1800225" cy="428625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 b="1">
              <a:solidFill>
                <a:srgbClr val="142340"/>
              </a:solidFill>
              <a:latin typeface="Calibri"/>
              <a:ea typeface="Calibri"/>
              <a:cs typeface="Calibri"/>
              <a:sym typeface="Calibri"/>
            </a:rPr>
            <a:t>&lt;  Configurações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20"/>
  <sheetViews>
    <sheetView showGridLines="0" workbookViewId="0"/>
  </sheetViews>
  <sheetFormatPr defaultColWidth="14.42578125" defaultRowHeight="15" customHeight="1"/>
  <cols>
    <col min="1" max="1" width="4.28515625" customWidth="1"/>
    <col min="2" max="2" width="9.140625" customWidth="1"/>
    <col min="3" max="3" width="7" customWidth="1"/>
    <col min="4" max="4" width="20.7109375" customWidth="1"/>
    <col min="5" max="5" width="4.85546875" customWidth="1"/>
    <col min="6" max="9" width="9.140625" customWidth="1"/>
    <col min="10" max="10" width="6" customWidth="1"/>
    <col min="11" max="12" width="9.140625" customWidth="1"/>
    <col min="13" max="13" width="10.140625" customWidth="1"/>
    <col min="14" max="18" width="9.140625" customWidth="1"/>
  </cols>
  <sheetData>
    <row r="1" spans="1:18" ht="19.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9.5" customHeight="1">
      <c r="A2" s="1"/>
      <c r="B2" s="3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26.25" customHeight="1">
      <c r="A3" s="4"/>
      <c r="B3" s="3" t="s">
        <v>0</v>
      </c>
      <c r="C3" s="2"/>
      <c r="D3" s="2"/>
      <c r="E3" s="5"/>
      <c r="F3" s="6"/>
      <c r="G3" s="2"/>
      <c r="H3" s="2"/>
      <c r="I3" s="2"/>
      <c r="J3" s="7"/>
      <c r="K3" s="7"/>
      <c r="L3" s="2"/>
      <c r="M3" s="2"/>
      <c r="N3" s="2"/>
      <c r="O3" s="2"/>
      <c r="P3" s="2"/>
      <c r="Q3" s="2"/>
      <c r="R3" s="2"/>
    </row>
    <row r="4" spans="1:18" ht="9.75" customHeight="1">
      <c r="A4" s="4"/>
      <c r="B4" s="8"/>
      <c r="C4" s="2"/>
      <c r="D4" s="2"/>
      <c r="E4" s="2"/>
      <c r="F4" s="2"/>
      <c r="G4" s="2"/>
      <c r="H4" s="2"/>
      <c r="I4" s="2"/>
      <c r="J4" s="2"/>
      <c r="K4" s="9"/>
      <c r="L4" s="2"/>
      <c r="M4" s="2"/>
      <c r="N4" s="2"/>
      <c r="O4" s="2"/>
      <c r="P4" s="2"/>
      <c r="Q4" s="2"/>
      <c r="R4" s="2"/>
    </row>
    <row r="5" spans="1:18" ht="27" customHeight="1">
      <c r="A5" s="4" t="s">
        <v>1</v>
      </c>
      <c r="B5" s="10" t="s">
        <v>2</v>
      </c>
      <c r="C5" s="2"/>
      <c r="D5" s="11">
        <v>230</v>
      </c>
      <c r="E5" s="5"/>
      <c r="F5" s="12"/>
      <c r="G5" s="2"/>
      <c r="H5" s="2"/>
      <c r="I5" s="2"/>
      <c r="J5" s="2"/>
      <c r="K5" s="2"/>
      <c r="L5" s="13" t="s">
        <v>3</v>
      </c>
      <c r="M5" s="13" t="s">
        <v>4</v>
      </c>
      <c r="N5" s="2"/>
      <c r="O5" s="2"/>
      <c r="P5" s="2"/>
      <c r="Q5" s="2"/>
      <c r="R5" s="2"/>
    </row>
    <row r="6" spans="1:18" ht="9" customHeight="1">
      <c r="A6" s="4"/>
      <c r="B6" s="8"/>
      <c r="C6" s="2"/>
      <c r="D6" s="14"/>
      <c r="E6" s="2"/>
      <c r="F6" s="2"/>
      <c r="G6" s="2"/>
      <c r="H6" s="2"/>
      <c r="I6" s="2"/>
      <c r="J6" s="2"/>
      <c r="K6" s="2"/>
      <c r="L6" s="15">
        <f>SUM(Gestão!K4:K368)</f>
        <v>0</v>
      </c>
      <c r="M6" s="15">
        <f>SUM(Gestão!L4:L368)</f>
        <v>0</v>
      </c>
      <c r="N6" s="2"/>
      <c r="O6" s="2"/>
      <c r="P6" s="2"/>
      <c r="Q6" s="2"/>
      <c r="R6" s="2"/>
    </row>
    <row r="7" spans="1:18" ht="27" customHeight="1">
      <c r="A7" s="4" t="s">
        <v>5</v>
      </c>
      <c r="B7" s="10" t="s">
        <v>6</v>
      </c>
      <c r="C7" s="2"/>
      <c r="D7" s="16">
        <v>1000</v>
      </c>
      <c r="E7" s="5"/>
      <c r="F7" s="6"/>
      <c r="G7" s="2"/>
      <c r="H7" s="2"/>
      <c r="I7" s="2"/>
      <c r="J7" s="2"/>
      <c r="K7" s="2"/>
      <c r="L7" s="2"/>
      <c r="M7" s="2"/>
      <c r="N7" s="2"/>
      <c r="O7" s="9"/>
      <c r="P7" s="2"/>
      <c r="Q7" s="2"/>
      <c r="R7" s="2"/>
    </row>
    <row r="8" spans="1:18" ht="9" customHeight="1">
      <c r="A8" s="4"/>
      <c r="B8" s="8"/>
      <c r="C8" s="2"/>
      <c r="D8" s="2"/>
      <c r="E8" s="2"/>
      <c r="F8" s="2"/>
      <c r="G8" s="2"/>
      <c r="H8" s="2"/>
      <c r="I8" s="2"/>
      <c r="J8" s="2"/>
      <c r="K8" s="2"/>
      <c r="L8" s="2"/>
      <c r="M8" s="17"/>
      <c r="N8" s="2"/>
      <c r="O8" s="2"/>
      <c r="P8" s="2"/>
      <c r="Q8" s="2"/>
      <c r="R8" s="2"/>
    </row>
    <row r="9" spans="1:18" ht="27" customHeight="1">
      <c r="A9" s="4" t="s">
        <v>7</v>
      </c>
      <c r="B9" s="10" t="s">
        <v>8</v>
      </c>
      <c r="C9" s="2"/>
      <c r="D9" s="18">
        <v>0.05</v>
      </c>
      <c r="E9" s="5"/>
      <c r="F9" s="6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8" ht="9" customHeight="1">
      <c r="A10" s="4"/>
      <c r="B10" s="8"/>
      <c r="C10" s="2"/>
      <c r="D10" s="2"/>
      <c r="E10" s="2"/>
      <c r="F10" s="2"/>
      <c r="G10" s="2"/>
      <c r="H10" s="2"/>
      <c r="I10" s="2"/>
      <c r="J10" s="2"/>
      <c r="K10" s="2"/>
      <c r="L10" s="2"/>
      <c r="M10" s="17"/>
      <c r="N10" s="2"/>
      <c r="O10" s="2"/>
      <c r="P10" s="2"/>
      <c r="Q10" s="2"/>
      <c r="R10" s="2"/>
    </row>
    <row r="11" spans="1:18" ht="27" customHeight="1">
      <c r="A11" s="4" t="s">
        <v>9</v>
      </c>
      <c r="B11" s="10" t="s">
        <v>10</v>
      </c>
      <c r="C11" s="2"/>
      <c r="D11" s="18">
        <v>0.12</v>
      </c>
      <c r="E11" s="5"/>
      <c r="F11" s="6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8" ht="9.75" customHeight="1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8" ht="27" customHeight="1">
      <c r="A13" s="4" t="s">
        <v>11</v>
      </c>
      <c r="B13" s="10" t="s">
        <v>12</v>
      </c>
      <c r="C13" s="2"/>
      <c r="D13" s="16">
        <f>SUM(Gestão!M3:M368)</f>
        <v>54.769999999999989</v>
      </c>
      <c r="E13" s="2"/>
      <c r="F13" s="2"/>
      <c r="G13" s="2"/>
      <c r="H13" s="2"/>
      <c r="I13" s="2"/>
      <c r="J13" s="5"/>
      <c r="K13" s="6"/>
      <c r="L13" s="2"/>
      <c r="M13" s="2"/>
      <c r="N13" s="2"/>
      <c r="O13" s="2"/>
      <c r="P13" s="2"/>
      <c r="Q13" s="2"/>
      <c r="R13" s="2"/>
    </row>
    <row r="14" spans="1:18" ht="8.25" customHeight="1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1:18" ht="6.75" customHeight="1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9.5" customHeight="1">
      <c r="A16" s="1"/>
      <c r="B16" s="19" t="s">
        <v>13</v>
      </c>
      <c r="C16" s="2"/>
      <c r="D16" s="20">
        <f>IF(COUNTIF(Gestão!$W$4:$W$368,"meta")&gt;=1,COUNTIF(Gestão!$W$4:$W$368,"meta")+1,COUNTIF(Gestão!$W$4:$W$368,"meta"))</f>
        <v>31</v>
      </c>
      <c r="E16" s="21" t="s">
        <v>14</v>
      </c>
      <c r="F16" s="22"/>
      <c r="G16" s="22"/>
      <c r="H16" s="22"/>
      <c r="I16" s="22"/>
      <c r="J16" s="2"/>
      <c r="K16" s="2"/>
      <c r="L16" s="2"/>
      <c r="M16" s="2"/>
      <c r="N16" s="2"/>
      <c r="O16" s="2"/>
      <c r="P16" s="2"/>
      <c r="Q16" s="2"/>
      <c r="R16" s="2"/>
    </row>
    <row r="17" spans="1:18" ht="19.5" customHeight="1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1:18" ht="19.5" customHeight="1">
      <c r="A18" s="1"/>
      <c r="B18" s="23"/>
      <c r="C18" s="23"/>
      <c r="D18" s="23"/>
      <c r="E18" s="24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1:18" ht="19.5" customHeight="1">
      <c r="A19" s="1"/>
      <c r="B19" s="23"/>
      <c r="C19" s="23"/>
      <c r="D19" s="23"/>
      <c r="E19" s="25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ht="19.5" customHeight="1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ht="19.5" customHeight="1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ht="19.5" customHeight="1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ht="19.5" customHeight="1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ht="19.5" customHeight="1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ht="19.5" customHeight="1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 ht="19.5" customHeight="1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ht="19.5" customHeight="1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ht="19.5" customHeight="1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ht="19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ht="19.5" customHeight="1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 ht="19.5" customHeight="1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 ht="19.5" customHeight="1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1:18" ht="19.5" customHeight="1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1:18" ht="19.5" customHeight="1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1:18" ht="19.5" customHeight="1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1:18" ht="19.5" customHeight="1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1:18" ht="19.5" customHeight="1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1:18" ht="19.5" customHeight="1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19.5" customHeight="1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1:18" ht="19.5" customHeight="1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ht="19.5" customHeight="1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1:18" ht="19.5" customHeight="1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1:18" ht="19.5" customHeight="1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1:18" ht="19.5" customHeight="1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spans="1:18" ht="19.5" customHeight="1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ht="19.5" customHeight="1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spans="1:18" ht="19.5" customHeight="1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spans="1:18" ht="19.5" customHeight="1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spans="1:18" ht="19.5" customHeight="1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18" ht="19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18" ht="19.5" customHeight="1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spans="1:18" ht="19.5" customHeight="1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18" ht="19.5" customHeight="1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spans="1:18" ht="19.5" customHeight="1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spans="1:18" ht="19.5" customHeight="1">
      <c r="A55" s="1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</row>
    <row r="56" spans="1:18" ht="19.5" customHeight="1">
      <c r="A56" s="1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</row>
    <row r="57" spans="1:18" ht="19.5" customHeight="1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</row>
    <row r="58" spans="1:18" ht="19.5" customHeight="1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1:18" ht="19.5" customHeight="1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</row>
    <row r="60" spans="1:18" ht="19.5" customHeight="1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</row>
    <row r="61" spans="1:18" ht="19.5" customHeight="1">
      <c r="A61" s="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</row>
    <row r="62" spans="1:18" ht="19.5" customHeight="1">
      <c r="A62" s="1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</row>
    <row r="63" spans="1:18" ht="19.5" customHeight="1">
      <c r="A63" s="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</row>
    <row r="64" spans="1:18" ht="19.5" customHeight="1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spans="1:18" ht="19.5" customHeight="1">
      <c r="A65" s="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spans="1:18" ht="19.5" customHeight="1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</row>
    <row r="67" spans="1:18" ht="19.5" customHeight="1">
      <c r="A67" s="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</row>
    <row r="68" spans="1:18" ht="19.5" customHeight="1">
      <c r="A68" s="1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</row>
    <row r="69" spans="1:18" ht="19.5" customHeight="1">
      <c r="A69" s="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</row>
    <row r="70" spans="1:18" ht="19.5" customHeight="1">
      <c r="A70" s="1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</row>
    <row r="71" spans="1:18" ht="19.5" customHeight="1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</row>
    <row r="72" spans="1:18" ht="19.5" customHeight="1">
      <c r="A72" s="1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</row>
    <row r="73" spans="1:18" ht="19.5" customHeight="1">
      <c r="A73" s="1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</row>
    <row r="74" spans="1:18" ht="19.5" customHeight="1">
      <c r="A74" s="1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</row>
    <row r="75" spans="1:18" ht="19.5" customHeight="1">
      <c r="A75" s="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</row>
    <row r="76" spans="1:18" ht="19.5" customHeight="1">
      <c r="A76" s="1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spans="1:18" ht="19.5" customHeight="1">
      <c r="A77" s="1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spans="1:18" ht="19.5" customHeight="1">
      <c r="A78" s="1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</row>
    <row r="79" spans="1:18" ht="19.5" customHeight="1">
      <c r="A79" s="1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</row>
    <row r="80" spans="1:18" ht="19.5" customHeight="1">
      <c r="A80" s="1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</row>
    <row r="81" spans="1:18" ht="19.5" customHeight="1">
      <c r="A81" s="1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spans="1:18" ht="19.5" customHeight="1">
      <c r="A82" s="1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</row>
    <row r="83" spans="1:18" ht="19.5" customHeight="1">
      <c r="A83" s="1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</row>
    <row r="84" spans="1:18" ht="19.5" customHeight="1">
      <c r="A84" s="1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</row>
    <row r="85" spans="1:18" ht="19.5" customHeight="1">
      <c r="A85" s="1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</row>
    <row r="86" spans="1:18" ht="19.5" customHeight="1">
      <c r="A86" s="1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</row>
    <row r="87" spans="1:18" ht="19.5" customHeight="1">
      <c r="A87" s="1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18" ht="19.5" customHeight="1">
      <c r="A88" s="1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</row>
    <row r="89" spans="1:18" ht="19.5" customHeight="1">
      <c r="A89" s="1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18" ht="19.5" customHeight="1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</row>
    <row r="91" spans="1:18" ht="19.5" customHeight="1">
      <c r="A91" s="1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</row>
    <row r="92" spans="1:18" ht="19.5" customHeight="1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</row>
    <row r="93" spans="1:18" ht="19.5" customHeight="1">
      <c r="A93" s="1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spans="1:18" ht="19.5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</row>
    <row r="95" spans="1:18" ht="19.5" customHeight="1">
      <c r="A95" s="1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18" ht="19.5" customHeight="1">
      <c r="A96" s="1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</row>
    <row r="97" spans="1:18" ht="19.5" customHeight="1">
      <c r="A97" s="1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</row>
    <row r="98" spans="1:18" ht="19.5" customHeight="1">
      <c r="A98" s="1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</row>
    <row r="99" spans="1:18" ht="19.5" customHeight="1">
      <c r="A99" s="1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</row>
    <row r="100" spans="1:18" ht="19.5" customHeight="1">
      <c r="A100" s="1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</row>
    <row r="101" spans="1:18" ht="15.75" customHeight="1"/>
    <row r="102" spans="1:18" ht="15.75" customHeight="1"/>
    <row r="103" spans="1:18" ht="15.75" customHeight="1"/>
    <row r="104" spans="1:18" ht="15.75" customHeight="1"/>
    <row r="105" spans="1:18" ht="15.75" customHeight="1"/>
    <row r="106" spans="1:18" ht="15.75" customHeight="1"/>
    <row r="107" spans="1:18" ht="15.75" customHeight="1"/>
    <row r="108" spans="1:18" ht="15.75" customHeight="1"/>
    <row r="109" spans="1:18" ht="15.75" customHeight="1"/>
    <row r="110" spans="1:18" ht="15.75" customHeight="1"/>
    <row r="111" spans="1:18" ht="15.75" customHeight="1"/>
    <row r="112" spans="1:18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</sheetData>
  <conditionalFormatting sqref="L6">
    <cfRule type="cellIs" dxfId="23" priority="1" operator="greaterThanOrEqual">
      <formula>0.01</formula>
    </cfRule>
  </conditionalFormatting>
  <conditionalFormatting sqref="M6">
    <cfRule type="cellIs" dxfId="22" priority="2" operator="greaterThanOrEqual">
      <formula>0.01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568"/>
  <sheetViews>
    <sheetView showGridLines="0" tabSelected="1" workbookViewId="0">
      <pane xSplit="2" ySplit="3" topLeftCell="D7" activePane="bottomRight" state="frozen"/>
      <selection pane="topRight" activeCell="C1" sqref="C1"/>
      <selection pane="bottomLeft" activeCell="A4" sqref="A4"/>
      <selection pane="bottomRight" activeCell="Z11" sqref="Z11"/>
    </sheetView>
  </sheetViews>
  <sheetFormatPr defaultColWidth="14.42578125" defaultRowHeight="15" customHeight="1"/>
  <cols>
    <col min="1" max="1" width="1.7109375" customWidth="1"/>
    <col min="2" max="2" width="9.85546875" customWidth="1"/>
    <col min="3" max="3" width="16.5703125" customWidth="1"/>
    <col min="4" max="4" width="15.5703125" customWidth="1"/>
    <col min="5" max="5" width="13.42578125" customWidth="1"/>
    <col min="6" max="6" width="5.5703125" hidden="1" customWidth="1"/>
    <col min="7" max="7" width="10.85546875" hidden="1" customWidth="1"/>
    <col min="8" max="8" width="1.5703125" customWidth="1"/>
    <col min="9" max="9" width="13.42578125" customWidth="1"/>
    <col min="10" max="10" width="10.5703125" customWidth="1"/>
    <col min="11" max="12" width="5.7109375" customWidth="1"/>
    <col min="13" max="15" width="10.85546875" customWidth="1"/>
    <col min="16" max="16" width="3.140625" customWidth="1"/>
    <col min="17" max="17" width="10.85546875" customWidth="1"/>
    <col min="18" max="18" width="7" customWidth="1"/>
    <col min="19" max="20" width="9.140625" customWidth="1"/>
    <col min="21" max="21" width="11.7109375" customWidth="1"/>
    <col min="22" max="22" width="16.5703125" hidden="1" customWidth="1"/>
    <col min="23" max="23" width="5.5703125" hidden="1" customWidth="1"/>
    <col min="24" max="24" width="13.42578125" hidden="1" customWidth="1"/>
  </cols>
  <sheetData>
    <row r="1" spans="1:24" ht="9" customHeight="1">
      <c r="A1" s="26"/>
      <c r="B1" s="5"/>
      <c r="C1" s="27"/>
      <c r="D1" s="27"/>
      <c r="E1" s="27"/>
      <c r="F1" s="6"/>
      <c r="G1" s="28"/>
      <c r="H1" s="29"/>
      <c r="I1" s="30"/>
      <c r="J1" s="30"/>
      <c r="K1" s="30"/>
      <c r="L1" s="30"/>
      <c r="M1" s="30"/>
      <c r="N1" s="30"/>
      <c r="O1" s="31"/>
      <c r="P1" s="6"/>
      <c r="Q1" s="6"/>
      <c r="R1" s="6"/>
      <c r="S1" s="6"/>
      <c r="T1" s="6"/>
      <c r="U1" s="6"/>
      <c r="V1" s="32"/>
      <c r="W1" s="29"/>
      <c r="X1" s="33"/>
    </row>
    <row r="2" spans="1:24" ht="22.5" customHeight="1">
      <c r="A2" s="25"/>
      <c r="B2" s="100" t="s">
        <v>15</v>
      </c>
      <c r="C2" s="102" t="s">
        <v>16</v>
      </c>
      <c r="D2" s="103"/>
      <c r="E2" s="104"/>
      <c r="F2" s="105" t="s">
        <v>17</v>
      </c>
      <c r="G2" s="104"/>
      <c r="H2" s="29"/>
      <c r="I2" s="106" t="s">
        <v>18</v>
      </c>
      <c r="J2" s="107"/>
      <c r="K2" s="107"/>
      <c r="L2" s="107"/>
      <c r="M2" s="107"/>
      <c r="N2" s="107"/>
      <c r="O2" s="107"/>
      <c r="P2" s="6"/>
      <c r="Q2" s="98" t="s">
        <v>19</v>
      </c>
      <c r="R2" s="99"/>
      <c r="S2" s="99"/>
      <c r="T2" s="34"/>
      <c r="U2" s="6"/>
      <c r="V2" s="35"/>
      <c r="W2" s="29"/>
      <c r="X2" s="35"/>
    </row>
    <row r="3" spans="1:24" ht="24.75" customHeight="1">
      <c r="A3" s="25"/>
      <c r="B3" s="101"/>
      <c r="C3" s="13" t="s">
        <v>20</v>
      </c>
      <c r="D3" s="13" t="s">
        <v>21</v>
      </c>
      <c r="E3" s="13" t="s">
        <v>22</v>
      </c>
      <c r="F3" s="36">
        <v>1</v>
      </c>
      <c r="G3" s="37" t="s">
        <v>23</v>
      </c>
      <c r="H3" s="29"/>
      <c r="I3" s="38" t="s">
        <v>24</v>
      </c>
      <c r="J3" s="13" t="s">
        <v>25</v>
      </c>
      <c r="K3" s="13" t="s">
        <v>3</v>
      </c>
      <c r="L3" s="13" t="s">
        <v>4</v>
      </c>
      <c r="M3" s="13" t="s">
        <v>26</v>
      </c>
      <c r="N3" s="13" t="s">
        <v>27</v>
      </c>
      <c r="O3" s="39" t="s">
        <v>28</v>
      </c>
      <c r="P3" s="6"/>
      <c r="Q3" s="40" t="s">
        <v>29</v>
      </c>
      <c r="R3" s="41">
        <f>IF(COUNTIF($H$4:$H$368,"meta")&gt;=1,COUNTIF($H$4:$H$368,"meta")+1,COUNTIF($H$4:$H$368,"meta"))</f>
        <v>26</v>
      </c>
      <c r="S3" s="42" t="s">
        <v>30</v>
      </c>
      <c r="T3" s="6"/>
      <c r="U3" s="6"/>
      <c r="V3" s="43" t="s">
        <v>20</v>
      </c>
      <c r="W3" s="29"/>
      <c r="X3" s="43" t="s">
        <v>24</v>
      </c>
    </row>
    <row r="4" spans="1:24" ht="21" customHeight="1">
      <c r="A4" s="44" t="s">
        <v>31</v>
      </c>
      <c r="B4" s="45">
        <v>1</v>
      </c>
      <c r="C4" s="46">
        <f>('Config.'!D5*'Config.'!D9)+'Config.'!D5</f>
        <v>241.5</v>
      </c>
      <c r="D4" s="46">
        <f>C4*'Config.'!D11</f>
        <v>28.98</v>
      </c>
      <c r="E4" s="46">
        <f>C4-'Config.'!D5</f>
        <v>11.5</v>
      </c>
      <c r="F4" s="47">
        <v>0.8</v>
      </c>
      <c r="G4" s="48">
        <f t="shared" ref="G4:G67" si="0">IF(COUNTBLANK(F4)=0,(E4/F4)/$F$3,"-")</f>
        <v>14.375</v>
      </c>
      <c r="H4" s="29" t="str">
        <f>IF(COUNTBLANK(I4)=1,IF(C4&lt;='Config.'!$D$7,"meta","nops"),"")</f>
        <v/>
      </c>
      <c r="I4" s="49">
        <v>240</v>
      </c>
      <c r="J4" s="50">
        <v>44490</v>
      </c>
      <c r="K4" s="15"/>
      <c r="L4" s="15"/>
      <c r="M4" s="51">
        <f>IF(COUNTBLANK(I4)=1,"",I4-'Config.'!$D$5)</f>
        <v>10</v>
      </c>
      <c r="N4" s="51">
        <f t="shared" ref="N4:N67" si="1">IF(M4="","",M4-E4)</f>
        <v>-1.5</v>
      </c>
      <c r="O4" s="52">
        <f>IF(COUNTBLANK(I4)=1,"",(I4-'Config.'!D5)/'Config.'!D5)</f>
        <v>4.3478260869565216E-2</v>
      </c>
      <c r="P4" s="6"/>
      <c r="Q4" s="53"/>
      <c r="R4" s="53"/>
      <c r="S4" s="53"/>
      <c r="T4" s="6"/>
      <c r="U4" s="6"/>
      <c r="V4" s="32">
        <f>('Config.'!D5*'Config.'!D9)+'Config.'!D5</f>
        <v>241.5</v>
      </c>
      <c r="W4" s="29" t="str">
        <f>IF(COUNTBLANK(X4)=1,IF(V4&lt;='Config.'!$D$7,"meta","nops"),"")</f>
        <v>meta</v>
      </c>
      <c r="X4" s="54"/>
    </row>
    <row r="5" spans="1:24" ht="19.5" customHeight="1">
      <c r="A5" s="44" t="s">
        <v>31</v>
      </c>
      <c r="B5" s="45">
        <v>2</v>
      </c>
      <c r="C5" s="46">
        <f>IF(COUNTBLANK(I4)=1,(C4*'Config.'!$D$9)+C4,(I4*'Config.'!$D$9)+I4)</f>
        <v>252</v>
      </c>
      <c r="D5" s="46">
        <f>IF(COUNTBLANK(I4)=1,I4*'Config.'!$D$11,I4*'Config.'!$D$11)</f>
        <v>28.799999999999997</v>
      </c>
      <c r="E5" s="46">
        <f t="shared" ref="E5:E68" si="2">IF(COUNTBLANK(I4)=1,C5-C4,C5-I4)</f>
        <v>12</v>
      </c>
      <c r="F5" s="47"/>
      <c r="G5" s="48" t="str">
        <f t="shared" si="0"/>
        <v>-</v>
      </c>
      <c r="H5" s="29" t="str">
        <f>IF(COUNTBLANK(I5)=1,IF(C5&lt;='Config.'!$D$7,"meta","nops"),"")</f>
        <v/>
      </c>
      <c r="I5" s="55">
        <v>252.13</v>
      </c>
      <c r="J5" s="50">
        <v>44491</v>
      </c>
      <c r="K5" s="15"/>
      <c r="L5" s="15"/>
      <c r="M5" s="51">
        <v>12.13</v>
      </c>
      <c r="N5" s="51">
        <f t="shared" si="1"/>
        <v>0.13000000000000078</v>
      </c>
      <c r="O5" s="52" t="e">
        <f>IF(COUNTBLANK(I5)=1,"",(I5-'Config.'!D6)/'Config.'!D6)</f>
        <v>#DIV/0!</v>
      </c>
      <c r="P5" s="6"/>
      <c r="Q5" s="98" t="s">
        <v>32</v>
      </c>
      <c r="R5" s="99"/>
      <c r="S5" s="99"/>
      <c r="T5" s="6"/>
      <c r="U5" s="6"/>
      <c r="V5" s="32">
        <f>IF(COUNTBLANK(X4)=1,(V4*'Config.'!$D$9)+V4,(X4*'Config.'!$D$9)+X4)</f>
        <v>253.57499999999999</v>
      </c>
      <c r="W5" s="29" t="str">
        <f>IF(COUNTBLANK(X5)=1,IF(V5&lt;='Config.'!$D$7,"meta","nops"),"")</f>
        <v>meta</v>
      </c>
      <c r="X5" s="54"/>
    </row>
    <row r="6" spans="1:24" ht="19.5" customHeight="1">
      <c r="A6" s="44" t="s">
        <v>31</v>
      </c>
      <c r="B6" s="45">
        <v>3</v>
      </c>
      <c r="C6" s="46">
        <f>IF(COUNTBLANK(I5)=1,(C5*'Config.'!$D$9)+C5,(I5*'Config.'!$D$9)+I5)</f>
        <v>264.73649999999998</v>
      </c>
      <c r="D6" s="46">
        <f>IF(COUNTBLANK(I5)=1,I5*'Config.'!$D$11,I5*'Config.'!$D$11)</f>
        <v>30.255599999999998</v>
      </c>
      <c r="E6" s="46">
        <f t="shared" si="2"/>
        <v>12.606499999999983</v>
      </c>
      <c r="F6" s="47"/>
      <c r="G6" s="48" t="str">
        <f t="shared" si="0"/>
        <v>-</v>
      </c>
      <c r="H6" s="29" t="str">
        <f>IF(COUNTBLANK(I6)=1,IF(C6&lt;='Config.'!$D$7,"meta","nops"),"")</f>
        <v/>
      </c>
      <c r="I6" s="55">
        <v>284.77</v>
      </c>
      <c r="J6" s="93">
        <v>44493</v>
      </c>
      <c r="K6" s="15"/>
      <c r="L6" s="15"/>
      <c r="M6" s="56">
        <f t="shared" ref="M6:M69" si="3">IF(COUNTBLANK(I6)=1,"",I6-I5)</f>
        <v>32.639999999999986</v>
      </c>
      <c r="N6" s="51">
        <f t="shared" si="1"/>
        <v>20.033500000000004</v>
      </c>
      <c r="O6" s="57">
        <f t="shared" ref="O6:O69" si="4">IF(COUNTBLANK(I6)=1,"",(I6-I5)/I5)</f>
        <v>0.12945702613731006</v>
      </c>
      <c r="P6" s="6"/>
      <c r="Q6" s="58">
        <f>(($Q$7+'Config.'!$D$5)-'Config.'!$D$5)/'Config.'!$D$5</f>
        <v>0.23813043478260862</v>
      </c>
      <c r="R6" s="96" t="s">
        <v>33</v>
      </c>
      <c r="S6" s="94" t="str">
        <f>CONCATENATE(COUNT($O$4:$O$368)," dia(s)")</f>
        <v>2 dia(s)</v>
      </c>
      <c r="T6" s="6"/>
      <c r="U6" s="6"/>
      <c r="V6" s="32">
        <f>IF(COUNTBLANK(X5)=1,(V5*'Config.'!$D$9)+V5,(X5*'Config.'!$D$9)+X5)</f>
        <v>266.25374999999997</v>
      </c>
      <c r="W6" s="29" t="str">
        <f>IF(COUNTBLANK(X6)=1,IF(V6&lt;='Config.'!$D$7,"meta","nops"),"")</f>
        <v>meta</v>
      </c>
      <c r="X6" s="54"/>
    </row>
    <row r="7" spans="1:24" ht="21.75" customHeight="1">
      <c r="A7" s="44" t="s">
        <v>31</v>
      </c>
      <c r="B7" s="45">
        <v>4</v>
      </c>
      <c r="C7" s="46">
        <f>IF(COUNTBLANK(I6)=1,(C6*'Config.'!$D$9)+C6,(I6*'Config.'!$D$9)+I6)</f>
        <v>299.00849999999997</v>
      </c>
      <c r="D7" s="46">
        <f>IF(COUNTBLANK(I6)=1,I6*'Config.'!$D$11,I6*'Config.'!$D$11)</f>
        <v>34.172399999999996</v>
      </c>
      <c r="E7" s="46">
        <f t="shared" si="2"/>
        <v>14.238499999999988</v>
      </c>
      <c r="F7" s="47"/>
      <c r="G7" s="48" t="str">
        <f t="shared" si="0"/>
        <v>-</v>
      </c>
      <c r="H7" s="29" t="str">
        <f>IF(COUNTBLANK(I7)=1,IF(C7&lt;='Config.'!$D$7,"meta","nops"),"")</f>
        <v>meta</v>
      </c>
      <c r="I7" s="55"/>
      <c r="J7" s="50"/>
      <c r="K7" s="15"/>
      <c r="L7" s="15"/>
      <c r="M7" s="51" t="str">
        <f t="shared" si="3"/>
        <v/>
      </c>
      <c r="N7" s="51" t="str">
        <f t="shared" si="1"/>
        <v/>
      </c>
      <c r="O7" s="57" t="str">
        <f t="shared" si="4"/>
        <v/>
      </c>
      <c r="P7" s="6"/>
      <c r="Q7" s="59">
        <f>SUM($M$4:$M$368)</f>
        <v>54.769999999999989</v>
      </c>
      <c r="R7" s="97"/>
      <c r="S7" s="95"/>
      <c r="T7" s="60">
        <f>COUNT($O$4:$O$368)</f>
        <v>2</v>
      </c>
      <c r="U7" s="6"/>
      <c r="V7" s="32">
        <f>IF(COUNTBLANK(X6)=1,(V6*'Config.'!$D$9)+V6,(X6*'Config.'!$D$9)+X6)</f>
        <v>279.56643749999995</v>
      </c>
      <c r="W7" s="29" t="str">
        <f>IF(COUNTBLANK(X7)=1,IF(V7&lt;='Config.'!$D$7,"meta","nops"),"")</f>
        <v>meta</v>
      </c>
      <c r="X7" s="54"/>
    </row>
    <row r="8" spans="1:24" ht="18.75" customHeight="1">
      <c r="A8" s="44" t="s">
        <v>31</v>
      </c>
      <c r="B8" s="45">
        <v>5</v>
      </c>
      <c r="C8" s="46">
        <f>IF(COUNTBLANK(I7)=1,(C7*'Config.'!$D$9)+C7,(I7*'Config.'!$D$9)+I7)</f>
        <v>313.95892499999997</v>
      </c>
      <c r="D8" s="46">
        <f>IF(COUNTBLANK(I7)=1,I7*'Config.'!$D$11,I7*'Config.'!$D$11)</f>
        <v>0</v>
      </c>
      <c r="E8" s="46">
        <f t="shared" si="2"/>
        <v>14.950424999999996</v>
      </c>
      <c r="F8" s="47"/>
      <c r="G8" s="48" t="str">
        <f t="shared" si="0"/>
        <v>-</v>
      </c>
      <c r="H8" s="29" t="str">
        <f>IF(COUNTBLANK(I8)=1,IF(C8&lt;='Config.'!$D$7,"meta","nops"),"")</f>
        <v>meta</v>
      </c>
      <c r="I8" s="55"/>
      <c r="J8" s="50"/>
      <c r="K8" s="15"/>
      <c r="L8" s="15"/>
      <c r="M8" s="51" t="str">
        <f t="shared" si="3"/>
        <v/>
      </c>
      <c r="N8" s="51" t="str">
        <f t="shared" si="1"/>
        <v/>
      </c>
      <c r="O8" s="57" t="str">
        <f t="shared" si="4"/>
        <v/>
      </c>
      <c r="P8" s="6"/>
      <c r="Q8" s="6"/>
      <c r="R8" s="6"/>
      <c r="S8" s="6"/>
      <c r="T8" s="6"/>
      <c r="U8" s="30"/>
      <c r="V8" s="32">
        <f>IF(COUNTBLANK(X7)=1,(V7*'Config.'!$D$9)+V7,(X7*'Config.'!$D$9)+X7)</f>
        <v>293.54475937499996</v>
      </c>
      <c r="W8" s="29" t="str">
        <f>IF(COUNTBLANK(X8)=1,IF(V8&lt;='Config.'!$D$7,"meta","nops"),"")</f>
        <v>meta</v>
      </c>
      <c r="X8" s="54"/>
    </row>
    <row r="9" spans="1:24" ht="18.75" customHeight="1">
      <c r="A9" s="44" t="s">
        <v>31</v>
      </c>
      <c r="B9" s="45">
        <v>6</v>
      </c>
      <c r="C9" s="46">
        <f>IF(COUNTBLANK(I8)=1,(C8*'Config.'!$D$9)+C8,(I8*'Config.'!$D$9)+I8)</f>
        <v>329.65687124999994</v>
      </c>
      <c r="D9" s="46">
        <f>IF(COUNTBLANK(I8)=1,I8*'Config.'!$D$11,I8*'Config.'!$D$11)</f>
        <v>0</v>
      </c>
      <c r="E9" s="46">
        <f t="shared" si="2"/>
        <v>15.697946249999973</v>
      </c>
      <c r="F9" s="47"/>
      <c r="G9" s="48" t="str">
        <f t="shared" si="0"/>
        <v>-</v>
      </c>
      <c r="H9" s="29" t="str">
        <f>IF(COUNTBLANK(I9)=1,IF(C9&lt;='Config.'!$D$7,"meta","nops"),"")</f>
        <v>meta</v>
      </c>
      <c r="I9" s="55"/>
      <c r="J9" s="50"/>
      <c r="K9" s="15"/>
      <c r="L9" s="15"/>
      <c r="M9" s="51" t="str">
        <f t="shared" si="3"/>
        <v/>
      </c>
      <c r="N9" s="51" t="str">
        <f t="shared" si="1"/>
        <v/>
      </c>
      <c r="O9" s="57" t="str">
        <f t="shared" si="4"/>
        <v/>
      </c>
      <c r="P9" s="6"/>
      <c r="Q9" s="98" t="s">
        <v>34</v>
      </c>
      <c r="R9" s="99"/>
      <c r="S9" s="99"/>
      <c r="T9" s="6"/>
      <c r="U9" s="61"/>
      <c r="V9" s="32">
        <f>IF(COUNTBLANK(X8)=1,(V8*'Config.'!$D$9)+V8,(X8*'Config.'!$D$9)+X8)</f>
        <v>308.22199734374993</v>
      </c>
      <c r="W9" s="29" t="str">
        <f>IF(COUNTBLANK(X9)=1,IF(V9&lt;='Config.'!$D$7,"meta","nops"),"")</f>
        <v>meta</v>
      </c>
      <c r="X9" s="54"/>
    </row>
    <row r="10" spans="1:24" ht="21" customHeight="1">
      <c r="A10" s="44" t="s">
        <v>31</v>
      </c>
      <c r="B10" s="45">
        <v>7</v>
      </c>
      <c r="C10" s="46">
        <f>IF(COUNTBLANK(I9)=1,(C9*'Config.'!$D$9)+C9,(I9*'Config.'!$D$9)+I9)</f>
        <v>346.13971481249996</v>
      </c>
      <c r="D10" s="46">
        <f>IF(COUNTBLANK(I9)=1,I9*'Config.'!$D$11,I9*'Config.'!$D$11)</f>
        <v>0</v>
      </c>
      <c r="E10" s="46">
        <f t="shared" si="2"/>
        <v>16.482843562500022</v>
      </c>
      <c r="F10" s="47"/>
      <c r="G10" s="48" t="str">
        <f t="shared" si="0"/>
        <v>-</v>
      </c>
      <c r="H10" s="29" t="str">
        <f>IF(COUNTBLANK(I10)=1,IF(C10&lt;='Config.'!$D$7,"meta","nops"),"")</f>
        <v>meta</v>
      </c>
      <c r="I10" s="55"/>
      <c r="J10" s="50"/>
      <c r="K10" s="15"/>
      <c r="L10" s="15"/>
      <c r="M10" s="51" t="str">
        <f t="shared" si="3"/>
        <v/>
      </c>
      <c r="N10" s="51" t="str">
        <f t="shared" si="1"/>
        <v/>
      </c>
      <c r="O10" s="57" t="str">
        <f t="shared" si="4"/>
        <v/>
      </c>
      <c r="P10" s="6"/>
      <c r="Q10" s="62">
        <f>IFERROR($Q$6/$T$7,0)</f>
        <v>0.11906521739130431</v>
      </c>
      <c r="R10" s="63" t="s">
        <v>33</v>
      </c>
      <c r="S10" s="64" t="str">
        <f>CONCATENATE(COUNT($O$4:$O$368)," dia(s)")</f>
        <v>2 dia(s)</v>
      </c>
      <c r="T10" s="6"/>
      <c r="U10" s="6"/>
      <c r="V10" s="32">
        <f>IF(COUNTBLANK(X9)=1,(V9*'Config.'!$D$9)+V9,(X9*'Config.'!$D$9)+X9)</f>
        <v>323.63309721093742</v>
      </c>
      <c r="W10" s="29" t="str">
        <f>IF(COUNTBLANK(X10)=1,IF(V10&lt;='Config.'!$D$7,"meta","nops"),"")</f>
        <v>meta</v>
      </c>
      <c r="X10" s="54"/>
    </row>
    <row r="11" spans="1:24" ht="21" customHeight="1">
      <c r="A11" s="44" t="s">
        <v>31</v>
      </c>
      <c r="B11" s="45">
        <v>8</v>
      </c>
      <c r="C11" s="46">
        <f>IF(COUNTBLANK(I10)=1,(C10*'Config.'!$D$9)+C10,(I10*'Config.'!$D$9)+I10)</f>
        <v>363.44670055312497</v>
      </c>
      <c r="D11" s="46">
        <f>IF(COUNTBLANK(I10)=1,I10*'Config.'!$D$11,I10*'Config.'!$D$11)</f>
        <v>0</v>
      </c>
      <c r="E11" s="46">
        <f t="shared" si="2"/>
        <v>17.306985740625009</v>
      </c>
      <c r="F11" s="47"/>
      <c r="G11" s="48" t="str">
        <f t="shared" si="0"/>
        <v>-</v>
      </c>
      <c r="H11" s="29" t="str">
        <f>IF(COUNTBLANK(I11)=1,IF(C11&lt;='Config.'!$D$7,"meta","nops"),"")</f>
        <v>meta</v>
      </c>
      <c r="I11" s="55"/>
      <c r="J11" s="65"/>
      <c r="K11" s="15"/>
      <c r="L11" s="15"/>
      <c r="M11" s="51" t="str">
        <f t="shared" si="3"/>
        <v/>
      </c>
      <c r="N11" s="51" t="str">
        <f t="shared" si="1"/>
        <v/>
      </c>
      <c r="O11" s="57" t="str">
        <f t="shared" si="4"/>
        <v/>
      </c>
      <c r="P11" s="6"/>
      <c r="Q11" s="53"/>
      <c r="R11" s="53"/>
      <c r="S11" s="66"/>
      <c r="T11" s="6"/>
      <c r="U11" s="6"/>
      <c r="V11" s="32">
        <f>IF(COUNTBLANK(X10)=1,(V10*'Config.'!$D$9)+V10,(X10*'Config.'!$D$9)+X10)</f>
        <v>339.81475207148429</v>
      </c>
      <c r="W11" s="29" t="str">
        <f>IF(COUNTBLANK(X11)=1,IF(V11&lt;='Config.'!$D$7,"meta","nops"),"")</f>
        <v>meta</v>
      </c>
      <c r="X11" s="54"/>
    </row>
    <row r="12" spans="1:24" ht="19.5" customHeight="1">
      <c r="A12" s="44" t="s">
        <v>31</v>
      </c>
      <c r="B12" s="45">
        <v>9</v>
      </c>
      <c r="C12" s="46">
        <f>IF(COUNTBLANK(I11)=1,(C11*'Config.'!$D$9)+C11,(I11*'Config.'!$D$9)+I11)</f>
        <v>381.6190355807812</v>
      </c>
      <c r="D12" s="46">
        <f>IF(COUNTBLANK(I11)=1,I11*'Config.'!$D$11,I11*'Config.'!$D$11)</f>
        <v>0</v>
      </c>
      <c r="E12" s="46">
        <f t="shared" si="2"/>
        <v>18.172335027656231</v>
      </c>
      <c r="F12" s="47"/>
      <c r="G12" s="48" t="str">
        <f t="shared" si="0"/>
        <v>-</v>
      </c>
      <c r="H12" s="29" t="str">
        <f>IF(COUNTBLANK(I12)=1,IF(C12&lt;='Config.'!$D$7,"meta","nops"),"")</f>
        <v>meta</v>
      </c>
      <c r="I12" s="55"/>
      <c r="J12" s="65"/>
      <c r="K12" s="15"/>
      <c r="L12" s="15"/>
      <c r="M12" s="51" t="str">
        <f t="shared" si="3"/>
        <v/>
      </c>
      <c r="N12" s="51" t="str">
        <f t="shared" si="1"/>
        <v/>
      </c>
      <c r="O12" s="57" t="str">
        <f t="shared" si="4"/>
        <v/>
      </c>
      <c r="P12" s="6"/>
      <c r="Q12" s="6"/>
      <c r="R12" s="6"/>
      <c r="S12" s="6"/>
      <c r="T12" s="6"/>
      <c r="U12" s="6"/>
      <c r="V12" s="32">
        <f>IF(COUNTBLANK(X11)=1,(V11*'Config.'!$D$9)+V11,(X11*'Config.'!$D$9)+X11)</f>
        <v>356.80548967505848</v>
      </c>
      <c r="W12" s="29" t="str">
        <f>IF(COUNTBLANK(X12)=1,IF(V12&lt;='Config.'!$D$7,"meta","nops"),"")</f>
        <v>meta</v>
      </c>
      <c r="X12" s="54"/>
    </row>
    <row r="13" spans="1:24" ht="19.5" customHeight="1">
      <c r="A13" s="44" t="s">
        <v>31</v>
      </c>
      <c r="B13" s="45">
        <v>10</v>
      </c>
      <c r="C13" s="46">
        <f>IF(COUNTBLANK(I12)=1,(C12*'Config.'!$D$9)+C12,(I12*'Config.'!$D$9)+I12)</f>
        <v>400.69998735982028</v>
      </c>
      <c r="D13" s="46">
        <f>IF(COUNTBLANK(I12)=1,I12*'Config.'!$D$11,I12*'Config.'!$D$11)</f>
        <v>0</v>
      </c>
      <c r="E13" s="46">
        <f t="shared" si="2"/>
        <v>19.080951779039083</v>
      </c>
      <c r="F13" s="47"/>
      <c r="G13" s="48" t="str">
        <f t="shared" si="0"/>
        <v>-</v>
      </c>
      <c r="H13" s="29" t="str">
        <f>IF(COUNTBLANK(I13)=1,IF(C13&lt;='Config.'!$D$7,"meta","nops"),"")</f>
        <v>meta</v>
      </c>
      <c r="I13" s="55"/>
      <c r="J13" s="65"/>
      <c r="K13" s="15"/>
      <c r="L13" s="15"/>
      <c r="M13" s="51" t="str">
        <f t="shared" si="3"/>
        <v/>
      </c>
      <c r="N13" s="51" t="str">
        <f t="shared" si="1"/>
        <v/>
      </c>
      <c r="O13" s="57" t="str">
        <f t="shared" si="4"/>
        <v/>
      </c>
      <c r="P13" s="6"/>
      <c r="Q13" s="6"/>
      <c r="R13" s="6"/>
      <c r="S13" s="6"/>
      <c r="T13" s="6"/>
      <c r="U13" s="6"/>
      <c r="V13" s="32">
        <f>IF(COUNTBLANK(X12)=1,(V12*'Config.'!$D$9)+V12,(X12*'Config.'!$D$9)+X12)</f>
        <v>374.6457641588114</v>
      </c>
      <c r="W13" s="29" t="str">
        <f>IF(COUNTBLANK(X13)=1,IF(V13&lt;='Config.'!$D$7,"meta","nops"),"")</f>
        <v>meta</v>
      </c>
      <c r="X13" s="54"/>
    </row>
    <row r="14" spans="1:24" ht="19.5" customHeight="1">
      <c r="A14" s="44" t="s">
        <v>31</v>
      </c>
      <c r="B14" s="45">
        <v>11</v>
      </c>
      <c r="C14" s="46">
        <f>IF(COUNTBLANK(I13)=1,(C13*'Config.'!$D$9)+C13,(I13*'Config.'!$D$9)+I13)</f>
        <v>420.7349867278113</v>
      </c>
      <c r="D14" s="46">
        <f>IF(COUNTBLANK(I13)=1,I13*'Config.'!$D$11,I13*'Config.'!$D$11)</f>
        <v>0</v>
      </c>
      <c r="E14" s="46">
        <f t="shared" si="2"/>
        <v>20.03499936799102</v>
      </c>
      <c r="F14" s="47"/>
      <c r="G14" s="48" t="str">
        <f t="shared" si="0"/>
        <v>-</v>
      </c>
      <c r="H14" s="29" t="str">
        <f>IF(COUNTBLANK(I14)=1,IF(C14&lt;='Config.'!$D$7,"meta","nops"),"")</f>
        <v>meta</v>
      </c>
      <c r="I14" s="55"/>
      <c r="J14" s="65"/>
      <c r="K14" s="15"/>
      <c r="L14" s="15"/>
      <c r="M14" s="51" t="str">
        <f t="shared" si="3"/>
        <v/>
      </c>
      <c r="N14" s="51" t="str">
        <f t="shared" si="1"/>
        <v/>
      </c>
      <c r="O14" s="57" t="str">
        <f t="shared" si="4"/>
        <v/>
      </c>
      <c r="P14" s="6"/>
      <c r="Q14" s="6"/>
      <c r="R14" s="6"/>
      <c r="S14" s="6"/>
      <c r="T14" s="6"/>
      <c r="U14" s="6"/>
      <c r="V14" s="32">
        <f>IF(COUNTBLANK(X13)=1,(V13*'Config.'!$D$9)+V13,(X13*'Config.'!$D$9)+X13)</f>
        <v>393.37805236675194</v>
      </c>
      <c r="W14" s="29" t="str">
        <f>IF(COUNTBLANK(X14)=1,IF(V14&lt;='Config.'!$D$7,"meta","nops"),"")</f>
        <v>meta</v>
      </c>
      <c r="X14" s="54"/>
    </row>
    <row r="15" spans="1:24" ht="19.5" customHeight="1">
      <c r="A15" s="44" t="s">
        <v>31</v>
      </c>
      <c r="B15" s="45">
        <v>12</v>
      </c>
      <c r="C15" s="46">
        <f>IF(COUNTBLANK(I14)=1,(C14*'Config.'!$D$9)+C14,(I14*'Config.'!$D$9)+I14)</f>
        <v>441.77173606420189</v>
      </c>
      <c r="D15" s="46">
        <f>IF(COUNTBLANK(I14)=1,I14*'Config.'!$D$11,I14*'Config.'!$D$11)</f>
        <v>0</v>
      </c>
      <c r="E15" s="46">
        <f t="shared" si="2"/>
        <v>21.036749336390585</v>
      </c>
      <c r="F15" s="47"/>
      <c r="G15" s="48" t="str">
        <f t="shared" si="0"/>
        <v>-</v>
      </c>
      <c r="H15" s="29" t="str">
        <f>IF(COUNTBLANK(I15)=1,IF(C15&lt;='Config.'!$D$7,"meta","nops"),"")</f>
        <v>meta</v>
      </c>
      <c r="I15" s="55"/>
      <c r="J15" s="65"/>
      <c r="K15" s="15"/>
      <c r="L15" s="15"/>
      <c r="M15" s="51" t="str">
        <f t="shared" si="3"/>
        <v/>
      </c>
      <c r="N15" s="51" t="str">
        <f t="shared" si="1"/>
        <v/>
      </c>
      <c r="O15" s="57" t="str">
        <f t="shared" si="4"/>
        <v/>
      </c>
      <c r="P15" s="6"/>
      <c r="Q15" s="6"/>
      <c r="R15" s="6"/>
      <c r="S15" s="6"/>
      <c r="T15" s="6"/>
      <c r="U15" s="6"/>
      <c r="V15" s="32">
        <f>IF(COUNTBLANK(X14)=1,(V14*'Config.'!$D$9)+V14,(X14*'Config.'!$D$9)+X14)</f>
        <v>413.04695498508954</v>
      </c>
      <c r="W15" s="29" t="str">
        <f>IF(COUNTBLANK(X15)=1,IF(V15&lt;='Config.'!$D$7,"meta","nops"),"")</f>
        <v>meta</v>
      </c>
      <c r="X15" s="54"/>
    </row>
    <row r="16" spans="1:24" ht="19.5" customHeight="1">
      <c r="A16" s="44" t="s">
        <v>31</v>
      </c>
      <c r="B16" s="45">
        <v>13</v>
      </c>
      <c r="C16" s="46">
        <f>IF(COUNTBLANK(I15)=1,(C15*'Config.'!$D$9)+C15,(I15*'Config.'!$D$9)+I15)</f>
        <v>463.86032286741198</v>
      </c>
      <c r="D16" s="46">
        <f>IF(COUNTBLANK(I15)=1,I15*'Config.'!$D$11,I15*'Config.'!$D$11)</f>
        <v>0</v>
      </c>
      <c r="E16" s="46">
        <f t="shared" si="2"/>
        <v>22.088586803210092</v>
      </c>
      <c r="F16" s="47"/>
      <c r="G16" s="48" t="str">
        <f t="shared" si="0"/>
        <v>-</v>
      </c>
      <c r="H16" s="29" t="str">
        <f>IF(COUNTBLANK(I16)=1,IF(C16&lt;='Config.'!$D$7,"meta","nops"),"")</f>
        <v>meta</v>
      </c>
      <c r="I16" s="55"/>
      <c r="J16" s="65"/>
      <c r="K16" s="15"/>
      <c r="L16" s="15"/>
      <c r="M16" s="51" t="str">
        <f t="shared" si="3"/>
        <v/>
      </c>
      <c r="N16" s="51" t="str">
        <f t="shared" si="1"/>
        <v/>
      </c>
      <c r="O16" s="57" t="str">
        <f t="shared" si="4"/>
        <v/>
      </c>
      <c r="P16" s="6" t="s">
        <v>35</v>
      </c>
      <c r="Q16" s="6"/>
      <c r="R16" s="6"/>
      <c r="S16" s="6"/>
      <c r="T16" s="6"/>
      <c r="U16" s="6"/>
      <c r="V16" s="32">
        <f>IF(COUNTBLANK(X15)=1,(V15*'Config.'!$D$9)+V15,(X15*'Config.'!$D$9)+X15)</f>
        <v>433.69930273434403</v>
      </c>
      <c r="W16" s="29" t="str">
        <f>IF(COUNTBLANK(X16)=1,IF(V16&lt;='Config.'!$D$7,"meta","nops"),"")</f>
        <v>meta</v>
      </c>
      <c r="X16" s="54"/>
    </row>
    <row r="17" spans="1:24" ht="19.5" customHeight="1">
      <c r="A17" s="44" t="s">
        <v>31</v>
      </c>
      <c r="B17" s="45">
        <v>14</v>
      </c>
      <c r="C17" s="46">
        <f>IF(COUNTBLANK(I16)=1,(C16*'Config.'!$D$9)+C16,(I16*'Config.'!$D$9)+I16)</f>
        <v>487.05333901078257</v>
      </c>
      <c r="D17" s="46">
        <f>IF(COUNTBLANK(I16)=1,I16*'Config.'!$D$11,I16*'Config.'!$D$11)</f>
        <v>0</v>
      </c>
      <c r="E17" s="46">
        <f t="shared" si="2"/>
        <v>23.193016143370585</v>
      </c>
      <c r="F17" s="47"/>
      <c r="G17" s="48" t="str">
        <f t="shared" si="0"/>
        <v>-</v>
      </c>
      <c r="H17" s="29" t="str">
        <f>IF(COUNTBLANK(I17)=1,IF(C17&lt;='Config.'!$D$7,"meta","nops"),"")</f>
        <v>meta</v>
      </c>
      <c r="I17" s="55"/>
      <c r="J17" s="65"/>
      <c r="K17" s="15"/>
      <c r="L17" s="15"/>
      <c r="M17" s="51" t="str">
        <f t="shared" si="3"/>
        <v/>
      </c>
      <c r="N17" s="51" t="str">
        <f t="shared" si="1"/>
        <v/>
      </c>
      <c r="O17" s="57" t="str">
        <f t="shared" si="4"/>
        <v/>
      </c>
      <c r="P17" s="6"/>
      <c r="Q17" s="6"/>
      <c r="R17" s="6"/>
      <c r="S17" s="6"/>
      <c r="T17" s="6"/>
      <c r="U17" s="6"/>
      <c r="V17" s="32">
        <f>IF(COUNTBLANK(X16)=1,(V16*'Config.'!$D$9)+V16,(X16*'Config.'!$D$9)+X16)</f>
        <v>455.38426787106124</v>
      </c>
      <c r="W17" s="29" t="str">
        <f>IF(COUNTBLANK(X17)=1,IF(V17&lt;='Config.'!$D$7,"meta","nops"),"")</f>
        <v>meta</v>
      </c>
      <c r="X17" s="54"/>
    </row>
    <row r="18" spans="1:24" ht="19.5" customHeight="1">
      <c r="A18" s="44" t="s">
        <v>31</v>
      </c>
      <c r="B18" s="45">
        <v>15</v>
      </c>
      <c r="C18" s="46">
        <f>IF(COUNTBLANK(I17)=1,(C17*'Config.'!$D$9)+C17,(I17*'Config.'!$D$9)+I17)</f>
        <v>511.40600596132168</v>
      </c>
      <c r="D18" s="46">
        <f>IF(COUNTBLANK(I17)=1,I17*'Config.'!$D$11,I17*'Config.'!$D$11)</f>
        <v>0</v>
      </c>
      <c r="E18" s="46">
        <f t="shared" si="2"/>
        <v>24.352666950539117</v>
      </c>
      <c r="F18" s="47"/>
      <c r="G18" s="48" t="str">
        <f t="shared" si="0"/>
        <v>-</v>
      </c>
      <c r="H18" s="29" t="str">
        <f>IF(COUNTBLANK(I18)=1,IF(C18&lt;='Config.'!$D$7,"meta","nops"),"")</f>
        <v>meta</v>
      </c>
      <c r="I18" s="55"/>
      <c r="J18" s="65"/>
      <c r="K18" s="15"/>
      <c r="L18" s="15"/>
      <c r="M18" s="51" t="str">
        <f t="shared" si="3"/>
        <v/>
      </c>
      <c r="N18" s="51" t="str">
        <f t="shared" si="1"/>
        <v/>
      </c>
      <c r="O18" s="57" t="str">
        <f t="shared" si="4"/>
        <v/>
      </c>
      <c r="P18" s="6" t="s">
        <v>35</v>
      </c>
      <c r="Q18" s="6"/>
      <c r="R18" s="6"/>
      <c r="S18" s="6"/>
      <c r="T18" s="6"/>
      <c r="U18" s="6"/>
      <c r="V18" s="32">
        <f>IF(COUNTBLANK(X17)=1,(V17*'Config.'!$D$9)+V17,(X17*'Config.'!$D$9)+X17)</f>
        <v>478.1534812646143</v>
      </c>
      <c r="W18" s="29" t="str">
        <f>IF(COUNTBLANK(X18)=1,IF(V18&lt;='Config.'!$D$7,"meta","nops"),"")</f>
        <v>meta</v>
      </c>
      <c r="X18" s="54"/>
    </row>
    <row r="19" spans="1:24" ht="19.5" customHeight="1">
      <c r="A19" s="44" t="s">
        <v>31</v>
      </c>
      <c r="B19" s="45">
        <v>16</v>
      </c>
      <c r="C19" s="46">
        <f>IF(COUNTBLANK(I18)=1,(C18*'Config.'!$D$9)+C18,(I18*'Config.'!$D$9)+I18)</f>
        <v>536.9763062593878</v>
      </c>
      <c r="D19" s="46">
        <f>IF(COUNTBLANK(I18)=1,I18*'Config.'!$D$11,I18*'Config.'!$D$11)</f>
        <v>0</v>
      </c>
      <c r="E19" s="46">
        <f t="shared" si="2"/>
        <v>25.570300298066115</v>
      </c>
      <c r="F19" s="47"/>
      <c r="G19" s="48" t="str">
        <f t="shared" si="0"/>
        <v>-</v>
      </c>
      <c r="H19" s="29" t="str">
        <f>IF(COUNTBLANK(I19)=1,IF(C19&lt;='Config.'!$D$7,"meta","nops"),"")</f>
        <v>meta</v>
      </c>
      <c r="I19" s="55"/>
      <c r="J19" s="65"/>
      <c r="K19" s="15"/>
      <c r="L19" s="15"/>
      <c r="M19" s="51" t="str">
        <f t="shared" si="3"/>
        <v/>
      </c>
      <c r="N19" s="51" t="str">
        <f t="shared" si="1"/>
        <v/>
      </c>
      <c r="O19" s="57" t="str">
        <f t="shared" si="4"/>
        <v/>
      </c>
      <c r="P19" s="6"/>
      <c r="Q19" s="6"/>
      <c r="R19" s="6"/>
      <c r="S19" s="6"/>
      <c r="T19" s="6"/>
      <c r="U19" s="6"/>
      <c r="V19" s="32">
        <f>IF(COUNTBLANK(X18)=1,(V18*'Config.'!$D$9)+V18,(X18*'Config.'!$D$9)+X18)</f>
        <v>502.06115532784503</v>
      </c>
      <c r="W19" s="29" t="str">
        <f>IF(COUNTBLANK(X19)=1,IF(V19&lt;='Config.'!$D$7,"meta","nops"),"")</f>
        <v>meta</v>
      </c>
      <c r="X19" s="54"/>
    </row>
    <row r="20" spans="1:24" ht="19.5" customHeight="1">
      <c r="A20" s="44" t="s">
        <v>31</v>
      </c>
      <c r="B20" s="45">
        <v>17</v>
      </c>
      <c r="C20" s="46">
        <f>IF(COUNTBLANK(I19)=1,(C19*'Config.'!$D$9)+C19,(I19*'Config.'!$D$9)+I19)</f>
        <v>563.82512157235715</v>
      </c>
      <c r="D20" s="46">
        <f>IF(COUNTBLANK(I19)=1,I19*'Config.'!$D$11,I19*'Config.'!$D$11)</f>
        <v>0</v>
      </c>
      <c r="E20" s="46">
        <f t="shared" si="2"/>
        <v>26.84881531296935</v>
      </c>
      <c r="F20" s="47"/>
      <c r="G20" s="48" t="str">
        <f t="shared" si="0"/>
        <v>-</v>
      </c>
      <c r="H20" s="29" t="str">
        <f>IF(COUNTBLANK(I20)=1,IF(C20&lt;='Config.'!$D$7,"meta","nops"),"")</f>
        <v>meta</v>
      </c>
      <c r="I20" s="55"/>
      <c r="J20" s="65"/>
      <c r="K20" s="15"/>
      <c r="L20" s="15"/>
      <c r="M20" s="51" t="str">
        <f t="shared" si="3"/>
        <v/>
      </c>
      <c r="N20" s="51" t="str">
        <f t="shared" si="1"/>
        <v/>
      </c>
      <c r="O20" s="57" t="str">
        <f t="shared" si="4"/>
        <v/>
      </c>
      <c r="P20" s="6"/>
      <c r="Q20" s="6"/>
      <c r="R20" s="6"/>
      <c r="S20" s="6"/>
      <c r="T20" s="6"/>
      <c r="U20" s="6"/>
      <c r="V20" s="32">
        <f>IF(COUNTBLANK(X19)=1,(V19*'Config.'!$D$9)+V19,(X19*'Config.'!$D$9)+X19)</f>
        <v>527.16421309423731</v>
      </c>
      <c r="W20" s="29" t="str">
        <f>IF(COUNTBLANK(X20)=1,IF(V20&lt;='Config.'!$D$7,"meta","nops"),"")</f>
        <v>meta</v>
      </c>
      <c r="X20" s="54"/>
    </row>
    <row r="21" spans="1:24" ht="19.5" customHeight="1">
      <c r="A21" s="44" t="s">
        <v>31</v>
      </c>
      <c r="B21" s="45">
        <v>18</v>
      </c>
      <c r="C21" s="46">
        <f>IF(COUNTBLANK(I20)=1,(C20*'Config.'!$D$9)+C20,(I20*'Config.'!$D$9)+I20)</f>
        <v>592.01637765097496</v>
      </c>
      <c r="D21" s="46">
        <f>IF(COUNTBLANK(I20)=1,I20*'Config.'!$D$11,I20*'Config.'!$D$11)</f>
        <v>0</v>
      </c>
      <c r="E21" s="46">
        <f t="shared" si="2"/>
        <v>28.191256078617812</v>
      </c>
      <c r="F21" s="47"/>
      <c r="G21" s="48" t="str">
        <f t="shared" si="0"/>
        <v>-</v>
      </c>
      <c r="H21" s="29" t="str">
        <f>IF(COUNTBLANK(I21)=1,IF(C21&lt;='Config.'!$D$7,"meta","nops"),"")</f>
        <v>meta</v>
      </c>
      <c r="I21" s="55"/>
      <c r="J21" s="65"/>
      <c r="K21" s="15"/>
      <c r="L21" s="15"/>
      <c r="M21" s="51" t="str">
        <f t="shared" si="3"/>
        <v/>
      </c>
      <c r="N21" s="51" t="str">
        <f t="shared" si="1"/>
        <v/>
      </c>
      <c r="O21" s="57" t="str">
        <f t="shared" si="4"/>
        <v/>
      </c>
      <c r="P21" s="6"/>
      <c r="Q21" s="6"/>
      <c r="R21" s="6"/>
      <c r="S21" s="6"/>
      <c r="T21" s="6"/>
      <c r="U21" s="6"/>
      <c r="V21" s="32">
        <f>IF(COUNTBLANK(X20)=1,(V20*'Config.'!$D$9)+V20,(X20*'Config.'!$D$9)+X20)</f>
        <v>553.52242374894922</v>
      </c>
      <c r="W21" s="29" t="str">
        <f>IF(COUNTBLANK(X21)=1,IF(V21&lt;='Config.'!$D$7,"meta","nops"),"")</f>
        <v>meta</v>
      </c>
      <c r="X21" s="54"/>
    </row>
    <row r="22" spans="1:24" ht="19.5" customHeight="1">
      <c r="A22" s="44" t="s">
        <v>31</v>
      </c>
      <c r="B22" s="45">
        <v>19</v>
      </c>
      <c r="C22" s="46">
        <f>IF(COUNTBLANK(I21)=1,(C21*'Config.'!$D$9)+C21,(I21*'Config.'!$D$9)+I21)</f>
        <v>621.61719653352372</v>
      </c>
      <c r="D22" s="46">
        <f>IF(COUNTBLANK(I21)=1,I21*'Config.'!$D$11,I21*'Config.'!$D$11)</f>
        <v>0</v>
      </c>
      <c r="E22" s="46">
        <f t="shared" si="2"/>
        <v>29.600818882548765</v>
      </c>
      <c r="F22" s="47"/>
      <c r="G22" s="48" t="str">
        <f t="shared" si="0"/>
        <v>-</v>
      </c>
      <c r="H22" s="29" t="str">
        <f>IF(COUNTBLANK(I22)=1,IF(C22&lt;='Config.'!$D$7,"meta","nops"),"")</f>
        <v>meta</v>
      </c>
      <c r="I22" s="55"/>
      <c r="J22" s="65"/>
      <c r="K22" s="15"/>
      <c r="L22" s="15"/>
      <c r="M22" s="51" t="str">
        <f t="shared" si="3"/>
        <v/>
      </c>
      <c r="N22" s="51" t="str">
        <f t="shared" si="1"/>
        <v/>
      </c>
      <c r="O22" s="57" t="str">
        <f t="shared" si="4"/>
        <v/>
      </c>
      <c r="P22" s="6"/>
      <c r="Q22" s="6"/>
      <c r="R22" s="6"/>
      <c r="S22" s="6"/>
      <c r="T22" s="6"/>
      <c r="U22" s="6"/>
      <c r="V22" s="32">
        <f>IF(COUNTBLANK(X21)=1,(V21*'Config.'!$D$9)+V21,(X21*'Config.'!$D$9)+X21)</f>
        <v>581.19854493639673</v>
      </c>
      <c r="W22" s="29" t="str">
        <f>IF(COUNTBLANK(X22)=1,IF(V22&lt;='Config.'!$D$7,"meta","nops"),"")</f>
        <v>meta</v>
      </c>
      <c r="X22" s="54"/>
    </row>
    <row r="23" spans="1:24" ht="19.5" customHeight="1">
      <c r="A23" s="44" t="s">
        <v>31</v>
      </c>
      <c r="B23" s="45">
        <v>20</v>
      </c>
      <c r="C23" s="46">
        <f>IF(COUNTBLANK(I22)=1,(C22*'Config.'!$D$9)+C22,(I22*'Config.'!$D$9)+I22)</f>
        <v>652.69805636019987</v>
      </c>
      <c r="D23" s="46">
        <f>IF(COUNTBLANK(I22)=1,I22*'Config.'!$D$11,I22*'Config.'!$D$11)</f>
        <v>0</v>
      </c>
      <c r="E23" s="46">
        <f t="shared" si="2"/>
        <v>31.080859826676146</v>
      </c>
      <c r="F23" s="47"/>
      <c r="G23" s="48" t="str">
        <f t="shared" si="0"/>
        <v>-</v>
      </c>
      <c r="H23" s="29" t="str">
        <f>IF(COUNTBLANK(I23)=1,IF(C23&lt;='Config.'!$D$7,"meta","nops"),"")</f>
        <v>meta</v>
      </c>
      <c r="I23" s="55"/>
      <c r="J23" s="65"/>
      <c r="K23" s="15"/>
      <c r="L23" s="15"/>
      <c r="M23" s="51" t="str">
        <f t="shared" si="3"/>
        <v/>
      </c>
      <c r="N23" s="51" t="str">
        <f t="shared" si="1"/>
        <v/>
      </c>
      <c r="O23" s="57" t="str">
        <f t="shared" si="4"/>
        <v/>
      </c>
      <c r="P23" s="6"/>
      <c r="Q23" s="6"/>
      <c r="R23" s="6"/>
      <c r="S23" s="6"/>
      <c r="T23" s="6"/>
      <c r="U23" s="6"/>
      <c r="V23" s="32">
        <f>IF(COUNTBLANK(X22)=1,(V22*'Config.'!$D$9)+V22,(X22*'Config.'!$D$9)+X22)</f>
        <v>610.25847218321655</v>
      </c>
      <c r="W23" s="29" t="str">
        <f>IF(COUNTBLANK(X23)=1,IF(V23&lt;='Config.'!$D$7,"meta","nops"),"")</f>
        <v>meta</v>
      </c>
      <c r="X23" s="54"/>
    </row>
    <row r="24" spans="1:24" ht="19.5" customHeight="1">
      <c r="A24" s="44" t="s">
        <v>31</v>
      </c>
      <c r="B24" s="45">
        <v>21</v>
      </c>
      <c r="C24" s="46">
        <f>IF(COUNTBLANK(I23)=1,(C23*'Config.'!$D$9)+C23,(I23*'Config.'!$D$9)+I23)</f>
        <v>685.33295917820988</v>
      </c>
      <c r="D24" s="46">
        <f>IF(COUNTBLANK(I23)=1,I23*'Config.'!$D$11,I23*'Config.'!$D$11)</f>
        <v>0</v>
      </c>
      <c r="E24" s="46">
        <f t="shared" si="2"/>
        <v>32.634902818010005</v>
      </c>
      <c r="F24" s="47"/>
      <c r="G24" s="48" t="str">
        <f t="shared" si="0"/>
        <v>-</v>
      </c>
      <c r="H24" s="29" t="str">
        <f>IF(COUNTBLANK(I24)=1,IF(C24&lt;='Config.'!$D$7,"meta","nops"),"")</f>
        <v>meta</v>
      </c>
      <c r="I24" s="55"/>
      <c r="J24" s="65"/>
      <c r="K24" s="15"/>
      <c r="L24" s="15"/>
      <c r="M24" s="51" t="str">
        <f t="shared" si="3"/>
        <v/>
      </c>
      <c r="N24" s="51" t="str">
        <f t="shared" si="1"/>
        <v/>
      </c>
      <c r="O24" s="57" t="str">
        <f t="shared" si="4"/>
        <v/>
      </c>
      <c r="P24" s="6"/>
      <c r="Q24" s="6"/>
      <c r="R24" s="6"/>
      <c r="S24" s="6"/>
      <c r="T24" s="6"/>
      <c r="U24" s="6"/>
      <c r="V24" s="32">
        <f>IF(COUNTBLANK(X23)=1,(V23*'Config.'!$D$9)+V23,(X23*'Config.'!$D$9)+X23)</f>
        <v>640.77139579237735</v>
      </c>
      <c r="W24" s="29" t="str">
        <f>IF(COUNTBLANK(X24)=1,IF(V24&lt;='Config.'!$D$7,"meta","nops"),"")</f>
        <v>meta</v>
      </c>
      <c r="X24" s="54"/>
    </row>
    <row r="25" spans="1:24" ht="19.5" customHeight="1">
      <c r="A25" s="44" t="s">
        <v>31</v>
      </c>
      <c r="B25" s="45">
        <v>22</v>
      </c>
      <c r="C25" s="46">
        <f>IF(COUNTBLANK(I24)=1,(C24*'Config.'!$D$9)+C24,(I24*'Config.'!$D$9)+I24)</f>
        <v>719.59960713712042</v>
      </c>
      <c r="D25" s="46">
        <f>IF(COUNTBLANK(I24)=1,I24*'Config.'!$D$11,I24*'Config.'!$D$11)</f>
        <v>0</v>
      </c>
      <c r="E25" s="46">
        <f t="shared" si="2"/>
        <v>34.266647958910539</v>
      </c>
      <c r="F25" s="47"/>
      <c r="G25" s="48" t="str">
        <f t="shared" si="0"/>
        <v>-</v>
      </c>
      <c r="H25" s="29" t="str">
        <f>IF(COUNTBLANK(I25)=1,IF(C25&lt;='Config.'!$D$7,"meta","nops"),"")</f>
        <v>meta</v>
      </c>
      <c r="I25" s="55"/>
      <c r="J25" s="65"/>
      <c r="K25" s="15"/>
      <c r="L25" s="15"/>
      <c r="M25" s="51" t="str">
        <f t="shared" si="3"/>
        <v/>
      </c>
      <c r="N25" s="51" t="str">
        <f t="shared" si="1"/>
        <v/>
      </c>
      <c r="O25" s="57" t="str">
        <f t="shared" si="4"/>
        <v/>
      </c>
      <c r="P25" s="6"/>
      <c r="Q25" s="67"/>
      <c r="R25" s="6"/>
      <c r="S25" s="6"/>
      <c r="T25" s="6"/>
      <c r="U25" s="6"/>
      <c r="V25" s="32">
        <f>IF(COUNTBLANK(X24)=1,(V24*'Config.'!$D$9)+V24,(X24*'Config.'!$D$9)+X24)</f>
        <v>672.80996558199627</v>
      </c>
      <c r="W25" s="29" t="str">
        <f>IF(COUNTBLANK(X25)=1,IF(V25&lt;='Config.'!$D$7,"meta","nops"),"")</f>
        <v>meta</v>
      </c>
      <c r="X25" s="54"/>
    </row>
    <row r="26" spans="1:24" ht="19.5" customHeight="1">
      <c r="A26" s="44" t="s">
        <v>31</v>
      </c>
      <c r="B26" s="45">
        <v>23</v>
      </c>
      <c r="C26" s="46">
        <f>IF(COUNTBLANK(I25)=1,(C25*'Config.'!$D$9)+C25,(I25*'Config.'!$D$9)+I25)</f>
        <v>755.57958749397642</v>
      </c>
      <c r="D26" s="46">
        <f>IF(COUNTBLANK(I25)=1,I25*'Config.'!$D$11,I25*'Config.'!$D$11)</f>
        <v>0</v>
      </c>
      <c r="E26" s="46">
        <f t="shared" si="2"/>
        <v>35.979980356856004</v>
      </c>
      <c r="F26" s="47"/>
      <c r="G26" s="48" t="str">
        <f t="shared" si="0"/>
        <v>-</v>
      </c>
      <c r="H26" s="29" t="str">
        <f>IF(COUNTBLANK(I26)=1,IF(C26&lt;='Config.'!$D$7,"meta","nops"),"")</f>
        <v>meta</v>
      </c>
      <c r="I26" s="55"/>
      <c r="J26" s="65"/>
      <c r="K26" s="15"/>
      <c r="L26" s="15"/>
      <c r="M26" s="51" t="str">
        <f t="shared" si="3"/>
        <v/>
      </c>
      <c r="N26" s="51" t="str">
        <f t="shared" si="1"/>
        <v/>
      </c>
      <c r="O26" s="57" t="str">
        <f t="shared" si="4"/>
        <v/>
      </c>
      <c r="P26" s="6"/>
      <c r="Q26" s="6"/>
      <c r="R26" s="6"/>
      <c r="S26" s="6"/>
      <c r="T26" s="6"/>
      <c r="U26" s="6"/>
      <c r="V26" s="32">
        <f>IF(COUNTBLANK(X25)=1,(V25*'Config.'!$D$9)+V25,(X25*'Config.'!$D$9)+X25)</f>
        <v>706.45046386109607</v>
      </c>
      <c r="W26" s="29" t="str">
        <f>IF(COUNTBLANK(X26)=1,IF(V26&lt;='Config.'!$D$7,"meta","nops"),"")</f>
        <v>meta</v>
      </c>
      <c r="X26" s="54"/>
    </row>
    <row r="27" spans="1:24" ht="19.5" customHeight="1">
      <c r="A27" s="44" t="s">
        <v>31</v>
      </c>
      <c r="B27" s="45">
        <v>24</v>
      </c>
      <c r="C27" s="46">
        <f>IF(COUNTBLANK(I26)=1,(C26*'Config.'!$D$9)+C26,(I26*'Config.'!$D$9)+I26)</f>
        <v>793.35856686867521</v>
      </c>
      <c r="D27" s="46">
        <f>IF(COUNTBLANK(I26)=1,I26*'Config.'!$D$11,I26*'Config.'!$D$11)</f>
        <v>0</v>
      </c>
      <c r="E27" s="46">
        <f t="shared" si="2"/>
        <v>37.778979374698793</v>
      </c>
      <c r="F27" s="47"/>
      <c r="G27" s="48" t="str">
        <f t="shared" si="0"/>
        <v>-</v>
      </c>
      <c r="H27" s="29" t="str">
        <f>IF(COUNTBLANK(I27)=1,IF(C27&lt;='Config.'!$D$7,"meta","nops"),"")</f>
        <v>meta</v>
      </c>
      <c r="I27" s="55"/>
      <c r="J27" s="65"/>
      <c r="K27" s="15"/>
      <c r="L27" s="15"/>
      <c r="M27" s="51" t="str">
        <f t="shared" si="3"/>
        <v/>
      </c>
      <c r="N27" s="51" t="str">
        <f t="shared" si="1"/>
        <v/>
      </c>
      <c r="O27" s="57" t="str">
        <f t="shared" si="4"/>
        <v/>
      </c>
      <c r="P27" s="6"/>
      <c r="Q27" s="6"/>
      <c r="R27" s="6"/>
      <c r="S27" s="6"/>
      <c r="T27" s="6"/>
      <c r="U27" s="6"/>
      <c r="V27" s="32">
        <f>IF(COUNTBLANK(X26)=1,(V26*'Config.'!$D$9)+V26,(X26*'Config.'!$D$9)+X26)</f>
        <v>741.77298705415092</v>
      </c>
      <c r="W27" s="29" t="str">
        <f>IF(COUNTBLANK(X27)=1,IF(V27&lt;='Config.'!$D$7,"meta","nops"),"")</f>
        <v>meta</v>
      </c>
      <c r="X27" s="54"/>
    </row>
    <row r="28" spans="1:24" ht="19.5" customHeight="1">
      <c r="A28" s="44" t="s">
        <v>31</v>
      </c>
      <c r="B28" s="45">
        <v>25</v>
      </c>
      <c r="C28" s="46">
        <f>IF(COUNTBLANK(I27)=1,(C27*'Config.'!$D$9)+C27,(I27*'Config.'!$D$9)+I27)</f>
        <v>833.02649521210901</v>
      </c>
      <c r="D28" s="46">
        <f>IF(COUNTBLANK(I27)=1,I27*'Config.'!$D$11,I27*'Config.'!$D$11)</f>
        <v>0</v>
      </c>
      <c r="E28" s="46">
        <f t="shared" si="2"/>
        <v>39.6679283434338</v>
      </c>
      <c r="F28" s="47"/>
      <c r="G28" s="48" t="str">
        <f t="shared" si="0"/>
        <v>-</v>
      </c>
      <c r="H28" s="29" t="str">
        <f>IF(COUNTBLANK(I28)=1,IF(C28&lt;='Config.'!$D$7,"meta","nops"),"")</f>
        <v>meta</v>
      </c>
      <c r="I28" s="55"/>
      <c r="J28" s="65"/>
      <c r="K28" s="15"/>
      <c r="L28" s="15"/>
      <c r="M28" s="51" t="str">
        <f t="shared" si="3"/>
        <v/>
      </c>
      <c r="N28" s="51" t="str">
        <f t="shared" si="1"/>
        <v/>
      </c>
      <c r="O28" s="57" t="str">
        <f t="shared" si="4"/>
        <v/>
      </c>
      <c r="P28" s="6"/>
      <c r="Q28" s="6"/>
      <c r="R28" s="6"/>
      <c r="S28" s="6"/>
      <c r="T28" s="6"/>
      <c r="U28" s="6"/>
      <c r="V28" s="32">
        <f>IF(COUNTBLANK(X27)=1,(V27*'Config.'!$D$9)+V27,(X27*'Config.'!$D$9)+X27)</f>
        <v>778.86163640685845</v>
      </c>
      <c r="W28" s="29" t="str">
        <f>IF(COUNTBLANK(X28)=1,IF(V28&lt;='Config.'!$D$7,"meta","nops"),"")</f>
        <v>meta</v>
      </c>
      <c r="X28" s="54"/>
    </row>
    <row r="29" spans="1:24" ht="19.5" customHeight="1">
      <c r="A29" s="44" t="s">
        <v>31</v>
      </c>
      <c r="B29" s="45">
        <v>26</v>
      </c>
      <c r="C29" s="46">
        <f>IF(COUNTBLANK(I28)=1,(C28*'Config.'!$D$9)+C28,(I28*'Config.'!$D$9)+I28)</f>
        <v>874.67781997271447</v>
      </c>
      <c r="D29" s="46">
        <f>IF(COUNTBLANK(I28)=1,I28*'Config.'!$D$11,I28*'Config.'!$D$11)</f>
        <v>0</v>
      </c>
      <c r="E29" s="46">
        <f t="shared" si="2"/>
        <v>41.651324760605462</v>
      </c>
      <c r="F29" s="47"/>
      <c r="G29" s="48" t="str">
        <f t="shared" si="0"/>
        <v>-</v>
      </c>
      <c r="H29" s="29" t="str">
        <f>IF(COUNTBLANK(I29)=1,IF(C29&lt;='Config.'!$D$7,"meta","nops"),"")</f>
        <v>meta</v>
      </c>
      <c r="I29" s="55"/>
      <c r="J29" s="65"/>
      <c r="K29" s="15"/>
      <c r="L29" s="15"/>
      <c r="M29" s="51" t="str">
        <f t="shared" si="3"/>
        <v/>
      </c>
      <c r="N29" s="51" t="str">
        <f t="shared" si="1"/>
        <v/>
      </c>
      <c r="O29" s="57" t="str">
        <f t="shared" si="4"/>
        <v/>
      </c>
      <c r="P29" s="6"/>
      <c r="Q29" s="6"/>
      <c r="R29" s="6"/>
      <c r="S29" s="6"/>
      <c r="T29" s="6"/>
      <c r="U29" s="6"/>
      <c r="V29" s="32">
        <f>IF(COUNTBLANK(X28)=1,(V28*'Config.'!$D$9)+V28,(X28*'Config.'!$D$9)+X28)</f>
        <v>817.80471822720142</v>
      </c>
      <c r="W29" s="29" t="str">
        <f>IF(COUNTBLANK(X29)=1,IF(V29&lt;='Config.'!$D$7,"meta","nops"),"")</f>
        <v>meta</v>
      </c>
      <c r="X29" s="54"/>
    </row>
    <row r="30" spans="1:24" ht="19.5" customHeight="1">
      <c r="A30" s="44" t="s">
        <v>31</v>
      </c>
      <c r="B30" s="45">
        <v>27</v>
      </c>
      <c r="C30" s="46">
        <f>IF(COUNTBLANK(I29)=1,(C29*'Config.'!$D$9)+C29,(I29*'Config.'!$D$9)+I29)</f>
        <v>918.4117109713502</v>
      </c>
      <c r="D30" s="46">
        <f>IF(COUNTBLANK(I29)=1,I29*'Config.'!$D$11,I29*'Config.'!$D$11)</f>
        <v>0</v>
      </c>
      <c r="E30" s="46">
        <f t="shared" si="2"/>
        <v>43.733890998635729</v>
      </c>
      <c r="F30" s="47"/>
      <c r="G30" s="48" t="str">
        <f t="shared" si="0"/>
        <v>-</v>
      </c>
      <c r="H30" s="29" t="str">
        <f>IF(COUNTBLANK(I30)=1,IF(C30&lt;='Config.'!$D$7,"meta","nops"),"")</f>
        <v>meta</v>
      </c>
      <c r="I30" s="55"/>
      <c r="J30" s="65"/>
      <c r="K30" s="15"/>
      <c r="L30" s="15"/>
      <c r="M30" s="51" t="str">
        <f t="shared" si="3"/>
        <v/>
      </c>
      <c r="N30" s="51" t="str">
        <f t="shared" si="1"/>
        <v/>
      </c>
      <c r="O30" s="57" t="str">
        <f t="shared" si="4"/>
        <v/>
      </c>
      <c r="P30" s="6"/>
      <c r="Q30" s="6"/>
      <c r="R30" s="6"/>
      <c r="S30" s="6"/>
      <c r="T30" s="6"/>
      <c r="U30" s="6"/>
      <c r="V30" s="32">
        <f>IF(COUNTBLANK(X29)=1,(V29*'Config.'!$D$9)+V29,(X29*'Config.'!$D$9)+X29)</f>
        <v>858.69495413856146</v>
      </c>
      <c r="W30" s="29" t="str">
        <f>IF(COUNTBLANK(X30)=1,IF(V30&lt;='Config.'!$D$7,"meta","nops"),"")</f>
        <v>meta</v>
      </c>
      <c r="X30" s="54"/>
    </row>
    <row r="31" spans="1:24" ht="19.5" customHeight="1">
      <c r="A31" s="44" t="s">
        <v>31</v>
      </c>
      <c r="B31" s="45">
        <v>28</v>
      </c>
      <c r="C31" s="46">
        <f>IF(COUNTBLANK(I30)=1,(C30*'Config.'!$D$9)+C30,(I30*'Config.'!$D$9)+I30)</f>
        <v>964.33229651991769</v>
      </c>
      <c r="D31" s="46">
        <f>IF(COUNTBLANK(I30)=1,I30*'Config.'!$D$11,I30*'Config.'!$D$11)</f>
        <v>0</v>
      </c>
      <c r="E31" s="46">
        <f t="shared" si="2"/>
        <v>45.920585548567487</v>
      </c>
      <c r="F31" s="47"/>
      <c r="G31" s="48" t="str">
        <f t="shared" si="0"/>
        <v>-</v>
      </c>
      <c r="H31" s="29" t="str">
        <f>IF(COUNTBLANK(I31)=1,IF(C31&lt;='Config.'!$D$7,"meta","nops"),"")</f>
        <v>meta</v>
      </c>
      <c r="I31" s="55"/>
      <c r="J31" s="65"/>
      <c r="K31" s="15"/>
      <c r="L31" s="15"/>
      <c r="M31" s="51" t="str">
        <f t="shared" si="3"/>
        <v/>
      </c>
      <c r="N31" s="51" t="str">
        <f t="shared" si="1"/>
        <v/>
      </c>
      <c r="O31" s="57" t="str">
        <f t="shared" si="4"/>
        <v/>
      </c>
      <c r="P31" s="6"/>
      <c r="Q31" s="6"/>
      <c r="R31" s="6"/>
      <c r="S31" s="6"/>
      <c r="T31" s="6"/>
      <c r="U31" s="6"/>
      <c r="V31" s="32">
        <f>IF(COUNTBLANK(X30)=1,(V30*'Config.'!$D$9)+V30,(X30*'Config.'!$D$9)+X30)</f>
        <v>901.62970184548954</v>
      </c>
      <c r="W31" s="29" t="str">
        <f>IF(COUNTBLANK(X31)=1,IF(V31&lt;='Config.'!$D$7,"meta","nops"),"")</f>
        <v>meta</v>
      </c>
      <c r="X31" s="54"/>
    </row>
    <row r="32" spans="1:24" ht="19.5" customHeight="1">
      <c r="A32" s="44" t="s">
        <v>31</v>
      </c>
      <c r="B32" s="45">
        <v>29</v>
      </c>
      <c r="C32" s="46">
        <f>IF(COUNTBLANK(I31)=1,(C31*'Config.'!$D$9)+C31,(I31*'Config.'!$D$9)+I31)</f>
        <v>1012.5489113459136</v>
      </c>
      <c r="D32" s="46">
        <f>IF(COUNTBLANK(I31)=1,I31*'Config.'!$D$11,I31*'Config.'!$D$11)</f>
        <v>0</v>
      </c>
      <c r="E32" s="46">
        <f t="shared" si="2"/>
        <v>48.216614825995862</v>
      </c>
      <c r="F32" s="47"/>
      <c r="G32" s="48" t="str">
        <f t="shared" si="0"/>
        <v>-</v>
      </c>
      <c r="H32" s="29" t="str">
        <f>IF(COUNTBLANK(I32)=1,IF(C32&lt;='Config.'!$D$7,"meta","nops"),"")</f>
        <v>nops</v>
      </c>
      <c r="I32" s="55"/>
      <c r="J32" s="65"/>
      <c r="K32" s="15"/>
      <c r="L32" s="15"/>
      <c r="M32" s="51" t="str">
        <f t="shared" si="3"/>
        <v/>
      </c>
      <c r="N32" s="51" t="str">
        <f t="shared" si="1"/>
        <v/>
      </c>
      <c r="O32" s="57" t="str">
        <f t="shared" si="4"/>
        <v/>
      </c>
      <c r="P32" s="6"/>
      <c r="Q32" s="6"/>
      <c r="R32" s="6"/>
      <c r="S32" s="6"/>
      <c r="T32" s="6"/>
      <c r="U32" s="6"/>
      <c r="V32" s="32">
        <f>IF(COUNTBLANK(X31)=1,(V31*'Config.'!$D$9)+V31,(X31*'Config.'!$D$9)+X31)</f>
        <v>946.71118693776407</v>
      </c>
      <c r="W32" s="29" t="str">
        <f>IF(COUNTBLANK(X32)=1,IF(V32&lt;='Config.'!$D$7,"meta","nops"),"")</f>
        <v>meta</v>
      </c>
      <c r="X32" s="54"/>
    </row>
    <row r="33" spans="1:24" ht="19.5" customHeight="1">
      <c r="A33" s="44" t="s">
        <v>31</v>
      </c>
      <c r="B33" s="45">
        <v>30</v>
      </c>
      <c r="C33" s="46">
        <f>IF(COUNTBLANK(I32)=1,(C32*'Config.'!$D$9)+C32,(I32*'Config.'!$D$9)+I32)</f>
        <v>1063.1763569132092</v>
      </c>
      <c r="D33" s="46">
        <f>IF(COUNTBLANK(I32)=1,I32*'Config.'!$D$11,I32*'Config.'!$D$11)</f>
        <v>0</v>
      </c>
      <c r="E33" s="46">
        <f t="shared" si="2"/>
        <v>50.627445567295695</v>
      </c>
      <c r="F33" s="47"/>
      <c r="G33" s="48" t="str">
        <f t="shared" si="0"/>
        <v>-</v>
      </c>
      <c r="H33" s="29" t="str">
        <f>IF(COUNTBLANK(I33)=1,IF(C33&lt;='Config.'!$D$7,"meta","nops"),"")</f>
        <v>nops</v>
      </c>
      <c r="I33" s="55"/>
      <c r="J33" s="65"/>
      <c r="K33" s="15"/>
      <c r="L33" s="15"/>
      <c r="M33" s="51" t="str">
        <f t="shared" si="3"/>
        <v/>
      </c>
      <c r="N33" s="51" t="str">
        <f t="shared" si="1"/>
        <v/>
      </c>
      <c r="O33" s="57" t="str">
        <f t="shared" si="4"/>
        <v/>
      </c>
      <c r="P33" s="6"/>
      <c r="Q33" s="6"/>
      <c r="R33" s="6"/>
      <c r="S33" s="6"/>
      <c r="T33" s="6"/>
      <c r="U33" s="6"/>
      <c r="V33" s="32">
        <f>IF(COUNTBLANK(X32)=1,(V32*'Config.'!$D$9)+V32,(X32*'Config.'!$D$9)+X32)</f>
        <v>994.04674628465227</v>
      </c>
      <c r="W33" s="29" t="str">
        <f>IF(COUNTBLANK(X33)=1,IF(V33&lt;='Config.'!$D$7,"meta","nops"),"")</f>
        <v>meta</v>
      </c>
      <c r="X33" s="54"/>
    </row>
    <row r="34" spans="1:24" ht="19.5" customHeight="1">
      <c r="A34" s="44" t="s">
        <v>31</v>
      </c>
      <c r="B34" s="45">
        <v>31</v>
      </c>
      <c r="C34" s="46">
        <f>IF(COUNTBLANK(I33)=1,(C33*'Config.'!$D$9)+C33,(I33*'Config.'!$D$9)+I33)</f>
        <v>1116.3351747588697</v>
      </c>
      <c r="D34" s="46">
        <f>IF(COUNTBLANK(I33)=1,I33*'Config.'!$D$11,I33*'Config.'!$D$11)</f>
        <v>0</v>
      </c>
      <c r="E34" s="46">
        <f t="shared" si="2"/>
        <v>53.158817845660451</v>
      </c>
      <c r="F34" s="47"/>
      <c r="G34" s="48" t="str">
        <f t="shared" si="0"/>
        <v>-</v>
      </c>
      <c r="H34" s="29" t="str">
        <f>IF(COUNTBLANK(I34)=1,IF(C34&lt;='Config.'!$D$7,"meta","nops"),"")</f>
        <v>nops</v>
      </c>
      <c r="I34" s="55"/>
      <c r="J34" s="65"/>
      <c r="K34" s="15"/>
      <c r="L34" s="15"/>
      <c r="M34" s="51" t="str">
        <f t="shared" si="3"/>
        <v/>
      </c>
      <c r="N34" s="51" t="str">
        <f t="shared" si="1"/>
        <v/>
      </c>
      <c r="O34" s="57" t="str">
        <f t="shared" si="4"/>
        <v/>
      </c>
      <c r="P34" s="6"/>
      <c r="Q34" s="6"/>
      <c r="R34" s="6"/>
      <c r="S34" s="6"/>
      <c r="T34" s="6"/>
      <c r="U34" s="6"/>
      <c r="V34" s="32">
        <f>IF(COUNTBLANK(X33)=1,(V33*'Config.'!$D$9)+V33,(X33*'Config.'!$D$9)+X33)</f>
        <v>1043.7490835988849</v>
      </c>
      <c r="W34" s="29" t="str">
        <f>IF(COUNTBLANK(X34)=1,IF(V34&lt;='Config.'!$D$7,"meta","nops"),"")</f>
        <v>nops</v>
      </c>
      <c r="X34" s="54"/>
    </row>
    <row r="35" spans="1:24" ht="19.5" customHeight="1">
      <c r="A35" s="44" t="s">
        <v>31</v>
      </c>
      <c r="B35" s="45">
        <v>32</v>
      </c>
      <c r="C35" s="46">
        <f>IF(COUNTBLANK(I34)=1,(C34*'Config.'!$D$9)+C34,(I34*'Config.'!$D$9)+I34)</f>
        <v>1172.1519334968132</v>
      </c>
      <c r="D35" s="46">
        <f>IF(COUNTBLANK(I34)=1,I34*'Config.'!$D$11,I34*'Config.'!$D$11)</f>
        <v>0</v>
      </c>
      <c r="E35" s="46">
        <f t="shared" si="2"/>
        <v>55.816758737943474</v>
      </c>
      <c r="F35" s="47"/>
      <c r="G35" s="48" t="str">
        <f t="shared" si="0"/>
        <v>-</v>
      </c>
      <c r="H35" s="29" t="str">
        <f>IF(COUNTBLANK(I35)=1,IF(C35&lt;='Config.'!$D$7,"meta","nops"),"")</f>
        <v>nops</v>
      </c>
      <c r="I35" s="55"/>
      <c r="J35" s="65"/>
      <c r="K35" s="15"/>
      <c r="L35" s="15"/>
      <c r="M35" s="51" t="str">
        <f t="shared" si="3"/>
        <v/>
      </c>
      <c r="N35" s="51" t="str">
        <f t="shared" si="1"/>
        <v/>
      </c>
      <c r="O35" s="57" t="str">
        <f t="shared" si="4"/>
        <v/>
      </c>
      <c r="P35" s="6"/>
      <c r="Q35" s="6"/>
      <c r="R35" s="6"/>
      <c r="S35" s="6"/>
      <c r="T35" s="6"/>
      <c r="U35" s="6"/>
      <c r="V35" s="32">
        <f>IF(COUNTBLANK(X34)=1,(V34*'Config.'!$D$9)+V34,(X34*'Config.'!$D$9)+X34)</f>
        <v>1095.9365377788292</v>
      </c>
      <c r="W35" s="29" t="str">
        <f>IF(COUNTBLANK(X35)=1,IF(V35&lt;='Config.'!$D$7,"meta","nops"),"")</f>
        <v>nops</v>
      </c>
      <c r="X35" s="54"/>
    </row>
    <row r="36" spans="1:24" ht="19.5" customHeight="1">
      <c r="A36" s="44" t="s">
        <v>31</v>
      </c>
      <c r="B36" s="45">
        <v>33</v>
      </c>
      <c r="C36" s="46">
        <f>IF(COUNTBLANK(I35)=1,(C35*'Config.'!$D$9)+C35,(I35*'Config.'!$D$9)+I35)</f>
        <v>1230.7595301716538</v>
      </c>
      <c r="D36" s="46">
        <f>IF(COUNTBLANK(I35)=1,I35*'Config.'!$D$11,I35*'Config.'!$D$11)</f>
        <v>0</v>
      </c>
      <c r="E36" s="46">
        <f t="shared" si="2"/>
        <v>58.607596674840579</v>
      </c>
      <c r="F36" s="47"/>
      <c r="G36" s="48" t="str">
        <f t="shared" si="0"/>
        <v>-</v>
      </c>
      <c r="H36" s="29" t="str">
        <f>IF(COUNTBLANK(I36)=1,IF(C36&lt;='Config.'!$D$7,"meta","nops"),"")</f>
        <v>nops</v>
      </c>
      <c r="I36" s="55"/>
      <c r="J36" s="65"/>
      <c r="K36" s="15"/>
      <c r="L36" s="15"/>
      <c r="M36" s="51" t="str">
        <f t="shared" si="3"/>
        <v/>
      </c>
      <c r="N36" s="51" t="str">
        <f t="shared" si="1"/>
        <v/>
      </c>
      <c r="O36" s="57" t="str">
        <f t="shared" si="4"/>
        <v/>
      </c>
      <c r="P36" s="6"/>
      <c r="Q36" s="6"/>
      <c r="R36" s="6"/>
      <c r="S36" s="6"/>
      <c r="T36" s="6"/>
      <c r="U36" s="6"/>
      <c r="V36" s="32">
        <f>IF(COUNTBLANK(X35)=1,(V35*'Config.'!$D$9)+V35,(X35*'Config.'!$D$9)+X35)</f>
        <v>1150.7333646677707</v>
      </c>
      <c r="W36" s="29" t="str">
        <f>IF(COUNTBLANK(X36)=1,IF(V36&lt;='Config.'!$D$7,"meta","nops"),"")</f>
        <v>nops</v>
      </c>
      <c r="X36" s="54"/>
    </row>
    <row r="37" spans="1:24" ht="19.5" customHeight="1">
      <c r="A37" s="44" t="s">
        <v>31</v>
      </c>
      <c r="B37" s="45">
        <v>34</v>
      </c>
      <c r="C37" s="46">
        <f>IF(COUNTBLANK(I36)=1,(C36*'Config.'!$D$9)+C36,(I36*'Config.'!$D$9)+I36)</f>
        <v>1292.2975066802364</v>
      </c>
      <c r="D37" s="46">
        <f>IF(COUNTBLANK(I36)=1,I36*'Config.'!$D$11,I36*'Config.'!$D$11)</f>
        <v>0</v>
      </c>
      <c r="E37" s="46">
        <f t="shared" si="2"/>
        <v>61.537976508582688</v>
      </c>
      <c r="F37" s="47"/>
      <c r="G37" s="48" t="str">
        <f t="shared" si="0"/>
        <v>-</v>
      </c>
      <c r="H37" s="29" t="str">
        <f>IF(COUNTBLANK(I37)=1,IF(C37&lt;='Config.'!$D$7,"meta","nops"),"")</f>
        <v>nops</v>
      </c>
      <c r="I37" s="55"/>
      <c r="J37" s="65"/>
      <c r="K37" s="15"/>
      <c r="L37" s="15"/>
      <c r="M37" s="51" t="str">
        <f t="shared" si="3"/>
        <v/>
      </c>
      <c r="N37" s="51" t="str">
        <f t="shared" si="1"/>
        <v/>
      </c>
      <c r="O37" s="57" t="str">
        <f t="shared" si="4"/>
        <v/>
      </c>
      <c r="P37" s="6"/>
      <c r="Q37" s="6"/>
      <c r="R37" s="6"/>
      <c r="S37" s="6"/>
      <c r="T37" s="6"/>
      <c r="U37" s="6"/>
      <c r="V37" s="32">
        <f>IF(COUNTBLANK(X36)=1,(V36*'Config.'!$D$9)+V36,(X36*'Config.'!$D$9)+X36)</f>
        <v>1208.2700329011593</v>
      </c>
      <c r="W37" s="29" t="str">
        <f>IF(COUNTBLANK(X37)=1,IF(V37&lt;='Config.'!$D$7,"meta","nops"),"")</f>
        <v>nops</v>
      </c>
      <c r="X37" s="54"/>
    </row>
    <row r="38" spans="1:24" ht="19.5" customHeight="1">
      <c r="A38" s="44" t="s">
        <v>31</v>
      </c>
      <c r="B38" s="45">
        <v>35</v>
      </c>
      <c r="C38" s="46">
        <f>IF(COUNTBLANK(I37)=1,(C37*'Config.'!$D$9)+C37,(I37*'Config.'!$D$9)+I37)</f>
        <v>1356.9123820142484</v>
      </c>
      <c r="D38" s="46">
        <f>IF(COUNTBLANK(I37)=1,I37*'Config.'!$D$11,I37*'Config.'!$D$11)</f>
        <v>0</v>
      </c>
      <c r="E38" s="46">
        <f t="shared" si="2"/>
        <v>64.614875334011913</v>
      </c>
      <c r="F38" s="47"/>
      <c r="G38" s="48" t="str">
        <f t="shared" si="0"/>
        <v>-</v>
      </c>
      <c r="H38" s="29" t="str">
        <f>IF(COUNTBLANK(I38)=1,IF(C38&lt;='Config.'!$D$7,"meta","nops"),"")</f>
        <v>nops</v>
      </c>
      <c r="I38" s="55"/>
      <c r="J38" s="65"/>
      <c r="K38" s="15"/>
      <c r="L38" s="15"/>
      <c r="M38" s="51" t="str">
        <f t="shared" si="3"/>
        <v/>
      </c>
      <c r="N38" s="51" t="str">
        <f t="shared" si="1"/>
        <v/>
      </c>
      <c r="O38" s="57" t="str">
        <f t="shared" si="4"/>
        <v/>
      </c>
      <c r="P38" s="6"/>
      <c r="Q38" s="6"/>
      <c r="R38" s="6"/>
      <c r="S38" s="6"/>
      <c r="T38" s="6"/>
      <c r="U38" s="6"/>
      <c r="V38" s="32">
        <f>IF(COUNTBLANK(X37)=1,(V37*'Config.'!$D$9)+V37,(X37*'Config.'!$D$9)+X37)</f>
        <v>1268.6835345462173</v>
      </c>
      <c r="W38" s="29" t="str">
        <f>IF(COUNTBLANK(X38)=1,IF(V38&lt;='Config.'!$D$7,"meta","nops"),"")</f>
        <v>nops</v>
      </c>
      <c r="X38" s="54"/>
    </row>
    <row r="39" spans="1:24" ht="19.5" customHeight="1">
      <c r="A39" s="44" t="s">
        <v>31</v>
      </c>
      <c r="B39" s="45">
        <v>36</v>
      </c>
      <c r="C39" s="46">
        <f>IF(COUNTBLANK(I38)=1,(C38*'Config.'!$D$9)+C38,(I38*'Config.'!$D$9)+I38)</f>
        <v>1424.7580011149607</v>
      </c>
      <c r="D39" s="46">
        <f>IF(COUNTBLANK(I38)=1,I38*'Config.'!$D$11,I38*'Config.'!$D$11)</f>
        <v>0</v>
      </c>
      <c r="E39" s="46">
        <f t="shared" si="2"/>
        <v>67.845619100712383</v>
      </c>
      <c r="F39" s="47"/>
      <c r="G39" s="48" t="str">
        <f t="shared" si="0"/>
        <v>-</v>
      </c>
      <c r="H39" s="29" t="str">
        <f>IF(COUNTBLANK(I39)=1,IF(C39&lt;='Config.'!$D$7,"meta","nops"),"")</f>
        <v>nops</v>
      </c>
      <c r="I39" s="55"/>
      <c r="J39" s="65"/>
      <c r="K39" s="15"/>
      <c r="L39" s="15"/>
      <c r="M39" s="51" t="str">
        <f t="shared" si="3"/>
        <v/>
      </c>
      <c r="N39" s="51" t="str">
        <f t="shared" si="1"/>
        <v/>
      </c>
      <c r="O39" s="57" t="str">
        <f t="shared" si="4"/>
        <v/>
      </c>
      <c r="P39" s="6"/>
      <c r="Q39" s="6"/>
      <c r="R39" s="6"/>
      <c r="S39" s="6"/>
      <c r="T39" s="6"/>
      <c r="U39" s="6"/>
      <c r="V39" s="32">
        <f>IF(COUNTBLANK(X38)=1,(V38*'Config.'!$D$9)+V38,(X38*'Config.'!$D$9)+X38)</f>
        <v>1332.1177112735281</v>
      </c>
      <c r="W39" s="29" t="str">
        <f>IF(COUNTBLANK(X39)=1,IF(V39&lt;='Config.'!$D$7,"meta","nops"),"")</f>
        <v>nops</v>
      </c>
      <c r="X39" s="54"/>
    </row>
    <row r="40" spans="1:24" ht="19.5" customHeight="1">
      <c r="A40" s="44" t="s">
        <v>31</v>
      </c>
      <c r="B40" s="45">
        <v>37</v>
      </c>
      <c r="C40" s="46">
        <f>IF(COUNTBLANK(I39)=1,(C39*'Config.'!$D$9)+C39,(I39*'Config.'!$D$9)+I39)</f>
        <v>1495.9959011707087</v>
      </c>
      <c r="D40" s="46">
        <f>IF(COUNTBLANK(I39)=1,I39*'Config.'!$D$11,I39*'Config.'!$D$11)</f>
        <v>0</v>
      </c>
      <c r="E40" s="46">
        <f t="shared" si="2"/>
        <v>71.237900055748014</v>
      </c>
      <c r="F40" s="47"/>
      <c r="G40" s="48" t="str">
        <f t="shared" si="0"/>
        <v>-</v>
      </c>
      <c r="H40" s="29" t="str">
        <f>IF(COUNTBLANK(I40)=1,IF(C40&lt;='Config.'!$D$7,"meta","nops"),"")</f>
        <v>nops</v>
      </c>
      <c r="I40" s="55"/>
      <c r="J40" s="65"/>
      <c r="K40" s="15"/>
      <c r="L40" s="15"/>
      <c r="M40" s="51" t="str">
        <f t="shared" si="3"/>
        <v/>
      </c>
      <c r="N40" s="51" t="str">
        <f t="shared" si="1"/>
        <v/>
      </c>
      <c r="O40" s="57" t="str">
        <f t="shared" si="4"/>
        <v/>
      </c>
      <c r="P40" s="6"/>
      <c r="Q40" s="6"/>
      <c r="R40" s="6"/>
      <c r="S40" s="6"/>
      <c r="T40" s="6"/>
      <c r="U40" s="6"/>
      <c r="V40" s="32">
        <f>IF(COUNTBLANK(X39)=1,(V39*'Config.'!$D$9)+V39,(X39*'Config.'!$D$9)+X39)</f>
        <v>1398.7235968372045</v>
      </c>
      <c r="W40" s="29" t="str">
        <f>IF(COUNTBLANK(X40)=1,IF(V40&lt;='Config.'!$D$7,"meta","nops"),"")</f>
        <v>nops</v>
      </c>
      <c r="X40" s="54"/>
    </row>
    <row r="41" spans="1:24" ht="19.5" customHeight="1">
      <c r="A41" s="44" t="s">
        <v>31</v>
      </c>
      <c r="B41" s="45">
        <v>38</v>
      </c>
      <c r="C41" s="46">
        <f>IF(COUNTBLANK(I40)=1,(C40*'Config.'!$D$9)+C40,(I40*'Config.'!$D$9)+I40)</f>
        <v>1570.7956962292442</v>
      </c>
      <c r="D41" s="46">
        <f>IF(COUNTBLANK(I40)=1,I40*'Config.'!$D$11,I40*'Config.'!$D$11)</f>
        <v>0</v>
      </c>
      <c r="E41" s="46">
        <f t="shared" si="2"/>
        <v>74.799795058535437</v>
      </c>
      <c r="F41" s="47"/>
      <c r="G41" s="48" t="str">
        <f t="shared" si="0"/>
        <v>-</v>
      </c>
      <c r="H41" s="29" t="str">
        <f>IF(COUNTBLANK(I41)=1,IF(C41&lt;='Config.'!$D$7,"meta","nops"),"")</f>
        <v>nops</v>
      </c>
      <c r="I41" s="55"/>
      <c r="J41" s="65"/>
      <c r="K41" s="15"/>
      <c r="L41" s="15"/>
      <c r="M41" s="51" t="str">
        <f t="shared" si="3"/>
        <v/>
      </c>
      <c r="N41" s="51" t="str">
        <f t="shared" si="1"/>
        <v/>
      </c>
      <c r="O41" s="57" t="str">
        <f t="shared" si="4"/>
        <v/>
      </c>
      <c r="P41" s="6"/>
      <c r="Q41" s="6"/>
      <c r="R41" s="6"/>
      <c r="S41" s="6"/>
      <c r="T41" s="6"/>
      <c r="U41" s="6"/>
      <c r="V41" s="32">
        <f>IF(COUNTBLANK(X40)=1,(V40*'Config.'!$D$9)+V40,(X40*'Config.'!$D$9)+X40)</f>
        <v>1468.6597766790646</v>
      </c>
      <c r="W41" s="29" t="str">
        <f>IF(COUNTBLANK(X41)=1,IF(V41&lt;='Config.'!$D$7,"meta","nops"),"")</f>
        <v>nops</v>
      </c>
      <c r="X41" s="54"/>
    </row>
    <row r="42" spans="1:24" ht="19.5" customHeight="1">
      <c r="A42" s="44" t="s">
        <v>31</v>
      </c>
      <c r="B42" s="45">
        <v>39</v>
      </c>
      <c r="C42" s="46">
        <f>IF(COUNTBLANK(I41)=1,(C41*'Config.'!$D$9)+C41,(I41*'Config.'!$D$9)+I41)</f>
        <v>1649.3354810407063</v>
      </c>
      <c r="D42" s="46">
        <f>IF(COUNTBLANK(I41)=1,I41*'Config.'!$D$11,I41*'Config.'!$D$11)</f>
        <v>0</v>
      </c>
      <c r="E42" s="46">
        <f t="shared" si="2"/>
        <v>78.539784811462141</v>
      </c>
      <c r="F42" s="47"/>
      <c r="G42" s="48" t="str">
        <f t="shared" si="0"/>
        <v>-</v>
      </c>
      <c r="H42" s="29" t="str">
        <f>IF(COUNTBLANK(I42)=1,IF(C42&lt;='Config.'!$D$7,"meta","nops"),"")</f>
        <v>nops</v>
      </c>
      <c r="I42" s="55"/>
      <c r="J42" s="65"/>
      <c r="K42" s="15"/>
      <c r="L42" s="15"/>
      <c r="M42" s="51" t="str">
        <f t="shared" si="3"/>
        <v/>
      </c>
      <c r="N42" s="51" t="str">
        <f t="shared" si="1"/>
        <v/>
      </c>
      <c r="O42" s="57" t="str">
        <f t="shared" si="4"/>
        <v/>
      </c>
      <c r="P42" s="6"/>
      <c r="Q42" s="6"/>
      <c r="R42" s="6"/>
      <c r="S42" s="6"/>
      <c r="T42" s="6"/>
      <c r="U42" s="6"/>
      <c r="V42" s="32">
        <f>IF(COUNTBLANK(X41)=1,(V41*'Config.'!$D$9)+V41,(X41*'Config.'!$D$9)+X41)</f>
        <v>1542.0927655130179</v>
      </c>
      <c r="W42" s="29" t="str">
        <f>IF(COUNTBLANK(X42)=1,IF(V42&lt;='Config.'!$D$7,"meta","nops"),"")</f>
        <v>nops</v>
      </c>
      <c r="X42" s="54"/>
    </row>
    <row r="43" spans="1:24" ht="19.5" customHeight="1">
      <c r="A43" s="44" t="s">
        <v>31</v>
      </c>
      <c r="B43" s="45">
        <v>40</v>
      </c>
      <c r="C43" s="46">
        <f>IF(COUNTBLANK(I42)=1,(C42*'Config.'!$D$9)+C42,(I42*'Config.'!$D$9)+I42)</f>
        <v>1731.8022550927417</v>
      </c>
      <c r="D43" s="46">
        <f>IF(COUNTBLANK(I42)=1,I42*'Config.'!$D$11,I42*'Config.'!$D$11)</f>
        <v>0</v>
      </c>
      <c r="E43" s="46">
        <f t="shared" si="2"/>
        <v>82.466774052035362</v>
      </c>
      <c r="F43" s="47"/>
      <c r="G43" s="48" t="str">
        <f t="shared" si="0"/>
        <v>-</v>
      </c>
      <c r="H43" s="29" t="str">
        <f>IF(COUNTBLANK(I43)=1,IF(C43&lt;='Config.'!$D$7,"meta","nops"),"")</f>
        <v>nops</v>
      </c>
      <c r="I43" s="55"/>
      <c r="J43" s="65"/>
      <c r="K43" s="15"/>
      <c r="L43" s="15"/>
      <c r="M43" s="51" t="str">
        <f t="shared" si="3"/>
        <v/>
      </c>
      <c r="N43" s="51" t="str">
        <f t="shared" si="1"/>
        <v/>
      </c>
      <c r="O43" s="57" t="str">
        <f t="shared" si="4"/>
        <v/>
      </c>
      <c r="P43" s="6"/>
      <c r="Q43" s="6"/>
      <c r="R43" s="6"/>
      <c r="S43" s="6"/>
      <c r="T43" s="6"/>
      <c r="U43" s="6"/>
      <c r="V43" s="32">
        <f>IF(COUNTBLANK(X42)=1,(V42*'Config.'!$D$9)+V42,(X42*'Config.'!$D$9)+X42)</f>
        <v>1619.1974037886687</v>
      </c>
      <c r="W43" s="29" t="str">
        <f>IF(COUNTBLANK(X43)=1,IF(V43&lt;='Config.'!$D$7,"meta","nops"),"")</f>
        <v>nops</v>
      </c>
      <c r="X43" s="54"/>
    </row>
    <row r="44" spans="1:24" ht="19.5" customHeight="1">
      <c r="A44" s="44" t="s">
        <v>31</v>
      </c>
      <c r="B44" s="45">
        <v>41</v>
      </c>
      <c r="C44" s="46">
        <f>IF(COUNTBLANK(I43)=1,(C43*'Config.'!$D$9)+C43,(I43*'Config.'!$D$9)+I43)</f>
        <v>1818.3923678473789</v>
      </c>
      <c r="D44" s="46">
        <f>IF(COUNTBLANK(I43)=1,I43*'Config.'!$D$11,I43*'Config.'!$D$11)</f>
        <v>0</v>
      </c>
      <c r="E44" s="46">
        <f t="shared" si="2"/>
        <v>86.590112754637175</v>
      </c>
      <c r="F44" s="47"/>
      <c r="G44" s="48" t="str">
        <f t="shared" si="0"/>
        <v>-</v>
      </c>
      <c r="H44" s="29" t="str">
        <f>IF(COUNTBLANK(I44)=1,IF(C44&lt;='Config.'!$D$7,"meta","nops"),"")</f>
        <v>nops</v>
      </c>
      <c r="I44" s="55"/>
      <c r="J44" s="65"/>
      <c r="K44" s="15"/>
      <c r="L44" s="15"/>
      <c r="M44" s="51" t="str">
        <f t="shared" si="3"/>
        <v/>
      </c>
      <c r="N44" s="51" t="str">
        <f t="shared" si="1"/>
        <v/>
      </c>
      <c r="O44" s="57" t="str">
        <f t="shared" si="4"/>
        <v/>
      </c>
      <c r="P44" s="6"/>
      <c r="Q44" s="6"/>
      <c r="R44" s="6"/>
      <c r="S44" s="6"/>
      <c r="T44" s="6"/>
      <c r="U44" s="6"/>
      <c r="V44" s="32">
        <f>IF(COUNTBLANK(X43)=1,(V43*'Config.'!$D$9)+V43,(X43*'Config.'!$D$9)+X43)</f>
        <v>1700.1572739781022</v>
      </c>
      <c r="W44" s="29" t="str">
        <f>IF(COUNTBLANK(X44)=1,IF(V44&lt;='Config.'!$D$7,"meta","nops"),"")</f>
        <v>nops</v>
      </c>
      <c r="X44" s="54"/>
    </row>
    <row r="45" spans="1:24" ht="19.5" customHeight="1">
      <c r="A45" s="44" t="s">
        <v>31</v>
      </c>
      <c r="B45" s="45">
        <v>42</v>
      </c>
      <c r="C45" s="46">
        <f>IF(COUNTBLANK(I44)=1,(C44*'Config.'!$D$9)+C44,(I44*'Config.'!$D$9)+I44)</f>
        <v>1909.3119862397477</v>
      </c>
      <c r="D45" s="46">
        <f>IF(COUNTBLANK(I44)=1,I44*'Config.'!$D$11,I44*'Config.'!$D$11)</f>
        <v>0</v>
      </c>
      <c r="E45" s="46">
        <f t="shared" si="2"/>
        <v>90.919618392368875</v>
      </c>
      <c r="F45" s="47"/>
      <c r="G45" s="48" t="str">
        <f t="shared" si="0"/>
        <v>-</v>
      </c>
      <c r="H45" s="29" t="str">
        <f>IF(COUNTBLANK(I45)=1,IF(C45&lt;='Config.'!$D$7,"meta","nops"),"")</f>
        <v>nops</v>
      </c>
      <c r="I45" s="55"/>
      <c r="J45" s="65"/>
      <c r="K45" s="15"/>
      <c r="L45" s="15"/>
      <c r="M45" s="51" t="str">
        <f t="shared" si="3"/>
        <v/>
      </c>
      <c r="N45" s="51" t="str">
        <f t="shared" si="1"/>
        <v/>
      </c>
      <c r="O45" s="57" t="str">
        <f t="shared" si="4"/>
        <v/>
      </c>
      <c r="P45" s="6"/>
      <c r="Q45" s="6"/>
      <c r="R45" s="6"/>
      <c r="S45" s="6"/>
      <c r="T45" s="6"/>
      <c r="U45" s="6"/>
      <c r="V45" s="32">
        <f>IF(COUNTBLANK(X44)=1,(V44*'Config.'!$D$9)+V44,(X44*'Config.'!$D$9)+X44)</f>
        <v>1785.1651376770074</v>
      </c>
      <c r="W45" s="29" t="str">
        <f>IF(COUNTBLANK(X45)=1,IF(V45&lt;='Config.'!$D$7,"meta","nops"),"")</f>
        <v>nops</v>
      </c>
      <c r="X45" s="54"/>
    </row>
    <row r="46" spans="1:24" ht="19.5" customHeight="1">
      <c r="A46" s="44" t="s">
        <v>31</v>
      </c>
      <c r="B46" s="45">
        <v>43</v>
      </c>
      <c r="C46" s="46">
        <f>IF(COUNTBLANK(I45)=1,(C45*'Config.'!$D$9)+C45,(I45*'Config.'!$D$9)+I45)</f>
        <v>2004.7775855517352</v>
      </c>
      <c r="D46" s="46">
        <f>IF(COUNTBLANK(I45)=1,I45*'Config.'!$D$11,I45*'Config.'!$D$11)</f>
        <v>0</v>
      </c>
      <c r="E46" s="46">
        <f t="shared" si="2"/>
        <v>95.465599311987489</v>
      </c>
      <c r="F46" s="47"/>
      <c r="G46" s="48" t="str">
        <f t="shared" si="0"/>
        <v>-</v>
      </c>
      <c r="H46" s="29" t="str">
        <f>IF(COUNTBLANK(I46)=1,IF(C46&lt;='Config.'!$D$7,"meta","nops"),"")</f>
        <v>nops</v>
      </c>
      <c r="I46" s="55"/>
      <c r="J46" s="65"/>
      <c r="K46" s="15"/>
      <c r="L46" s="15"/>
      <c r="M46" s="51" t="str">
        <f t="shared" si="3"/>
        <v/>
      </c>
      <c r="N46" s="51" t="str">
        <f t="shared" si="1"/>
        <v/>
      </c>
      <c r="O46" s="57" t="str">
        <f t="shared" si="4"/>
        <v/>
      </c>
      <c r="P46" s="6"/>
      <c r="Q46" s="6"/>
      <c r="R46" s="6"/>
      <c r="S46" s="6"/>
      <c r="T46" s="6"/>
      <c r="U46" s="6"/>
      <c r="V46" s="32">
        <f>IF(COUNTBLANK(X45)=1,(V45*'Config.'!$D$9)+V45,(X45*'Config.'!$D$9)+X45)</f>
        <v>1874.4233945608578</v>
      </c>
      <c r="W46" s="29" t="str">
        <f>IF(COUNTBLANK(X46)=1,IF(V46&lt;='Config.'!$D$7,"meta","nops"),"")</f>
        <v>nops</v>
      </c>
      <c r="X46" s="54"/>
    </row>
    <row r="47" spans="1:24" ht="19.5" customHeight="1">
      <c r="A47" s="44" t="s">
        <v>31</v>
      </c>
      <c r="B47" s="45">
        <v>44</v>
      </c>
      <c r="C47" s="46">
        <f>IF(COUNTBLANK(I46)=1,(C46*'Config.'!$D$9)+C46,(I46*'Config.'!$D$9)+I46)</f>
        <v>2105.0164648293221</v>
      </c>
      <c r="D47" s="46">
        <f>IF(COUNTBLANK(I46)=1,I46*'Config.'!$D$11,I46*'Config.'!$D$11)</f>
        <v>0</v>
      </c>
      <c r="E47" s="46">
        <f t="shared" si="2"/>
        <v>100.23887927758688</v>
      </c>
      <c r="F47" s="47"/>
      <c r="G47" s="48" t="str">
        <f t="shared" si="0"/>
        <v>-</v>
      </c>
      <c r="H47" s="29" t="str">
        <f>IF(COUNTBLANK(I47)=1,IF(C47&lt;='Config.'!$D$7,"meta","nops"),"")</f>
        <v>nops</v>
      </c>
      <c r="I47" s="55"/>
      <c r="J47" s="65"/>
      <c r="K47" s="15"/>
      <c r="L47" s="15"/>
      <c r="M47" s="51" t="str">
        <f t="shared" si="3"/>
        <v/>
      </c>
      <c r="N47" s="51" t="str">
        <f t="shared" si="1"/>
        <v/>
      </c>
      <c r="O47" s="57" t="str">
        <f t="shared" si="4"/>
        <v/>
      </c>
      <c r="P47" s="6"/>
      <c r="Q47" s="6"/>
      <c r="R47" s="6"/>
      <c r="S47" s="6"/>
      <c r="T47" s="6"/>
      <c r="U47" s="6"/>
      <c r="V47" s="32">
        <f>IF(COUNTBLANK(X46)=1,(V46*'Config.'!$D$9)+V46,(X46*'Config.'!$D$9)+X46)</f>
        <v>1968.1445642889007</v>
      </c>
      <c r="W47" s="29" t="str">
        <f>IF(COUNTBLANK(X47)=1,IF(V47&lt;='Config.'!$D$7,"meta","nops"),"")</f>
        <v>nops</v>
      </c>
      <c r="X47" s="54"/>
    </row>
    <row r="48" spans="1:24" ht="19.5" customHeight="1">
      <c r="A48" s="44" t="s">
        <v>31</v>
      </c>
      <c r="B48" s="45">
        <v>45</v>
      </c>
      <c r="C48" s="46">
        <f>IF(COUNTBLANK(I47)=1,(C47*'Config.'!$D$9)+C47,(I47*'Config.'!$D$9)+I47)</f>
        <v>2210.2672880707883</v>
      </c>
      <c r="D48" s="46">
        <f>IF(COUNTBLANK(I47)=1,I47*'Config.'!$D$11,I47*'Config.'!$D$11)</f>
        <v>0</v>
      </c>
      <c r="E48" s="46">
        <f t="shared" si="2"/>
        <v>105.25082324146615</v>
      </c>
      <c r="F48" s="47"/>
      <c r="G48" s="48" t="str">
        <f t="shared" si="0"/>
        <v>-</v>
      </c>
      <c r="H48" s="29" t="str">
        <f>IF(COUNTBLANK(I48)=1,IF(C48&lt;='Config.'!$D$7,"meta","nops"),"")</f>
        <v>nops</v>
      </c>
      <c r="I48" s="55"/>
      <c r="J48" s="65"/>
      <c r="K48" s="15"/>
      <c r="L48" s="15"/>
      <c r="M48" s="51" t="str">
        <f t="shared" si="3"/>
        <v/>
      </c>
      <c r="N48" s="51" t="str">
        <f t="shared" si="1"/>
        <v/>
      </c>
      <c r="O48" s="57" t="str">
        <f t="shared" si="4"/>
        <v/>
      </c>
      <c r="P48" s="6"/>
      <c r="Q48" s="6"/>
      <c r="R48" s="6"/>
      <c r="S48" s="6"/>
      <c r="T48" s="6"/>
      <c r="U48" s="6"/>
      <c r="V48" s="32">
        <f>IF(COUNTBLANK(X47)=1,(V47*'Config.'!$D$9)+V47,(X47*'Config.'!$D$9)+X47)</f>
        <v>2066.551792503346</v>
      </c>
      <c r="W48" s="29" t="str">
        <f>IF(COUNTBLANK(X48)=1,IF(V48&lt;='Config.'!$D$7,"meta","nops"),"")</f>
        <v>nops</v>
      </c>
      <c r="X48" s="54"/>
    </row>
    <row r="49" spans="1:24" ht="19.5" customHeight="1">
      <c r="A49" s="44" t="s">
        <v>31</v>
      </c>
      <c r="B49" s="45">
        <v>46</v>
      </c>
      <c r="C49" s="46">
        <f>IF(COUNTBLANK(I48)=1,(C48*'Config.'!$D$9)+C48,(I48*'Config.'!$D$9)+I48)</f>
        <v>2320.7806524743278</v>
      </c>
      <c r="D49" s="46">
        <f>IF(COUNTBLANK(I48)=1,I48*'Config.'!$D$11,I48*'Config.'!$D$11)</f>
        <v>0</v>
      </c>
      <c r="E49" s="46">
        <f t="shared" si="2"/>
        <v>110.51336440353953</v>
      </c>
      <c r="F49" s="47"/>
      <c r="G49" s="48" t="str">
        <f t="shared" si="0"/>
        <v>-</v>
      </c>
      <c r="H49" s="29" t="str">
        <f>IF(COUNTBLANK(I49)=1,IF(C49&lt;='Config.'!$D$7,"meta","nops"),"")</f>
        <v>nops</v>
      </c>
      <c r="I49" s="55"/>
      <c r="J49" s="65"/>
      <c r="K49" s="15"/>
      <c r="L49" s="15"/>
      <c r="M49" s="51" t="str">
        <f t="shared" si="3"/>
        <v/>
      </c>
      <c r="N49" s="51" t="str">
        <f t="shared" si="1"/>
        <v/>
      </c>
      <c r="O49" s="57" t="str">
        <f t="shared" si="4"/>
        <v/>
      </c>
      <c r="P49" s="6"/>
      <c r="Q49" s="6"/>
      <c r="R49" s="6"/>
      <c r="S49" s="6"/>
      <c r="T49" s="6"/>
      <c r="U49" s="6"/>
      <c r="V49" s="32">
        <f>IF(COUNTBLANK(X48)=1,(V48*'Config.'!$D$9)+V48,(X48*'Config.'!$D$9)+X48)</f>
        <v>2169.879382128513</v>
      </c>
      <c r="W49" s="29" t="str">
        <f>IF(COUNTBLANK(X49)=1,IF(V49&lt;='Config.'!$D$7,"meta","nops"),"")</f>
        <v>nops</v>
      </c>
      <c r="X49" s="54"/>
    </row>
    <row r="50" spans="1:24" ht="19.5" customHeight="1">
      <c r="A50" s="44" t="s">
        <v>31</v>
      </c>
      <c r="B50" s="45">
        <v>47</v>
      </c>
      <c r="C50" s="46">
        <f>IF(COUNTBLANK(I49)=1,(C49*'Config.'!$D$9)+C49,(I49*'Config.'!$D$9)+I49)</f>
        <v>2436.8196850980444</v>
      </c>
      <c r="D50" s="46">
        <f>IF(COUNTBLANK(I49)=1,I49*'Config.'!$D$11,I49*'Config.'!$D$11)</f>
        <v>0</v>
      </c>
      <c r="E50" s="46">
        <f t="shared" si="2"/>
        <v>116.03903262371659</v>
      </c>
      <c r="F50" s="47"/>
      <c r="G50" s="48" t="str">
        <f t="shared" si="0"/>
        <v>-</v>
      </c>
      <c r="H50" s="29" t="str">
        <f>IF(COUNTBLANK(I50)=1,IF(C50&lt;='Config.'!$D$7,"meta","nops"),"")</f>
        <v>nops</v>
      </c>
      <c r="I50" s="55"/>
      <c r="J50" s="65"/>
      <c r="K50" s="15"/>
      <c r="L50" s="15"/>
      <c r="M50" s="51" t="str">
        <f t="shared" si="3"/>
        <v/>
      </c>
      <c r="N50" s="51" t="str">
        <f t="shared" si="1"/>
        <v/>
      </c>
      <c r="O50" s="57" t="str">
        <f t="shared" si="4"/>
        <v/>
      </c>
      <c r="P50" s="6"/>
      <c r="Q50" s="6"/>
      <c r="R50" s="6"/>
      <c r="S50" s="6"/>
      <c r="T50" s="6"/>
      <c r="U50" s="6"/>
      <c r="V50" s="32">
        <f>IF(COUNTBLANK(X49)=1,(V49*'Config.'!$D$9)+V49,(X49*'Config.'!$D$9)+X49)</f>
        <v>2278.3733512349386</v>
      </c>
      <c r="W50" s="29" t="str">
        <f>IF(COUNTBLANK(X50)=1,IF(V50&lt;='Config.'!$D$7,"meta","nops"),"")</f>
        <v>nops</v>
      </c>
      <c r="X50" s="54"/>
    </row>
    <row r="51" spans="1:24" ht="19.5" customHeight="1">
      <c r="A51" s="44" t="s">
        <v>31</v>
      </c>
      <c r="B51" s="45">
        <v>48</v>
      </c>
      <c r="C51" s="46">
        <f>IF(COUNTBLANK(I50)=1,(C50*'Config.'!$D$9)+C50,(I50*'Config.'!$D$9)+I50)</f>
        <v>2558.6606693529466</v>
      </c>
      <c r="D51" s="46">
        <f>IF(COUNTBLANK(I50)=1,I50*'Config.'!$D$11,I50*'Config.'!$D$11)</f>
        <v>0</v>
      </c>
      <c r="E51" s="46">
        <f t="shared" si="2"/>
        <v>121.8409842549022</v>
      </c>
      <c r="F51" s="47"/>
      <c r="G51" s="48" t="str">
        <f t="shared" si="0"/>
        <v>-</v>
      </c>
      <c r="H51" s="29" t="str">
        <f>IF(COUNTBLANK(I51)=1,IF(C51&lt;='Config.'!$D$7,"meta","nops"),"")</f>
        <v>nops</v>
      </c>
      <c r="I51" s="55"/>
      <c r="J51" s="65"/>
      <c r="K51" s="15"/>
      <c r="L51" s="15"/>
      <c r="M51" s="51" t="str">
        <f t="shared" si="3"/>
        <v/>
      </c>
      <c r="N51" s="51" t="str">
        <f t="shared" si="1"/>
        <v/>
      </c>
      <c r="O51" s="57" t="str">
        <f t="shared" si="4"/>
        <v/>
      </c>
      <c r="P51" s="6"/>
      <c r="Q51" s="6"/>
      <c r="R51" s="6"/>
      <c r="S51" s="6"/>
      <c r="T51" s="6"/>
      <c r="U51" s="6"/>
      <c r="V51" s="32">
        <f>IF(COUNTBLANK(X50)=1,(V50*'Config.'!$D$9)+V50,(X50*'Config.'!$D$9)+X50)</f>
        <v>2392.2920187966856</v>
      </c>
      <c r="W51" s="29" t="str">
        <f>IF(COUNTBLANK(X51)=1,IF(V51&lt;='Config.'!$D$7,"meta","nops"),"")</f>
        <v>nops</v>
      </c>
      <c r="X51" s="54"/>
    </row>
    <row r="52" spans="1:24" ht="19.5" customHeight="1">
      <c r="A52" s="44" t="s">
        <v>31</v>
      </c>
      <c r="B52" s="45">
        <v>49</v>
      </c>
      <c r="C52" s="46">
        <f>IF(COUNTBLANK(I51)=1,(C51*'Config.'!$D$9)+C51,(I51*'Config.'!$D$9)+I51)</f>
        <v>2686.593702820594</v>
      </c>
      <c r="D52" s="46">
        <f>IF(COUNTBLANK(I51)=1,I51*'Config.'!$D$11,I51*'Config.'!$D$11)</f>
        <v>0</v>
      </c>
      <c r="E52" s="46">
        <f t="shared" si="2"/>
        <v>127.93303346764742</v>
      </c>
      <c r="F52" s="47"/>
      <c r="G52" s="48" t="str">
        <f t="shared" si="0"/>
        <v>-</v>
      </c>
      <c r="H52" s="29" t="str">
        <f>IF(COUNTBLANK(I52)=1,IF(C52&lt;='Config.'!$D$7,"meta","nops"),"")</f>
        <v>nops</v>
      </c>
      <c r="I52" s="55"/>
      <c r="J52" s="65"/>
      <c r="K52" s="15"/>
      <c r="L52" s="15"/>
      <c r="M52" s="51" t="str">
        <f t="shared" si="3"/>
        <v/>
      </c>
      <c r="N52" s="51" t="str">
        <f t="shared" si="1"/>
        <v/>
      </c>
      <c r="O52" s="57" t="str">
        <f t="shared" si="4"/>
        <v/>
      </c>
      <c r="P52" s="6"/>
      <c r="Q52" s="6"/>
      <c r="R52" s="6"/>
      <c r="S52" s="6"/>
      <c r="T52" s="6"/>
      <c r="U52" s="6"/>
      <c r="V52" s="32">
        <f>IF(COUNTBLANK(X51)=1,(V51*'Config.'!$D$9)+V51,(X51*'Config.'!$D$9)+X51)</f>
        <v>2511.90661973652</v>
      </c>
      <c r="W52" s="29" t="str">
        <f>IF(COUNTBLANK(X52)=1,IF(V52&lt;='Config.'!$D$7,"meta","nops"),"")</f>
        <v>nops</v>
      </c>
      <c r="X52" s="54"/>
    </row>
    <row r="53" spans="1:24" ht="19.5" customHeight="1">
      <c r="A53" s="44" t="s">
        <v>31</v>
      </c>
      <c r="B53" s="45">
        <v>50</v>
      </c>
      <c r="C53" s="46">
        <f>IF(COUNTBLANK(I52)=1,(C52*'Config.'!$D$9)+C52,(I52*'Config.'!$D$9)+I52)</f>
        <v>2820.9233879616236</v>
      </c>
      <c r="D53" s="46">
        <f>IF(COUNTBLANK(I52)=1,I52*'Config.'!$D$11,I52*'Config.'!$D$11)</f>
        <v>0</v>
      </c>
      <c r="E53" s="46">
        <f t="shared" si="2"/>
        <v>134.32968514102959</v>
      </c>
      <c r="F53" s="47"/>
      <c r="G53" s="48" t="str">
        <f t="shared" si="0"/>
        <v>-</v>
      </c>
      <c r="H53" s="29" t="str">
        <f>IF(COUNTBLANK(I53)=1,IF(C53&lt;='Config.'!$D$7,"meta","nops"),"")</f>
        <v>nops</v>
      </c>
      <c r="I53" s="55"/>
      <c r="J53" s="65"/>
      <c r="K53" s="15"/>
      <c r="L53" s="15"/>
      <c r="M53" s="51" t="str">
        <f t="shared" si="3"/>
        <v/>
      </c>
      <c r="N53" s="51" t="str">
        <f t="shared" si="1"/>
        <v/>
      </c>
      <c r="O53" s="57" t="str">
        <f t="shared" si="4"/>
        <v/>
      </c>
      <c r="P53" s="6"/>
      <c r="Q53" s="6"/>
      <c r="R53" s="6"/>
      <c r="S53" s="6"/>
      <c r="T53" s="6"/>
      <c r="U53" s="6"/>
      <c r="V53" s="32">
        <f>IF(COUNTBLANK(X52)=1,(V52*'Config.'!$D$9)+V52,(X52*'Config.'!$D$9)+X52)</f>
        <v>2637.501950723346</v>
      </c>
      <c r="W53" s="29" t="str">
        <f>IF(COUNTBLANK(X53)=1,IF(V53&lt;='Config.'!$D$7,"meta","nops"),"")</f>
        <v>nops</v>
      </c>
      <c r="X53" s="54"/>
    </row>
    <row r="54" spans="1:24" ht="19.5" customHeight="1">
      <c r="A54" s="44" t="s">
        <v>31</v>
      </c>
      <c r="B54" s="45">
        <v>51</v>
      </c>
      <c r="C54" s="46">
        <f>IF(COUNTBLANK(I53)=1,(C53*'Config.'!$D$9)+C53,(I53*'Config.'!$D$9)+I53)</f>
        <v>2961.9695573597046</v>
      </c>
      <c r="D54" s="46">
        <f>IF(COUNTBLANK(I53)=1,I53*'Config.'!$D$11,I53*'Config.'!$D$11)</f>
        <v>0</v>
      </c>
      <c r="E54" s="46">
        <f t="shared" si="2"/>
        <v>141.04616939808102</v>
      </c>
      <c r="F54" s="47"/>
      <c r="G54" s="48" t="str">
        <f t="shared" si="0"/>
        <v>-</v>
      </c>
      <c r="H54" s="29" t="str">
        <f>IF(COUNTBLANK(I54)=1,IF(C54&lt;='Config.'!$D$7,"meta","nops"),"")</f>
        <v>nops</v>
      </c>
      <c r="I54" s="55"/>
      <c r="J54" s="65"/>
      <c r="K54" s="15"/>
      <c r="L54" s="15"/>
      <c r="M54" s="51" t="str">
        <f t="shared" si="3"/>
        <v/>
      </c>
      <c r="N54" s="51" t="str">
        <f t="shared" si="1"/>
        <v/>
      </c>
      <c r="O54" s="57" t="str">
        <f t="shared" si="4"/>
        <v/>
      </c>
      <c r="P54" s="6"/>
      <c r="Q54" s="6"/>
      <c r="R54" s="6"/>
      <c r="S54" s="6"/>
      <c r="T54" s="6"/>
      <c r="U54" s="6"/>
      <c r="V54" s="32">
        <f>IF(COUNTBLANK(X53)=1,(V53*'Config.'!$D$9)+V53,(X53*'Config.'!$D$9)+X53)</f>
        <v>2769.3770482595132</v>
      </c>
      <c r="W54" s="29" t="str">
        <f>IF(COUNTBLANK(X54)=1,IF(V54&lt;='Config.'!$D$7,"meta","nops"),"")</f>
        <v>nops</v>
      </c>
      <c r="X54" s="54"/>
    </row>
    <row r="55" spans="1:24" ht="19.5" customHeight="1">
      <c r="A55" s="44" t="s">
        <v>31</v>
      </c>
      <c r="B55" s="45">
        <v>52</v>
      </c>
      <c r="C55" s="46">
        <f>IF(COUNTBLANK(I54)=1,(C54*'Config.'!$D$9)+C54,(I54*'Config.'!$D$9)+I54)</f>
        <v>3110.06803522769</v>
      </c>
      <c r="D55" s="46">
        <f>IF(COUNTBLANK(I54)=1,I54*'Config.'!$D$11,I54*'Config.'!$D$11)</f>
        <v>0</v>
      </c>
      <c r="E55" s="46">
        <f t="shared" si="2"/>
        <v>148.09847786798537</v>
      </c>
      <c r="F55" s="47"/>
      <c r="G55" s="48" t="str">
        <f t="shared" si="0"/>
        <v>-</v>
      </c>
      <c r="H55" s="29" t="str">
        <f>IF(COUNTBLANK(I55)=1,IF(C55&lt;='Config.'!$D$7,"meta","nops"),"")</f>
        <v>nops</v>
      </c>
      <c r="I55" s="55"/>
      <c r="J55" s="65"/>
      <c r="K55" s="15"/>
      <c r="L55" s="15"/>
      <c r="M55" s="51" t="str">
        <f t="shared" si="3"/>
        <v/>
      </c>
      <c r="N55" s="51" t="str">
        <f t="shared" si="1"/>
        <v/>
      </c>
      <c r="O55" s="57" t="str">
        <f t="shared" si="4"/>
        <v/>
      </c>
      <c r="P55" s="6"/>
      <c r="Q55" s="6"/>
      <c r="R55" s="6"/>
      <c r="S55" s="6"/>
      <c r="T55" s="6"/>
      <c r="U55" s="6"/>
      <c r="V55" s="32">
        <f>IF(COUNTBLANK(X54)=1,(V54*'Config.'!$D$9)+V54,(X54*'Config.'!$D$9)+X54)</f>
        <v>2907.8459006724888</v>
      </c>
      <c r="W55" s="29" t="str">
        <f>IF(COUNTBLANK(X55)=1,IF(V55&lt;='Config.'!$D$7,"meta","nops"),"")</f>
        <v>nops</v>
      </c>
      <c r="X55" s="54"/>
    </row>
    <row r="56" spans="1:24" ht="19.5" customHeight="1">
      <c r="A56" s="44" t="s">
        <v>31</v>
      </c>
      <c r="B56" s="45">
        <v>53</v>
      </c>
      <c r="C56" s="46">
        <f>IF(COUNTBLANK(I55)=1,(C55*'Config.'!$D$9)+C55,(I55*'Config.'!$D$9)+I55)</f>
        <v>3265.5714369890743</v>
      </c>
      <c r="D56" s="46">
        <f>IF(COUNTBLANK(I55)=1,I55*'Config.'!$D$11,I55*'Config.'!$D$11)</f>
        <v>0</v>
      </c>
      <c r="E56" s="46">
        <f t="shared" si="2"/>
        <v>155.50340176138434</v>
      </c>
      <c r="F56" s="47"/>
      <c r="G56" s="48" t="str">
        <f t="shared" si="0"/>
        <v>-</v>
      </c>
      <c r="H56" s="29" t="str">
        <f>IF(COUNTBLANK(I56)=1,IF(C56&lt;='Config.'!$D$7,"meta","nops"),"")</f>
        <v>nops</v>
      </c>
      <c r="I56" s="55"/>
      <c r="J56" s="65"/>
      <c r="K56" s="15"/>
      <c r="L56" s="15"/>
      <c r="M56" s="51" t="str">
        <f t="shared" si="3"/>
        <v/>
      </c>
      <c r="N56" s="51" t="str">
        <f t="shared" si="1"/>
        <v/>
      </c>
      <c r="O56" s="57" t="str">
        <f t="shared" si="4"/>
        <v/>
      </c>
      <c r="P56" s="6"/>
      <c r="Q56" s="6"/>
      <c r="R56" s="6"/>
      <c r="S56" s="6"/>
      <c r="T56" s="6"/>
      <c r="U56" s="6"/>
      <c r="V56" s="32">
        <f>IF(COUNTBLANK(X55)=1,(V55*'Config.'!$D$9)+V55,(X55*'Config.'!$D$9)+X55)</f>
        <v>3053.2381957061134</v>
      </c>
      <c r="W56" s="29" t="str">
        <f>IF(COUNTBLANK(X56)=1,IF(V56&lt;='Config.'!$D$7,"meta","nops"),"")</f>
        <v>nops</v>
      </c>
      <c r="X56" s="54"/>
    </row>
    <row r="57" spans="1:24" ht="19.5" customHeight="1">
      <c r="A57" s="44" t="s">
        <v>31</v>
      </c>
      <c r="B57" s="45">
        <v>54</v>
      </c>
      <c r="C57" s="46">
        <f>IF(COUNTBLANK(I56)=1,(C56*'Config.'!$D$9)+C56,(I56*'Config.'!$D$9)+I56)</f>
        <v>3428.8500088385281</v>
      </c>
      <c r="D57" s="46">
        <f>IF(COUNTBLANK(I56)=1,I56*'Config.'!$D$11,I56*'Config.'!$D$11)</f>
        <v>0</v>
      </c>
      <c r="E57" s="46">
        <f t="shared" si="2"/>
        <v>163.27857184945378</v>
      </c>
      <c r="F57" s="47"/>
      <c r="G57" s="48" t="str">
        <f t="shared" si="0"/>
        <v>-</v>
      </c>
      <c r="H57" s="29" t="str">
        <f>IF(COUNTBLANK(I57)=1,IF(C57&lt;='Config.'!$D$7,"meta","nops"),"")</f>
        <v>nops</v>
      </c>
      <c r="I57" s="55"/>
      <c r="J57" s="65"/>
      <c r="K57" s="15"/>
      <c r="L57" s="15"/>
      <c r="M57" s="51" t="str">
        <f t="shared" si="3"/>
        <v/>
      </c>
      <c r="N57" s="51" t="str">
        <f t="shared" si="1"/>
        <v/>
      </c>
      <c r="O57" s="57" t="str">
        <f t="shared" si="4"/>
        <v/>
      </c>
      <c r="P57" s="6"/>
      <c r="Q57" s="6"/>
      <c r="R57" s="6"/>
      <c r="S57" s="6"/>
      <c r="T57" s="6"/>
      <c r="U57" s="6"/>
      <c r="V57" s="32">
        <f>IF(COUNTBLANK(X56)=1,(V56*'Config.'!$D$9)+V56,(X56*'Config.'!$D$9)+X56)</f>
        <v>3205.9001054914193</v>
      </c>
      <c r="W57" s="29" t="str">
        <f>IF(COUNTBLANK(X57)=1,IF(V57&lt;='Config.'!$D$7,"meta","nops"),"")</f>
        <v>nops</v>
      </c>
      <c r="X57" s="54"/>
    </row>
    <row r="58" spans="1:24" ht="19.5" customHeight="1">
      <c r="A58" s="44" t="s">
        <v>31</v>
      </c>
      <c r="B58" s="45">
        <v>55</v>
      </c>
      <c r="C58" s="46">
        <f>IF(COUNTBLANK(I57)=1,(C57*'Config.'!$D$9)+C57,(I57*'Config.'!$D$9)+I57)</f>
        <v>3600.2925092804544</v>
      </c>
      <c r="D58" s="46">
        <f>IF(COUNTBLANK(I57)=1,I57*'Config.'!$D$11,I57*'Config.'!$D$11)</f>
        <v>0</v>
      </c>
      <c r="E58" s="46">
        <f t="shared" si="2"/>
        <v>171.44250044192631</v>
      </c>
      <c r="F58" s="47"/>
      <c r="G58" s="48" t="str">
        <f t="shared" si="0"/>
        <v>-</v>
      </c>
      <c r="H58" s="29" t="str">
        <f>IF(COUNTBLANK(I58)=1,IF(C58&lt;='Config.'!$D$7,"meta","nops"),"")</f>
        <v>nops</v>
      </c>
      <c r="I58" s="55"/>
      <c r="J58" s="65"/>
      <c r="K58" s="15"/>
      <c r="L58" s="15"/>
      <c r="M58" s="51" t="str">
        <f t="shared" si="3"/>
        <v/>
      </c>
      <c r="N58" s="51" t="str">
        <f t="shared" si="1"/>
        <v/>
      </c>
      <c r="O58" s="57" t="str">
        <f t="shared" si="4"/>
        <v/>
      </c>
      <c r="P58" s="6"/>
      <c r="Q58" s="6"/>
      <c r="R58" s="6"/>
      <c r="S58" s="6"/>
      <c r="T58" s="6"/>
      <c r="U58" s="6"/>
      <c r="V58" s="32">
        <f>IF(COUNTBLANK(X57)=1,(V57*'Config.'!$D$9)+V57,(X57*'Config.'!$D$9)+X57)</f>
        <v>3366.1951107659902</v>
      </c>
      <c r="W58" s="29" t="str">
        <f>IF(COUNTBLANK(X58)=1,IF(V58&lt;='Config.'!$D$7,"meta","nops"),"")</f>
        <v>nops</v>
      </c>
      <c r="X58" s="54"/>
    </row>
    <row r="59" spans="1:24" ht="19.5" customHeight="1">
      <c r="A59" s="44" t="s">
        <v>31</v>
      </c>
      <c r="B59" s="45">
        <v>56</v>
      </c>
      <c r="C59" s="46">
        <f>IF(COUNTBLANK(I58)=1,(C58*'Config.'!$D$9)+C58,(I58*'Config.'!$D$9)+I58)</f>
        <v>3780.307134744477</v>
      </c>
      <c r="D59" s="46">
        <f>IF(COUNTBLANK(I58)=1,I58*'Config.'!$D$11,I58*'Config.'!$D$11)</f>
        <v>0</v>
      </c>
      <c r="E59" s="46">
        <f t="shared" si="2"/>
        <v>180.01462546402263</v>
      </c>
      <c r="F59" s="47"/>
      <c r="G59" s="48" t="str">
        <f t="shared" si="0"/>
        <v>-</v>
      </c>
      <c r="H59" s="29" t="str">
        <f>IF(COUNTBLANK(I59)=1,IF(C59&lt;='Config.'!$D$7,"meta","nops"),"")</f>
        <v>nops</v>
      </c>
      <c r="I59" s="55"/>
      <c r="J59" s="65"/>
      <c r="K59" s="15"/>
      <c r="L59" s="15"/>
      <c r="M59" s="51" t="str">
        <f t="shared" si="3"/>
        <v/>
      </c>
      <c r="N59" s="51" t="str">
        <f t="shared" si="1"/>
        <v/>
      </c>
      <c r="O59" s="57" t="str">
        <f t="shared" si="4"/>
        <v/>
      </c>
      <c r="P59" s="6"/>
      <c r="Q59" s="6"/>
      <c r="R59" s="6"/>
      <c r="S59" s="6"/>
      <c r="T59" s="6"/>
      <c r="U59" s="6"/>
      <c r="V59" s="32">
        <f>IF(COUNTBLANK(X58)=1,(V58*'Config.'!$D$9)+V58,(X58*'Config.'!$D$9)+X58)</f>
        <v>3534.5048663042899</v>
      </c>
      <c r="W59" s="29" t="str">
        <f>IF(COUNTBLANK(X59)=1,IF(V59&lt;='Config.'!$D$7,"meta","nops"),"")</f>
        <v>nops</v>
      </c>
      <c r="X59" s="54"/>
    </row>
    <row r="60" spans="1:24" ht="19.5" customHeight="1">
      <c r="A60" s="44" t="s">
        <v>31</v>
      </c>
      <c r="B60" s="45">
        <v>57</v>
      </c>
      <c r="C60" s="46">
        <f>IF(COUNTBLANK(I59)=1,(C59*'Config.'!$D$9)+C59,(I59*'Config.'!$D$9)+I59)</f>
        <v>3969.322491481701</v>
      </c>
      <c r="D60" s="46">
        <f>IF(COUNTBLANK(I59)=1,I59*'Config.'!$D$11,I59*'Config.'!$D$11)</f>
        <v>0</v>
      </c>
      <c r="E60" s="46">
        <f t="shared" si="2"/>
        <v>189.01535673722401</v>
      </c>
      <c r="F60" s="47"/>
      <c r="G60" s="48" t="str">
        <f t="shared" si="0"/>
        <v>-</v>
      </c>
      <c r="H60" s="29" t="str">
        <f>IF(COUNTBLANK(I60)=1,IF(C60&lt;='Config.'!$D$7,"meta","nops"),"")</f>
        <v>nops</v>
      </c>
      <c r="I60" s="55"/>
      <c r="J60" s="65"/>
      <c r="K60" s="15"/>
      <c r="L60" s="15"/>
      <c r="M60" s="51" t="str">
        <f t="shared" si="3"/>
        <v/>
      </c>
      <c r="N60" s="51" t="str">
        <f t="shared" si="1"/>
        <v/>
      </c>
      <c r="O60" s="57" t="str">
        <f t="shared" si="4"/>
        <v/>
      </c>
      <c r="P60" s="6"/>
      <c r="Q60" s="6"/>
      <c r="R60" s="6"/>
      <c r="S60" s="6"/>
      <c r="T60" s="6"/>
      <c r="U60" s="6"/>
      <c r="V60" s="32">
        <f>IF(COUNTBLANK(X59)=1,(V59*'Config.'!$D$9)+V59,(X59*'Config.'!$D$9)+X59)</f>
        <v>3711.2301096195042</v>
      </c>
      <c r="W60" s="29" t="str">
        <f>IF(COUNTBLANK(X60)=1,IF(V60&lt;='Config.'!$D$7,"meta","nops"),"")</f>
        <v>nops</v>
      </c>
      <c r="X60" s="54"/>
    </row>
    <row r="61" spans="1:24" ht="19.5" customHeight="1">
      <c r="A61" s="44" t="s">
        <v>31</v>
      </c>
      <c r="B61" s="45">
        <v>58</v>
      </c>
      <c r="C61" s="46">
        <f>IF(COUNTBLANK(I60)=1,(C60*'Config.'!$D$9)+C60,(I60*'Config.'!$D$9)+I60)</f>
        <v>4167.7886160557864</v>
      </c>
      <c r="D61" s="46">
        <f>IF(COUNTBLANK(I60)=1,I60*'Config.'!$D$11,I60*'Config.'!$D$11)</f>
        <v>0</v>
      </c>
      <c r="E61" s="46">
        <f t="shared" si="2"/>
        <v>198.46612457408537</v>
      </c>
      <c r="F61" s="47"/>
      <c r="G61" s="48" t="str">
        <f t="shared" si="0"/>
        <v>-</v>
      </c>
      <c r="H61" s="29" t="str">
        <f>IF(COUNTBLANK(I61)=1,IF(C61&lt;='Config.'!$D$7,"meta","nops"),"")</f>
        <v>nops</v>
      </c>
      <c r="I61" s="55"/>
      <c r="J61" s="65"/>
      <c r="K61" s="15"/>
      <c r="L61" s="15"/>
      <c r="M61" s="51" t="str">
        <f t="shared" si="3"/>
        <v/>
      </c>
      <c r="N61" s="51" t="str">
        <f t="shared" si="1"/>
        <v/>
      </c>
      <c r="O61" s="57" t="str">
        <f t="shared" si="4"/>
        <v/>
      </c>
      <c r="P61" s="6"/>
      <c r="Q61" s="6"/>
      <c r="R61" s="6"/>
      <c r="S61" s="6"/>
      <c r="T61" s="6"/>
      <c r="U61" s="6"/>
      <c r="V61" s="32">
        <f>IF(COUNTBLANK(X60)=1,(V60*'Config.'!$D$9)+V60,(X60*'Config.'!$D$9)+X60)</f>
        <v>3896.7916151004792</v>
      </c>
      <c r="W61" s="29" t="str">
        <f>IF(COUNTBLANK(X61)=1,IF(V61&lt;='Config.'!$D$7,"meta","nops"),"")</f>
        <v>nops</v>
      </c>
      <c r="X61" s="54"/>
    </row>
    <row r="62" spans="1:24" ht="19.5" customHeight="1">
      <c r="A62" s="44" t="s">
        <v>31</v>
      </c>
      <c r="B62" s="45">
        <v>59</v>
      </c>
      <c r="C62" s="46">
        <f>IF(COUNTBLANK(I61)=1,(C61*'Config.'!$D$9)+C61,(I61*'Config.'!$D$9)+I61)</f>
        <v>4376.1780468585757</v>
      </c>
      <c r="D62" s="46">
        <f>IF(COUNTBLANK(I61)=1,I61*'Config.'!$D$11,I61*'Config.'!$D$11)</f>
        <v>0</v>
      </c>
      <c r="E62" s="46">
        <f t="shared" si="2"/>
        <v>208.38943080278932</v>
      </c>
      <c r="F62" s="47"/>
      <c r="G62" s="48" t="str">
        <f t="shared" si="0"/>
        <v>-</v>
      </c>
      <c r="H62" s="29" t="str">
        <f>IF(COUNTBLANK(I62)=1,IF(C62&lt;='Config.'!$D$7,"meta","nops"),"")</f>
        <v>nops</v>
      </c>
      <c r="I62" s="55"/>
      <c r="J62" s="65"/>
      <c r="K62" s="15"/>
      <c r="L62" s="15"/>
      <c r="M62" s="51" t="str">
        <f t="shared" si="3"/>
        <v/>
      </c>
      <c r="N62" s="51" t="str">
        <f t="shared" si="1"/>
        <v/>
      </c>
      <c r="O62" s="57" t="str">
        <f t="shared" si="4"/>
        <v/>
      </c>
      <c r="P62" s="6"/>
      <c r="Q62" s="6"/>
      <c r="R62" s="6"/>
      <c r="S62" s="6"/>
      <c r="T62" s="6"/>
      <c r="U62" s="6"/>
      <c r="V62" s="32">
        <f>IF(COUNTBLANK(X61)=1,(V61*'Config.'!$D$9)+V61,(X61*'Config.'!$D$9)+X61)</f>
        <v>4091.6311958555034</v>
      </c>
      <c r="W62" s="29" t="str">
        <f>IF(COUNTBLANK(X62)=1,IF(V62&lt;='Config.'!$D$7,"meta","nops"),"")</f>
        <v>nops</v>
      </c>
      <c r="X62" s="54"/>
    </row>
    <row r="63" spans="1:24" ht="19.5" customHeight="1">
      <c r="A63" s="44" t="s">
        <v>31</v>
      </c>
      <c r="B63" s="45">
        <v>60</v>
      </c>
      <c r="C63" s="46">
        <f>IF(COUNTBLANK(I62)=1,(C62*'Config.'!$D$9)+C62,(I62*'Config.'!$D$9)+I62)</f>
        <v>4594.9869492015041</v>
      </c>
      <c r="D63" s="46">
        <f>IF(COUNTBLANK(I62)=1,I62*'Config.'!$D$11,I62*'Config.'!$D$11)</f>
        <v>0</v>
      </c>
      <c r="E63" s="46">
        <f t="shared" si="2"/>
        <v>218.80890234292838</v>
      </c>
      <c r="F63" s="47"/>
      <c r="G63" s="48" t="str">
        <f t="shared" si="0"/>
        <v>-</v>
      </c>
      <c r="H63" s="29" t="str">
        <f>IF(COUNTBLANK(I63)=1,IF(C63&lt;='Config.'!$D$7,"meta","nops"),"")</f>
        <v>nops</v>
      </c>
      <c r="I63" s="55"/>
      <c r="J63" s="65"/>
      <c r="K63" s="15"/>
      <c r="L63" s="15"/>
      <c r="M63" s="51" t="str">
        <f t="shared" si="3"/>
        <v/>
      </c>
      <c r="N63" s="51" t="str">
        <f t="shared" si="1"/>
        <v/>
      </c>
      <c r="O63" s="57" t="str">
        <f t="shared" si="4"/>
        <v/>
      </c>
      <c r="P63" s="6"/>
      <c r="Q63" s="6"/>
      <c r="R63" s="6"/>
      <c r="S63" s="6"/>
      <c r="T63" s="6"/>
      <c r="U63" s="6"/>
      <c r="V63" s="32">
        <f>IF(COUNTBLANK(X62)=1,(V62*'Config.'!$D$9)+V62,(X62*'Config.'!$D$9)+X62)</f>
        <v>4296.2127556482783</v>
      </c>
      <c r="W63" s="29" t="str">
        <f>IF(COUNTBLANK(X63)=1,IF(V63&lt;='Config.'!$D$7,"meta","nops"),"")</f>
        <v>nops</v>
      </c>
      <c r="X63" s="54"/>
    </row>
    <row r="64" spans="1:24" ht="19.5" customHeight="1">
      <c r="A64" s="44" t="s">
        <v>31</v>
      </c>
      <c r="B64" s="45">
        <v>61</v>
      </c>
      <c r="C64" s="46">
        <f>IF(COUNTBLANK(I63)=1,(C63*'Config.'!$D$9)+C63,(I63*'Config.'!$D$9)+I63)</f>
        <v>4824.7362966615792</v>
      </c>
      <c r="D64" s="46">
        <f>IF(COUNTBLANK(I63)=1,I63*'Config.'!$D$11,I63*'Config.'!$D$11)</f>
        <v>0</v>
      </c>
      <c r="E64" s="46">
        <f t="shared" si="2"/>
        <v>229.74934746007511</v>
      </c>
      <c r="F64" s="47"/>
      <c r="G64" s="48" t="str">
        <f t="shared" si="0"/>
        <v>-</v>
      </c>
      <c r="H64" s="29" t="str">
        <f>IF(COUNTBLANK(I64)=1,IF(C64&lt;='Config.'!$D$7,"meta","nops"),"")</f>
        <v>nops</v>
      </c>
      <c r="I64" s="55"/>
      <c r="J64" s="65"/>
      <c r="K64" s="15"/>
      <c r="L64" s="15"/>
      <c r="M64" s="51" t="str">
        <f t="shared" si="3"/>
        <v/>
      </c>
      <c r="N64" s="51" t="str">
        <f t="shared" si="1"/>
        <v/>
      </c>
      <c r="O64" s="57" t="str">
        <f t="shared" si="4"/>
        <v/>
      </c>
      <c r="P64" s="6"/>
      <c r="Q64" s="6"/>
      <c r="R64" s="6"/>
      <c r="S64" s="6"/>
      <c r="T64" s="6"/>
      <c r="U64" s="6"/>
      <c r="V64" s="32">
        <f>IF(COUNTBLANK(X63)=1,(V63*'Config.'!$D$9)+V63,(X63*'Config.'!$D$9)+X63)</f>
        <v>4511.0233934306925</v>
      </c>
      <c r="W64" s="29" t="str">
        <f>IF(COUNTBLANK(X64)=1,IF(V64&lt;='Config.'!$D$7,"meta","nops"),"")</f>
        <v>nops</v>
      </c>
      <c r="X64" s="54"/>
    </row>
    <row r="65" spans="1:24" ht="19.5" customHeight="1">
      <c r="A65" s="44" t="s">
        <v>31</v>
      </c>
      <c r="B65" s="45">
        <v>62</v>
      </c>
      <c r="C65" s="46">
        <f>IF(COUNTBLANK(I64)=1,(C64*'Config.'!$D$9)+C64,(I64*'Config.'!$D$9)+I64)</f>
        <v>5065.973111494658</v>
      </c>
      <c r="D65" s="46">
        <f>IF(COUNTBLANK(I64)=1,I64*'Config.'!$D$11,I64*'Config.'!$D$11)</f>
        <v>0</v>
      </c>
      <c r="E65" s="46">
        <f t="shared" si="2"/>
        <v>241.23681483307882</v>
      </c>
      <c r="F65" s="47"/>
      <c r="G65" s="48" t="str">
        <f t="shared" si="0"/>
        <v>-</v>
      </c>
      <c r="H65" s="29" t="str">
        <f>IF(COUNTBLANK(I65)=1,IF(C65&lt;='Config.'!$D$7,"meta","nops"),"")</f>
        <v>nops</v>
      </c>
      <c r="I65" s="55"/>
      <c r="J65" s="65"/>
      <c r="K65" s="15"/>
      <c r="L65" s="15"/>
      <c r="M65" s="51" t="str">
        <f t="shared" si="3"/>
        <v/>
      </c>
      <c r="N65" s="51" t="str">
        <f t="shared" si="1"/>
        <v/>
      </c>
      <c r="O65" s="57" t="str">
        <f t="shared" si="4"/>
        <v/>
      </c>
      <c r="P65" s="6"/>
      <c r="Q65" s="6"/>
      <c r="R65" s="6"/>
      <c r="S65" s="6"/>
      <c r="T65" s="6"/>
      <c r="U65" s="6"/>
      <c r="V65" s="32">
        <f>IF(COUNTBLANK(X64)=1,(V64*'Config.'!$D$9)+V64,(X64*'Config.'!$D$9)+X64)</f>
        <v>4736.5745631022273</v>
      </c>
      <c r="W65" s="29" t="str">
        <f>IF(COUNTBLANK(X65)=1,IF(V65&lt;='Config.'!$D$7,"meta","nops"),"")</f>
        <v>nops</v>
      </c>
      <c r="X65" s="54"/>
    </row>
    <row r="66" spans="1:24" ht="19.5" customHeight="1">
      <c r="A66" s="44" t="s">
        <v>31</v>
      </c>
      <c r="B66" s="45">
        <v>63</v>
      </c>
      <c r="C66" s="46">
        <f>IF(COUNTBLANK(I65)=1,(C65*'Config.'!$D$9)+C65,(I65*'Config.'!$D$9)+I65)</f>
        <v>5319.271767069391</v>
      </c>
      <c r="D66" s="46">
        <f>IF(COUNTBLANK(I65)=1,I65*'Config.'!$D$11,I65*'Config.'!$D$11)</f>
        <v>0</v>
      </c>
      <c r="E66" s="46">
        <f t="shared" si="2"/>
        <v>253.29865557473295</v>
      </c>
      <c r="F66" s="47"/>
      <c r="G66" s="48" t="str">
        <f t="shared" si="0"/>
        <v>-</v>
      </c>
      <c r="H66" s="29" t="str">
        <f>IF(COUNTBLANK(I66)=1,IF(C66&lt;='Config.'!$D$7,"meta","nops"),"")</f>
        <v>nops</v>
      </c>
      <c r="I66" s="55"/>
      <c r="J66" s="65"/>
      <c r="K66" s="15"/>
      <c r="L66" s="15"/>
      <c r="M66" s="51" t="str">
        <f t="shared" si="3"/>
        <v/>
      </c>
      <c r="N66" s="51" t="str">
        <f t="shared" si="1"/>
        <v/>
      </c>
      <c r="O66" s="57" t="str">
        <f t="shared" si="4"/>
        <v/>
      </c>
      <c r="P66" s="6"/>
      <c r="Q66" s="6"/>
      <c r="R66" s="6"/>
      <c r="S66" s="6"/>
      <c r="T66" s="6"/>
      <c r="U66" s="6"/>
      <c r="V66" s="32">
        <f>IF(COUNTBLANK(X65)=1,(V65*'Config.'!$D$9)+V65,(X65*'Config.'!$D$9)+X65)</f>
        <v>4973.4032912573384</v>
      </c>
      <c r="W66" s="29" t="str">
        <f>IF(COUNTBLANK(X66)=1,IF(V66&lt;='Config.'!$D$7,"meta","nops"),"")</f>
        <v>nops</v>
      </c>
      <c r="X66" s="54"/>
    </row>
    <row r="67" spans="1:24" ht="19.5" customHeight="1">
      <c r="A67" s="44" t="s">
        <v>31</v>
      </c>
      <c r="B67" s="45">
        <v>64</v>
      </c>
      <c r="C67" s="46">
        <f>IF(COUNTBLANK(I66)=1,(C66*'Config.'!$D$9)+C66,(I66*'Config.'!$D$9)+I66)</f>
        <v>5585.2353554228603</v>
      </c>
      <c r="D67" s="46">
        <f>IF(COUNTBLANK(I66)=1,I66*'Config.'!$D$11,I66*'Config.'!$D$11)</f>
        <v>0</v>
      </c>
      <c r="E67" s="46">
        <f t="shared" si="2"/>
        <v>265.96358835346928</v>
      </c>
      <c r="F67" s="47"/>
      <c r="G67" s="48" t="str">
        <f t="shared" si="0"/>
        <v>-</v>
      </c>
      <c r="H67" s="29" t="str">
        <f>IF(COUNTBLANK(I67)=1,IF(C67&lt;='Config.'!$D$7,"meta","nops"),"")</f>
        <v>nops</v>
      </c>
      <c r="I67" s="55"/>
      <c r="J67" s="65"/>
      <c r="K67" s="15"/>
      <c r="L67" s="15"/>
      <c r="M67" s="51" t="str">
        <f t="shared" si="3"/>
        <v/>
      </c>
      <c r="N67" s="51" t="str">
        <f t="shared" si="1"/>
        <v/>
      </c>
      <c r="O67" s="57" t="str">
        <f t="shared" si="4"/>
        <v/>
      </c>
      <c r="P67" s="6"/>
      <c r="Q67" s="6"/>
      <c r="R67" s="6"/>
      <c r="S67" s="6"/>
      <c r="T67" s="6"/>
      <c r="U67" s="6"/>
      <c r="V67" s="32">
        <f>IF(COUNTBLANK(X66)=1,(V66*'Config.'!$D$9)+V66,(X66*'Config.'!$D$9)+X66)</f>
        <v>5222.0734558202057</v>
      </c>
      <c r="W67" s="29" t="str">
        <f>IF(COUNTBLANK(X67)=1,IF(V67&lt;='Config.'!$D$7,"meta","nops"),"")</f>
        <v>nops</v>
      </c>
      <c r="X67" s="54"/>
    </row>
    <row r="68" spans="1:24" ht="19.5" customHeight="1">
      <c r="A68" s="44" t="s">
        <v>31</v>
      </c>
      <c r="B68" s="45">
        <v>65</v>
      </c>
      <c r="C68" s="46">
        <f>IF(COUNTBLANK(I67)=1,(C67*'Config.'!$D$9)+C67,(I67*'Config.'!$D$9)+I67)</f>
        <v>5864.4971231940035</v>
      </c>
      <c r="D68" s="46">
        <f>IF(COUNTBLANK(I67)=1,I67*'Config.'!$D$11,I67*'Config.'!$D$11)</f>
        <v>0</v>
      </c>
      <c r="E68" s="46">
        <f t="shared" si="2"/>
        <v>279.26176777114324</v>
      </c>
      <c r="F68" s="47"/>
      <c r="G68" s="48" t="str">
        <f t="shared" ref="G68:G131" si="5">IF(COUNTBLANK(F68)=0,(E68/F68)/$F$3,"-")</f>
        <v>-</v>
      </c>
      <c r="H68" s="29" t="str">
        <f>IF(COUNTBLANK(I68)=1,IF(C68&lt;='Config.'!$D$7,"meta","nops"),"")</f>
        <v>nops</v>
      </c>
      <c r="I68" s="55"/>
      <c r="J68" s="65"/>
      <c r="K68" s="15"/>
      <c r="L68" s="15"/>
      <c r="M68" s="51" t="str">
        <f t="shared" si="3"/>
        <v/>
      </c>
      <c r="N68" s="51" t="str">
        <f t="shared" ref="N68:N131" si="6">IF(M68="","",M68-E68)</f>
        <v/>
      </c>
      <c r="O68" s="57" t="str">
        <f t="shared" si="4"/>
        <v/>
      </c>
      <c r="P68" s="6"/>
      <c r="Q68" s="6"/>
      <c r="R68" s="6"/>
      <c r="S68" s="6"/>
      <c r="T68" s="6"/>
      <c r="U68" s="6"/>
      <c r="V68" s="32">
        <f>IF(COUNTBLANK(X67)=1,(V67*'Config.'!$D$9)+V67,(X67*'Config.'!$D$9)+X67)</f>
        <v>5483.1771286112162</v>
      </c>
      <c r="W68" s="29" t="str">
        <f>IF(COUNTBLANK(X68)=1,IF(V68&lt;='Config.'!$D$7,"meta","nops"),"")</f>
        <v>nops</v>
      </c>
      <c r="X68" s="54"/>
    </row>
    <row r="69" spans="1:24" ht="19.5" customHeight="1">
      <c r="A69" s="44" t="s">
        <v>31</v>
      </c>
      <c r="B69" s="45">
        <v>66</v>
      </c>
      <c r="C69" s="46">
        <f>IF(COUNTBLANK(I68)=1,(C68*'Config.'!$D$9)+C68,(I68*'Config.'!$D$9)+I68)</f>
        <v>6157.7219793537033</v>
      </c>
      <c r="D69" s="46">
        <f>IF(COUNTBLANK(I68)=1,I68*'Config.'!$D$11,I68*'Config.'!$D$11)</f>
        <v>0</v>
      </c>
      <c r="E69" s="46">
        <f t="shared" ref="E69:E132" si="7">IF(COUNTBLANK(I68)=1,C69-C68,C69-I68)</f>
        <v>293.22485615969981</v>
      </c>
      <c r="F69" s="47"/>
      <c r="G69" s="48" t="str">
        <f t="shared" si="5"/>
        <v>-</v>
      </c>
      <c r="H69" s="29" t="str">
        <f>IF(COUNTBLANK(I69)=1,IF(C69&lt;='Config.'!$D$7,"meta","nops"),"")</f>
        <v>nops</v>
      </c>
      <c r="I69" s="55"/>
      <c r="J69" s="65"/>
      <c r="K69" s="15"/>
      <c r="L69" s="15"/>
      <c r="M69" s="51" t="str">
        <f t="shared" si="3"/>
        <v/>
      </c>
      <c r="N69" s="51" t="str">
        <f t="shared" si="6"/>
        <v/>
      </c>
      <c r="O69" s="57" t="str">
        <f t="shared" si="4"/>
        <v/>
      </c>
      <c r="P69" s="6"/>
      <c r="Q69" s="6"/>
      <c r="R69" s="6"/>
      <c r="S69" s="6"/>
      <c r="T69" s="6"/>
      <c r="U69" s="6"/>
      <c r="V69" s="32">
        <f>IF(COUNTBLANK(X68)=1,(V68*'Config.'!$D$9)+V68,(X68*'Config.'!$D$9)+X68)</f>
        <v>5757.3359850417773</v>
      </c>
      <c r="W69" s="29" t="str">
        <f>IF(COUNTBLANK(X69)=1,IF(V69&lt;='Config.'!$D$7,"meta","nops"),"")</f>
        <v>nops</v>
      </c>
      <c r="X69" s="54"/>
    </row>
    <row r="70" spans="1:24" ht="19.5" customHeight="1">
      <c r="A70" s="44" t="s">
        <v>31</v>
      </c>
      <c r="B70" s="45">
        <v>67</v>
      </c>
      <c r="C70" s="46">
        <f>IF(COUNTBLANK(I69)=1,(C69*'Config.'!$D$9)+C69,(I69*'Config.'!$D$9)+I69)</f>
        <v>6465.6080783213883</v>
      </c>
      <c r="D70" s="46">
        <f>IF(COUNTBLANK(I69)=1,I69*'Config.'!$D$11,I69*'Config.'!$D$11)</f>
        <v>0</v>
      </c>
      <c r="E70" s="46">
        <f t="shared" si="7"/>
        <v>307.88609896768503</v>
      </c>
      <c r="F70" s="47"/>
      <c r="G70" s="48" t="str">
        <f t="shared" si="5"/>
        <v>-</v>
      </c>
      <c r="H70" s="29" t="str">
        <f>IF(COUNTBLANK(I70)=1,IF(C70&lt;='Config.'!$D$7,"meta","nops"),"")</f>
        <v>nops</v>
      </c>
      <c r="I70" s="55"/>
      <c r="J70" s="65"/>
      <c r="K70" s="15"/>
      <c r="L70" s="15"/>
      <c r="M70" s="51" t="str">
        <f t="shared" ref="M70:M133" si="8">IF(COUNTBLANK(I70)=1,"",I70-I69)</f>
        <v/>
      </c>
      <c r="N70" s="51" t="str">
        <f t="shared" si="6"/>
        <v/>
      </c>
      <c r="O70" s="57" t="str">
        <f t="shared" ref="O70:O133" si="9">IF(COUNTBLANK(I70)=1,"",(I70-I69)/I69)</f>
        <v/>
      </c>
      <c r="P70" s="6"/>
      <c r="Q70" s="6"/>
      <c r="R70" s="6"/>
      <c r="S70" s="6"/>
      <c r="T70" s="6"/>
      <c r="U70" s="6"/>
      <c r="V70" s="32">
        <f>IF(COUNTBLANK(X69)=1,(V69*'Config.'!$D$9)+V69,(X69*'Config.'!$D$9)+X69)</f>
        <v>6045.202784293866</v>
      </c>
      <c r="W70" s="29" t="str">
        <f>IF(COUNTBLANK(X70)=1,IF(V70&lt;='Config.'!$D$7,"meta","nops"),"")</f>
        <v>nops</v>
      </c>
      <c r="X70" s="54"/>
    </row>
    <row r="71" spans="1:24" ht="19.5" customHeight="1">
      <c r="A71" s="44" t="s">
        <v>31</v>
      </c>
      <c r="B71" s="45">
        <v>68</v>
      </c>
      <c r="C71" s="46">
        <f>IF(COUNTBLANK(I70)=1,(C70*'Config.'!$D$9)+C70,(I70*'Config.'!$D$9)+I70)</f>
        <v>6788.8884822374575</v>
      </c>
      <c r="D71" s="46">
        <f>IF(COUNTBLANK(I70)=1,I70*'Config.'!$D$11,I70*'Config.'!$D$11)</f>
        <v>0</v>
      </c>
      <c r="E71" s="46">
        <f t="shared" si="7"/>
        <v>323.28040391606919</v>
      </c>
      <c r="F71" s="47"/>
      <c r="G71" s="48" t="str">
        <f t="shared" si="5"/>
        <v>-</v>
      </c>
      <c r="H71" s="29" t="str">
        <f>IF(COUNTBLANK(I71)=1,IF(C71&lt;='Config.'!$D$7,"meta","nops"),"")</f>
        <v>nops</v>
      </c>
      <c r="I71" s="55"/>
      <c r="J71" s="65"/>
      <c r="K71" s="15"/>
      <c r="L71" s="15"/>
      <c r="M71" s="51" t="str">
        <f t="shared" si="8"/>
        <v/>
      </c>
      <c r="N71" s="51" t="str">
        <f t="shared" si="6"/>
        <v/>
      </c>
      <c r="O71" s="57" t="str">
        <f t="shared" si="9"/>
        <v/>
      </c>
      <c r="P71" s="6"/>
      <c r="Q71" s="6"/>
      <c r="R71" s="6"/>
      <c r="S71" s="6"/>
      <c r="T71" s="6"/>
      <c r="U71" s="6"/>
      <c r="V71" s="32">
        <f>IF(COUNTBLANK(X70)=1,(V70*'Config.'!$D$9)+V70,(X70*'Config.'!$D$9)+X70)</f>
        <v>6347.4629235085595</v>
      </c>
      <c r="W71" s="29" t="str">
        <f>IF(COUNTBLANK(X71)=1,IF(V71&lt;='Config.'!$D$7,"meta","nops"),"")</f>
        <v>nops</v>
      </c>
      <c r="X71" s="54"/>
    </row>
    <row r="72" spans="1:24" ht="19.5" customHeight="1">
      <c r="A72" s="44" t="s">
        <v>31</v>
      </c>
      <c r="B72" s="45">
        <v>69</v>
      </c>
      <c r="C72" s="46">
        <f>IF(COUNTBLANK(I71)=1,(C71*'Config.'!$D$9)+C71,(I71*'Config.'!$D$9)+I71)</f>
        <v>7128.3329063493302</v>
      </c>
      <c r="D72" s="46">
        <f>IF(COUNTBLANK(I71)=1,I71*'Config.'!$D$11,I71*'Config.'!$D$11)</f>
        <v>0</v>
      </c>
      <c r="E72" s="46">
        <f t="shared" si="7"/>
        <v>339.44442411187265</v>
      </c>
      <c r="F72" s="47"/>
      <c r="G72" s="48" t="str">
        <f t="shared" si="5"/>
        <v>-</v>
      </c>
      <c r="H72" s="29" t="str">
        <f>IF(COUNTBLANK(I72)=1,IF(C72&lt;='Config.'!$D$7,"meta","nops"),"")</f>
        <v>nops</v>
      </c>
      <c r="I72" s="55"/>
      <c r="J72" s="65"/>
      <c r="K72" s="15"/>
      <c r="L72" s="15"/>
      <c r="M72" s="51" t="str">
        <f t="shared" si="8"/>
        <v/>
      </c>
      <c r="N72" s="51" t="str">
        <f t="shared" si="6"/>
        <v/>
      </c>
      <c r="O72" s="57" t="str">
        <f t="shared" si="9"/>
        <v/>
      </c>
      <c r="P72" s="6"/>
      <c r="Q72" s="6"/>
      <c r="R72" s="6"/>
      <c r="S72" s="6"/>
      <c r="T72" s="6"/>
      <c r="U72" s="6"/>
      <c r="V72" s="32">
        <f>IF(COUNTBLANK(X71)=1,(V71*'Config.'!$D$9)+V71,(X71*'Config.'!$D$9)+X71)</f>
        <v>6664.8360696839873</v>
      </c>
      <c r="W72" s="29" t="str">
        <f>IF(COUNTBLANK(X72)=1,IF(V72&lt;='Config.'!$D$7,"meta","nops"),"")</f>
        <v>nops</v>
      </c>
      <c r="X72" s="54"/>
    </row>
    <row r="73" spans="1:24" ht="19.5" customHeight="1">
      <c r="A73" s="44" t="s">
        <v>31</v>
      </c>
      <c r="B73" s="45">
        <v>70</v>
      </c>
      <c r="C73" s="46">
        <f>IF(COUNTBLANK(I72)=1,(C72*'Config.'!$D$9)+C72,(I72*'Config.'!$D$9)+I72)</f>
        <v>7484.7495516667968</v>
      </c>
      <c r="D73" s="46">
        <f>IF(COUNTBLANK(I72)=1,I72*'Config.'!$D$11,I72*'Config.'!$D$11)</f>
        <v>0</v>
      </c>
      <c r="E73" s="46">
        <f t="shared" si="7"/>
        <v>356.41664531746665</v>
      </c>
      <c r="F73" s="47"/>
      <c r="G73" s="48" t="str">
        <f t="shared" si="5"/>
        <v>-</v>
      </c>
      <c r="H73" s="29" t="str">
        <f>IF(COUNTBLANK(I73)=1,IF(C73&lt;='Config.'!$D$7,"meta","nops"),"")</f>
        <v>nops</v>
      </c>
      <c r="I73" s="55"/>
      <c r="J73" s="65"/>
      <c r="K73" s="15"/>
      <c r="L73" s="15"/>
      <c r="M73" s="51" t="str">
        <f t="shared" si="8"/>
        <v/>
      </c>
      <c r="N73" s="51" t="str">
        <f t="shared" si="6"/>
        <v/>
      </c>
      <c r="O73" s="57" t="str">
        <f t="shared" si="9"/>
        <v/>
      </c>
      <c r="P73" s="6"/>
      <c r="Q73" s="6"/>
      <c r="R73" s="6"/>
      <c r="S73" s="6"/>
      <c r="T73" s="6"/>
      <c r="U73" s="6"/>
      <c r="V73" s="32">
        <f>IF(COUNTBLANK(X72)=1,(V72*'Config.'!$D$9)+V72,(X72*'Config.'!$D$9)+X72)</f>
        <v>6998.0778731681867</v>
      </c>
      <c r="W73" s="29" t="str">
        <f>IF(COUNTBLANK(X73)=1,IF(V73&lt;='Config.'!$D$7,"meta","nops"),"")</f>
        <v>nops</v>
      </c>
      <c r="X73" s="54"/>
    </row>
    <row r="74" spans="1:24" ht="19.5" customHeight="1">
      <c r="A74" s="44" t="s">
        <v>31</v>
      </c>
      <c r="B74" s="45">
        <v>71</v>
      </c>
      <c r="C74" s="46">
        <f>IF(COUNTBLANK(I73)=1,(C73*'Config.'!$D$9)+C73,(I73*'Config.'!$D$9)+I73)</f>
        <v>7858.9870292501364</v>
      </c>
      <c r="D74" s="46">
        <f>IF(COUNTBLANK(I73)=1,I73*'Config.'!$D$11,I73*'Config.'!$D$11)</f>
        <v>0</v>
      </c>
      <c r="E74" s="46">
        <f t="shared" si="7"/>
        <v>374.23747758333957</v>
      </c>
      <c r="F74" s="47"/>
      <c r="G74" s="48" t="str">
        <f t="shared" si="5"/>
        <v>-</v>
      </c>
      <c r="H74" s="29" t="str">
        <f>IF(COUNTBLANK(I74)=1,IF(C74&lt;='Config.'!$D$7,"meta","nops"),"")</f>
        <v>nops</v>
      </c>
      <c r="I74" s="55"/>
      <c r="J74" s="65"/>
      <c r="K74" s="15"/>
      <c r="L74" s="15"/>
      <c r="M74" s="51" t="str">
        <f t="shared" si="8"/>
        <v/>
      </c>
      <c r="N74" s="51" t="str">
        <f t="shared" si="6"/>
        <v/>
      </c>
      <c r="O74" s="57" t="str">
        <f t="shared" si="9"/>
        <v/>
      </c>
      <c r="P74" s="6"/>
      <c r="Q74" s="6"/>
      <c r="R74" s="6"/>
      <c r="S74" s="6"/>
      <c r="T74" s="6"/>
      <c r="U74" s="6"/>
      <c r="V74" s="32">
        <f>IF(COUNTBLANK(X73)=1,(V73*'Config.'!$D$9)+V73,(X73*'Config.'!$D$9)+X73)</f>
        <v>7347.981766826596</v>
      </c>
      <c r="W74" s="29" t="str">
        <f>IF(COUNTBLANK(X74)=1,IF(V74&lt;='Config.'!$D$7,"meta","nops"),"")</f>
        <v>nops</v>
      </c>
      <c r="X74" s="54"/>
    </row>
    <row r="75" spans="1:24" ht="19.5" customHeight="1">
      <c r="A75" s="44" t="s">
        <v>31</v>
      </c>
      <c r="B75" s="45">
        <v>72</v>
      </c>
      <c r="C75" s="46">
        <f>IF(COUNTBLANK(I74)=1,(C74*'Config.'!$D$9)+C74,(I74*'Config.'!$D$9)+I74)</f>
        <v>8251.9363807126429</v>
      </c>
      <c r="D75" s="46">
        <f>IF(COUNTBLANK(I74)=1,I74*'Config.'!$D$11,I74*'Config.'!$D$11)</f>
        <v>0</v>
      </c>
      <c r="E75" s="46">
        <f t="shared" si="7"/>
        <v>392.94935146250646</v>
      </c>
      <c r="F75" s="47"/>
      <c r="G75" s="48" t="str">
        <f t="shared" si="5"/>
        <v>-</v>
      </c>
      <c r="H75" s="29" t="str">
        <f>IF(COUNTBLANK(I75)=1,IF(C75&lt;='Config.'!$D$7,"meta","nops"),"")</f>
        <v>nops</v>
      </c>
      <c r="I75" s="55"/>
      <c r="J75" s="65"/>
      <c r="K75" s="15"/>
      <c r="L75" s="15"/>
      <c r="M75" s="51" t="str">
        <f t="shared" si="8"/>
        <v/>
      </c>
      <c r="N75" s="51" t="str">
        <f t="shared" si="6"/>
        <v/>
      </c>
      <c r="O75" s="57" t="str">
        <f t="shared" si="9"/>
        <v/>
      </c>
      <c r="P75" s="6"/>
      <c r="Q75" s="6"/>
      <c r="R75" s="6"/>
      <c r="S75" s="6"/>
      <c r="T75" s="6"/>
      <c r="U75" s="6"/>
      <c r="V75" s="32">
        <f>IF(COUNTBLANK(X74)=1,(V74*'Config.'!$D$9)+V74,(X74*'Config.'!$D$9)+X74)</f>
        <v>7715.3808551679258</v>
      </c>
      <c r="W75" s="29" t="str">
        <f>IF(COUNTBLANK(X75)=1,IF(V75&lt;='Config.'!$D$7,"meta","nops"),"")</f>
        <v>nops</v>
      </c>
      <c r="X75" s="54"/>
    </row>
    <row r="76" spans="1:24" ht="19.5" customHeight="1">
      <c r="A76" s="44" t="s">
        <v>31</v>
      </c>
      <c r="B76" s="45">
        <v>73</v>
      </c>
      <c r="C76" s="46">
        <f>IF(COUNTBLANK(I75)=1,(C75*'Config.'!$D$9)+C75,(I75*'Config.'!$D$9)+I75)</f>
        <v>8664.5331997482754</v>
      </c>
      <c r="D76" s="46">
        <f>IF(COUNTBLANK(I75)=1,I75*'Config.'!$D$11,I75*'Config.'!$D$11)</f>
        <v>0</v>
      </c>
      <c r="E76" s="46">
        <f t="shared" si="7"/>
        <v>412.59681903563251</v>
      </c>
      <c r="F76" s="47"/>
      <c r="G76" s="48" t="str">
        <f t="shared" si="5"/>
        <v>-</v>
      </c>
      <c r="H76" s="29" t="str">
        <f>IF(COUNTBLANK(I76)=1,IF(C76&lt;='Config.'!$D$7,"meta","nops"),"")</f>
        <v>nops</v>
      </c>
      <c r="I76" s="55"/>
      <c r="J76" s="65"/>
      <c r="K76" s="15"/>
      <c r="L76" s="15"/>
      <c r="M76" s="51" t="str">
        <f t="shared" si="8"/>
        <v/>
      </c>
      <c r="N76" s="51" t="str">
        <f t="shared" si="6"/>
        <v/>
      </c>
      <c r="O76" s="57" t="str">
        <f t="shared" si="9"/>
        <v/>
      </c>
      <c r="P76" s="6"/>
      <c r="Q76" s="6"/>
      <c r="R76" s="6"/>
      <c r="S76" s="6"/>
      <c r="T76" s="6"/>
      <c r="U76" s="6"/>
      <c r="V76" s="32">
        <f>IF(COUNTBLANK(X75)=1,(V75*'Config.'!$D$9)+V75,(X75*'Config.'!$D$9)+X75)</f>
        <v>8101.1498979263224</v>
      </c>
      <c r="W76" s="29" t="str">
        <f>IF(COUNTBLANK(X76)=1,IF(V76&lt;='Config.'!$D$7,"meta","nops"),"")</f>
        <v>nops</v>
      </c>
      <c r="X76" s="54"/>
    </row>
    <row r="77" spans="1:24" ht="19.5" customHeight="1">
      <c r="A77" s="44" t="s">
        <v>31</v>
      </c>
      <c r="B77" s="45">
        <v>74</v>
      </c>
      <c r="C77" s="46">
        <f>IF(COUNTBLANK(I76)=1,(C76*'Config.'!$D$9)+C76,(I76*'Config.'!$D$9)+I76)</f>
        <v>9097.7598597356882</v>
      </c>
      <c r="D77" s="46">
        <f>IF(COUNTBLANK(I76)=1,I76*'Config.'!$D$11,I76*'Config.'!$D$11)</f>
        <v>0</v>
      </c>
      <c r="E77" s="46">
        <f t="shared" si="7"/>
        <v>433.22665998741286</v>
      </c>
      <c r="F77" s="47"/>
      <c r="G77" s="48" t="str">
        <f t="shared" si="5"/>
        <v>-</v>
      </c>
      <c r="H77" s="29" t="str">
        <f>IF(COUNTBLANK(I77)=1,IF(C77&lt;='Config.'!$D$7,"meta","nops"),"")</f>
        <v>nops</v>
      </c>
      <c r="I77" s="55"/>
      <c r="J77" s="65"/>
      <c r="K77" s="15"/>
      <c r="L77" s="15"/>
      <c r="M77" s="51" t="str">
        <f t="shared" si="8"/>
        <v/>
      </c>
      <c r="N77" s="51" t="str">
        <f t="shared" si="6"/>
        <v/>
      </c>
      <c r="O77" s="57" t="str">
        <f t="shared" si="9"/>
        <v/>
      </c>
      <c r="P77" s="6"/>
      <c r="Q77" s="6"/>
      <c r="R77" s="6"/>
      <c r="S77" s="6"/>
      <c r="T77" s="6"/>
      <c r="U77" s="6"/>
      <c r="V77" s="32">
        <f>IF(COUNTBLANK(X76)=1,(V76*'Config.'!$D$9)+V76,(X76*'Config.'!$D$9)+X76)</f>
        <v>8506.2073928226382</v>
      </c>
      <c r="W77" s="29" t="str">
        <f>IF(COUNTBLANK(X77)=1,IF(V77&lt;='Config.'!$D$7,"meta","nops"),"")</f>
        <v>nops</v>
      </c>
      <c r="X77" s="54"/>
    </row>
    <row r="78" spans="1:24" ht="19.5" customHeight="1">
      <c r="A78" s="44" t="s">
        <v>31</v>
      </c>
      <c r="B78" s="45">
        <v>75</v>
      </c>
      <c r="C78" s="46">
        <f>IF(COUNTBLANK(I77)=1,(C77*'Config.'!$D$9)+C77,(I77*'Config.'!$D$9)+I77)</f>
        <v>9552.6478527224717</v>
      </c>
      <c r="D78" s="46">
        <f>IF(COUNTBLANK(I77)=1,I77*'Config.'!$D$11,I77*'Config.'!$D$11)</f>
        <v>0</v>
      </c>
      <c r="E78" s="46">
        <f t="shared" si="7"/>
        <v>454.8879929867835</v>
      </c>
      <c r="F78" s="47"/>
      <c r="G78" s="48" t="str">
        <f t="shared" si="5"/>
        <v>-</v>
      </c>
      <c r="H78" s="29" t="str">
        <f>IF(COUNTBLANK(I78)=1,IF(C78&lt;='Config.'!$D$7,"meta","nops"),"")</f>
        <v>nops</v>
      </c>
      <c r="I78" s="55"/>
      <c r="J78" s="65"/>
      <c r="K78" s="15"/>
      <c r="L78" s="15"/>
      <c r="M78" s="51" t="str">
        <f t="shared" si="8"/>
        <v/>
      </c>
      <c r="N78" s="51" t="str">
        <f t="shared" si="6"/>
        <v/>
      </c>
      <c r="O78" s="57" t="str">
        <f t="shared" si="9"/>
        <v/>
      </c>
      <c r="P78" s="6"/>
      <c r="Q78" s="6"/>
      <c r="R78" s="6"/>
      <c r="S78" s="6"/>
      <c r="T78" s="6"/>
      <c r="U78" s="6"/>
      <c r="V78" s="32">
        <f>IF(COUNTBLANK(X77)=1,(V77*'Config.'!$D$9)+V77,(X77*'Config.'!$D$9)+X77)</f>
        <v>8931.5177624637709</v>
      </c>
      <c r="W78" s="29" t="str">
        <f>IF(COUNTBLANK(X78)=1,IF(V78&lt;='Config.'!$D$7,"meta","nops"),"")</f>
        <v>nops</v>
      </c>
      <c r="X78" s="54"/>
    </row>
    <row r="79" spans="1:24" ht="19.5" customHeight="1">
      <c r="A79" s="44" t="s">
        <v>31</v>
      </c>
      <c r="B79" s="45">
        <v>76</v>
      </c>
      <c r="C79" s="46">
        <f>IF(COUNTBLANK(I78)=1,(C78*'Config.'!$D$9)+C78,(I78*'Config.'!$D$9)+I78)</f>
        <v>10030.280245358595</v>
      </c>
      <c r="D79" s="46">
        <f>IF(COUNTBLANK(I78)=1,I78*'Config.'!$D$11,I78*'Config.'!$D$11)</f>
        <v>0</v>
      </c>
      <c r="E79" s="46">
        <f t="shared" si="7"/>
        <v>477.63239263612377</v>
      </c>
      <c r="F79" s="47"/>
      <c r="G79" s="48" t="str">
        <f t="shared" si="5"/>
        <v>-</v>
      </c>
      <c r="H79" s="29" t="str">
        <f>IF(COUNTBLANK(I79)=1,IF(C79&lt;='Config.'!$D$7,"meta","nops"),"")</f>
        <v>nops</v>
      </c>
      <c r="I79" s="55"/>
      <c r="J79" s="65"/>
      <c r="K79" s="15"/>
      <c r="L79" s="15"/>
      <c r="M79" s="51" t="str">
        <f t="shared" si="8"/>
        <v/>
      </c>
      <c r="N79" s="51" t="str">
        <f t="shared" si="6"/>
        <v/>
      </c>
      <c r="O79" s="57" t="str">
        <f t="shared" si="9"/>
        <v/>
      </c>
      <c r="P79" s="6"/>
      <c r="Q79" s="6"/>
      <c r="R79" s="6"/>
      <c r="S79" s="6"/>
      <c r="T79" s="6"/>
      <c r="U79" s="6"/>
      <c r="V79" s="32">
        <f>IF(COUNTBLANK(X78)=1,(V78*'Config.'!$D$9)+V78,(X78*'Config.'!$D$9)+X78)</f>
        <v>9378.0936505869595</v>
      </c>
      <c r="W79" s="29" t="str">
        <f>IF(COUNTBLANK(X79)=1,IF(V79&lt;='Config.'!$D$7,"meta","nops"),"")</f>
        <v>nops</v>
      </c>
      <c r="X79" s="54"/>
    </row>
    <row r="80" spans="1:24" ht="19.5" customHeight="1">
      <c r="A80" s="44" t="s">
        <v>31</v>
      </c>
      <c r="B80" s="45">
        <v>77</v>
      </c>
      <c r="C80" s="46">
        <f>IF(COUNTBLANK(I79)=1,(C79*'Config.'!$D$9)+C79,(I79*'Config.'!$D$9)+I79)</f>
        <v>10531.794257626525</v>
      </c>
      <c r="D80" s="46">
        <f>IF(COUNTBLANK(I79)=1,I79*'Config.'!$D$11,I79*'Config.'!$D$11)</f>
        <v>0</v>
      </c>
      <c r="E80" s="46">
        <f t="shared" si="7"/>
        <v>501.5140122679295</v>
      </c>
      <c r="F80" s="47"/>
      <c r="G80" s="48" t="str">
        <f t="shared" si="5"/>
        <v>-</v>
      </c>
      <c r="H80" s="29" t="str">
        <f>IF(COUNTBLANK(I80)=1,IF(C80&lt;='Config.'!$D$7,"meta","nops"),"")</f>
        <v>nops</v>
      </c>
      <c r="I80" s="55"/>
      <c r="J80" s="65"/>
      <c r="K80" s="15"/>
      <c r="L80" s="15"/>
      <c r="M80" s="51" t="str">
        <f t="shared" si="8"/>
        <v/>
      </c>
      <c r="N80" s="51" t="str">
        <f t="shared" si="6"/>
        <v/>
      </c>
      <c r="O80" s="57" t="str">
        <f t="shared" si="9"/>
        <v/>
      </c>
      <c r="P80" s="6"/>
      <c r="Q80" s="6"/>
      <c r="R80" s="6"/>
      <c r="S80" s="6"/>
      <c r="T80" s="6"/>
      <c r="U80" s="6"/>
      <c r="V80" s="32">
        <f>IF(COUNTBLANK(X79)=1,(V79*'Config.'!$D$9)+V79,(X79*'Config.'!$D$9)+X79)</f>
        <v>9846.9983331163075</v>
      </c>
      <c r="W80" s="29" t="str">
        <f>IF(COUNTBLANK(X80)=1,IF(V80&lt;='Config.'!$D$7,"meta","nops"),"")</f>
        <v>nops</v>
      </c>
      <c r="X80" s="54"/>
    </row>
    <row r="81" spans="1:24" ht="19.5" customHeight="1">
      <c r="A81" s="44" t="s">
        <v>31</v>
      </c>
      <c r="B81" s="45">
        <v>78</v>
      </c>
      <c r="C81" s="46">
        <f>IF(COUNTBLANK(I80)=1,(C80*'Config.'!$D$9)+C80,(I80*'Config.'!$D$9)+I80)</f>
        <v>11058.383970507852</v>
      </c>
      <c r="D81" s="46">
        <f>IF(COUNTBLANK(I80)=1,I80*'Config.'!$D$11,I80*'Config.'!$D$11)</f>
        <v>0</v>
      </c>
      <c r="E81" s="46">
        <f t="shared" si="7"/>
        <v>526.5897128813267</v>
      </c>
      <c r="F81" s="47"/>
      <c r="G81" s="48" t="str">
        <f t="shared" si="5"/>
        <v>-</v>
      </c>
      <c r="H81" s="29" t="str">
        <f>IF(COUNTBLANK(I81)=1,IF(C81&lt;='Config.'!$D$7,"meta","nops"),"")</f>
        <v>nops</v>
      </c>
      <c r="I81" s="55"/>
      <c r="J81" s="65"/>
      <c r="K81" s="15"/>
      <c r="L81" s="15"/>
      <c r="M81" s="51" t="str">
        <f t="shared" si="8"/>
        <v/>
      </c>
      <c r="N81" s="51" t="str">
        <f t="shared" si="6"/>
        <v/>
      </c>
      <c r="O81" s="57" t="str">
        <f t="shared" si="9"/>
        <v/>
      </c>
      <c r="P81" s="6"/>
      <c r="Q81" s="6"/>
      <c r="R81" s="6"/>
      <c r="S81" s="6"/>
      <c r="T81" s="6"/>
      <c r="U81" s="6"/>
      <c r="V81" s="32">
        <f>IF(COUNTBLANK(X80)=1,(V80*'Config.'!$D$9)+V80,(X80*'Config.'!$D$9)+X80)</f>
        <v>10339.348249772123</v>
      </c>
      <c r="W81" s="29" t="str">
        <f>IF(COUNTBLANK(X81)=1,IF(V81&lt;='Config.'!$D$7,"meta","nops"),"")</f>
        <v>nops</v>
      </c>
      <c r="X81" s="54"/>
    </row>
    <row r="82" spans="1:24" ht="19.5" customHeight="1">
      <c r="A82" s="44" t="s">
        <v>31</v>
      </c>
      <c r="B82" s="45">
        <v>79</v>
      </c>
      <c r="C82" s="46">
        <f>IF(COUNTBLANK(I81)=1,(C81*'Config.'!$D$9)+C81,(I81*'Config.'!$D$9)+I81)</f>
        <v>11611.303169033245</v>
      </c>
      <c r="D82" s="46">
        <f>IF(COUNTBLANK(I81)=1,I81*'Config.'!$D$11,I81*'Config.'!$D$11)</f>
        <v>0</v>
      </c>
      <c r="E82" s="46">
        <f t="shared" si="7"/>
        <v>552.91919852539286</v>
      </c>
      <c r="F82" s="47"/>
      <c r="G82" s="48" t="str">
        <f t="shared" si="5"/>
        <v>-</v>
      </c>
      <c r="H82" s="29" t="str">
        <f>IF(COUNTBLANK(I82)=1,IF(C82&lt;='Config.'!$D$7,"meta","nops"),"")</f>
        <v>nops</v>
      </c>
      <c r="I82" s="55"/>
      <c r="J82" s="65"/>
      <c r="K82" s="15"/>
      <c r="L82" s="15"/>
      <c r="M82" s="51" t="str">
        <f t="shared" si="8"/>
        <v/>
      </c>
      <c r="N82" s="51" t="str">
        <f t="shared" si="6"/>
        <v/>
      </c>
      <c r="O82" s="57" t="str">
        <f t="shared" si="9"/>
        <v/>
      </c>
      <c r="P82" s="6"/>
      <c r="Q82" s="6"/>
      <c r="R82" s="6"/>
      <c r="S82" s="6"/>
      <c r="T82" s="6"/>
      <c r="U82" s="6"/>
      <c r="V82" s="32">
        <f>IF(COUNTBLANK(X81)=1,(V81*'Config.'!$D$9)+V81,(X81*'Config.'!$D$9)+X81)</f>
        <v>10856.315662260729</v>
      </c>
      <c r="W82" s="29" t="str">
        <f>IF(COUNTBLANK(X82)=1,IF(V82&lt;='Config.'!$D$7,"meta","nops"),"")</f>
        <v>nops</v>
      </c>
      <c r="X82" s="54"/>
    </row>
    <row r="83" spans="1:24" ht="19.5" customHeight="1">
      <c r="A83" s="44" t="s">
        <v>31</v>
      </c>
      <c r="B83" s="45">
        <v>80</v>
      </c>
      <c r="C83" s="46">
        <f>IF(COUNTBLANK(I82)=1,(C82*'Config.'!$D$9)+C82,(I82*'Config.'!$D$9)+I82)</f>
        <v>12191.868327484906</v>
      </c>
      <c r="D83" s="46">
        <f>IF(COUNTBLANK(I82)=1,I82*'Config.'!$D$11,I82*'Config.'!$D$11)</f>
        <v>0</v>
      </c>
      <c r="E83" s="46">
        <f t="shared" si="7"/>
        <v>580.56515845166177</v>
      </c>
      <c r="F83" s="47"/>
      <c r="G83" s="48" t="str">
        <f t="shared" si="5"/>
        <v>-</v>
      </c>
      <c r="H83" s="29" t="str">
        <f>IF(COUNTBLANK(I83)=1,IF(C83&lt;='Config.'!$D$7,"meta","nops"),"")</f>
        <v>nops</v>
      </c>
      <c r="I83" s="55"/>
      <c r="J83" s="65"/>
      <c r="K83" s="15"/>
      <c r="L83" s="15"/>
      <c r="M83" s="51" t="str">
        <f t="shared" si="8"/>
        <v/>
      </c>
      <c r="N83" s="51" t="str">
        <f t="shared" si="6"/>
        <v/>
      </c>
      <c r="O83" s="57" t="str">
        <f t="shared" si="9"/>
        <v/>
      </c>
      <c r="P83" s="6"/>
      <c r="Q83" s="6"/>
      <c r="R83" s="6"/>
      <c r="S83" s="6"/>
      <c r="T83" s="6"/>
      <c r="U83" s="6"/>
      <c r="V83" s="32">
        <f>IF(COUNTBLANK(X82)=1,(V82*'Config.'!$D$9)+V82,(X82*'Config.'!$D$9)+X82)</f>
        <v>11399.131445373765</v>
      </c>
      <c r="W83" s="29" t="str">
        <f>IF(COUNTBLANK(X83)=1,IF(V83&lt;='Config.'!$D$7,"meta","nops"),"")</f>
        <v>nops</v>
      </c>
      <c r="X83" s="54"/>
    </row>
    <row r="84" spans="1:24" ht="19.5" customHeight="1">
      <c r="A84" s="44" t="s">
        <v>31</v>
      </c>
      <c r="B84" s="45">
        <v>81</v>
      </c>
      <c r="C84" s="46">
        <f>IF(COUNTBLANK(I83)=1,(C83*'Config.'!$D$9)+C83,(I83*'Config.'!$D$9)+I83)</f>
        <v>12801.461743859152</v>
      </c>
      <c r="D84" s="46">
        <f>IF(COUNTBLANK(I83)=1,I83*'Config.'!$D$11,I83*'Config.'!$D$11)</f>
        <v>0</v>
      </c>
      <c r="E84" s="46">
        <f t="shared" si="7"/>
        <v>609.59341637424586</v>
      </c>
      <c r="F84" s="47"/>
      <c r="G84" s="48" t="str">
        <f t="shared" si="5"/>
        <v>-</v>
      </c>
      <c r="H84" s="29" t="str">
        <f>IF(COUNTBLANK(I84)=1,IF(C84&lt;='Config.'!$D$7,"meta","nops"),"")</f>
        <v>nops</v>
      </c>
      <c r="I84" s="55"/>
      <c r="J84" s="65"/>
      <c r="K84" s="15"/>
      <c r="L84" s="15"/>
      <c r="M84" s="51" t="str">
        <f t="shared" si="8"/>
        <v/>
      </c>
      <c r="N84" s="51" t="str">
        <f t="shared" si="6"/>
        <v/>
      </c>
      <c r="O84" s="57" t="str">
        <f t="shared" si="9"/>
        <v/>
      </c>
      <c r="P84" s="6"/>
      <c r="Q84" s="6"/>
      <c r="R84" s="6"/>
      <c r="S84" s="6"/>
      <c r="T84" s="6"/>
      <c r="U84" s="6"/>
      <c r="V84" s="32">
        <f>IF(COUNTBLANK(X83)=1,(V83*'Config.'!$D$9)+V83,(X83*'Config.'!$D$9)+X83)</f>
        <v>11969.088017642453</v>
      </c>
      <c r="W84" s="29" t="str">
        <f>IF(COUNTBLANK(X84)=1,IF(V84&lt;='Config.'!$D$7,"meta","nops"),"")</f>
        <v>nops</v>
      </c>
      <c r="X84" s="54"/>
    </row>
    <row r="85" spans="1:24" ht="19.5" customHeight="1">
      <c r="A85" s="44" t="s">
        <v>31</v>
      </c>
      <c r="B85" s="45">
        <v>82</v>
      </c>
      <c r="C85" s="46">
        <f>IF(COUNTBLANK(I84)=1,(C84*'Config.'!$D$9)+C84,(I84*'Config.'!$D$9)+I84)</f>
        <v>13441.534831052109</v>
      </c>
      <c r="D85" s="46">
        <f>IF(COUNTBLANK(I84)=1,I84*'Config.'!$D$11,I84*'Config.'!$D$11)</f>
        <v>0</v>
      </c>
      <c r="E85" s="46">
        <f t="shared" si="7"/>
        <v>640.07308719295725</v>
      </c>
      <c r="F85" s="47"/>
      <c r="G85" s="48" t="str">
        <f t="shared" si="5"/>
        <v>-</v>
      </c>
      <c r="H85" s="29" t="str">
        <f>IF(COUNTBLANK(I85)=1,IF(C85&lt;='Config.'!$D$7,"meta","nops"),"")</f>
        <v>nops</v>
      </c>
      <c r="I85" s="55"/>
      <c r="J85" s="65"/>
      <c r="K85" s="15"/>
      <c r="L85" s="15"/>
      <c r="M85" s="51" t="str">
        <f t="shared" si="8"/>
        <v/>
      </c>
      <c r="N85" s="51" t="str">
        <f t="shared" si="6"/>
        <v/>
      </c>
      <c r="O85" s="57" t="str">
        <f t="shared" si="9"/>
        <v/>
      </c>
      <c r="P85" s="6"/>
      <c r="Q85" s="6"/>
      <c r="R85" s="6"/>
      <c r="S85" s="6"/>
      <c r="T85" s="6"/>
      <c r="U85" s="6"/>
      <c r="V85" s="32">
        <f>IF(COUNTBLANK(X84)=1,(V84*'Config.'!$D$9)+V84,(X84*'Config.'!$D$9)+X84)</f>
        <v>12567.542418524576</v>
      </c>
      <c r="W85" s="29" t="str">
        <f>IF(COUNTBLANK(X85)=1,IF(V85&lt;='Config.'!$D$7,"meta","nops"),"")</f>
        <v>nops</v>
      </c>
      <c r="X85" s="54"/>
    </row>
    <row r="86" spans="1:24" ht="19.5" customHeight="1">
      <c r="A86" s="44" t="s">
        <v>31</v>
      </c>
      <c r="B86" s="45">
        <v>83</v>
      </c>
      <c r="C86" s="46">
        <f>IF(COUNTBLANK(I85)=1,(C85*'Config.'!$D$9)+C85,(I85*'Config.'!$D$9)+I85)</f>
        <v>14113.611572604716</v>
      </c>
      <c r="D86" s="46">
        <f>IF(COUNTBLANK(I85)=1,I85*'Config.'!$D$11,I85*'Config.'!$D$11)</f>
        <v>0</v>
      </c>
      <c r="E86" s="46">
        <f t="shared" si="7"/>
        <v>672.07674155260611</v>
      </c>
      <c r="F86" s="47"/>
      <c r="G86" s="48" t="str">
        <f t="shared" si="5"/>
        <v>-</v>
      </c>
      <c r="H86" s="29" t="str">
        <f>IF(COUNTBLANK(I86)=1,IF(C86&lt;='Config.'!$D$7,"meta","nops"),"")</f>
        <v>nops</v>
      </c>
      <c r="I86" s="55"/>
      <c r="J86" s="65"/>
      <c r="K86" s="15"/>
      <c r="L86" s="15"/>
      <c r="M86" s="51" t="str">
        <f t="shared" si="8"/>
        <v/>
      </c>
      <c r="N86" s="51" t="str">
        <f t="shared" si="6"/>
        <v/>
      </c>
      <c r="O86" s="57" t="str">
        <f t="shared" si="9"/>
        <v/>
      </c>
      <c r="P86" s="6"/>
      <c r="Q86" s="6"/>
      <c r="R86" s="6"/>
      <c r="S86" s="6"/>
      <c r="T86" s="6"/>
      <c r="U86" s="6"/>
      <c r="V86" s="32">
        <f>IF(COUNTBLANK(X85)=1,(V85*'Config.'!$D$9)+V85,(X85*'Config.'!$D$9)+X85)</f>
        <v>13195.919539450804</v>
      </c>
      <c r="W86" s="29" t="str">
        <f>IF(COUNTBLANK(X86)=1,IF(V86&lt;='Config.'!$D$7,"meta","nops"),"")</f>
        <v>nops</v>
      </c>
      <c r="X86" s="54"/>
    </row>
    <row r="87" spans="1:24" ht="19.5" customHeight="1">
      <c r="A87" s="44" t="s">
        <v>31</v>
      </c>
      <c r="B87" s="45">
        <v>84</v>
      </c>
      <c r="C87" s="46">
        <f>IF(COUNTBLANK(I86)=1,(C86*'Config.'!$D$9)+C86,(I86*'Config.'!$D$9)+I86)</f>
        <v>14819.292151234951</v>
      </c>
      <c r="D87" s="46">
        <f>IF(COUNTBLANK(I86)=1,I86*'Config.'!$D$11,I86*'Config.'!$D$11)</f>
        <v>0</v>
      </c>
      <c r="E87" s="46">
        <f t="shared" si="7"/>
        <v>705.68057863023569</v>
      </c>
      <c r="F87" s="47"/>
      <c r="G87" s="48" t="str">
        <f t="shared" si="5"/>
        <v>-</v>
      </c>
      <c r="H87" s="29" t="str">
        <f>IF(COUNTBLANK(I87)=1,IF(C87&lt;='Config.'!$D$7,"meta","nops"),"")</f>
        <v>nops</v>
      </c>
      <c r="I87" s="55"/>
      <c r="J87" s="65"/>
      <c r="K87" s="15"/>
      <c r="L87" s="15"/>
      <c r="M87" s="51" t="str">
        <f t="shared" si="8"/>
        <v/>
      </c>
      <c r="N87" s="51" t="str">
        <f t="shared" si="6"/>
        <v/>
      </c>
      <c r="O87" s="57" t="str">
        <f t="shared" si="9"/>
        <v/>
      </c>
      <c r="P87" s="6"/>
      <c r="Q87" s="6"/>
      <c r="R87" s="6"/>
      <c r="S87" s="6"/>
      <c r="T87" s="6"/>
      <c r="U87" s="6"/>
      <c r="V87" s="32">
        <f>IF(COUNTBLANK(X86)=1,(V86*'Config.'!$D$9)+V86,(X86*'Config.'!$D$9)+X86)</f>
        <v>13855.715516423345</v>
      </c>
      <c r="W87" s="29" t="str">
        <f>IF(COUNTBLANK(X87)=1,IF(V87&lt;='Config.'!$D$7,"meta","nops"),"")</f>
        <v>nops</v>
      </c>
      <c r="X87" s="54"/>
    </row>
    <row r="88" spans="1:24" ht="19.5" customHeight="1">
      <c r="A88" s="44" t="s">
        <v>31</v>
      </c>
      <c r="B88" s="45">
        <v>85</v>
      </c>
      <c r="C88" s="46">
        <f>IF(COUNTBLANK(I87)=1,(C87*'Config.'!$D$9)+C87,(I87*'Config.'!$D$9)+I87)</f>
        <v>15560.256758796699</v>
      </c>
      <c r="D88" s="46">
        <f>IF(COUNTBLANK(I87)=1,I87*'Config.'!$D$11,I87*'Config.'!$D$11)</f>
        <v>0</v>
      </c>
      <c r="E88" s="46">
        <f t="shared" si="7"/>
        <v>740.96460756174747</v>
      </c>
      <c r="F88" s="47"/>
      <c r="G88" s="48" t="str">
        <f t="shared" si="5"/>
        <v>-</v>
      </c>
      <c r="H88" s="29" t="str">
        <f>IF(COUNTBLANK(I88)=1,IF(C88&lt;='Config.'!$D$7,"meta","nops"),"")</f>
        <v>nops</v>
      </c>
      <c r="I88" s="55"/>
      <c r="J88" s="65"/>
      <c r="K88" s="15"/>
      <c r="L88" s="15"/>
      <c r="M88" s="51" t="str">
        <f t="shared" si="8"/>
        <v/>
      </c>
      <c r="N88" s="51" t="str">
        <f t="shared" si="6"/>
        <v/>
      </c>
      <c r="O88" s="57" t="str">
        <f t="shared" si="9"/>
        <v/>
      </c>
      <c r="P88" s="6"/>
      <c r="Q88" s="6"/>
      <c r="R88" s="6"/>
      <c r="S88" s="6"/>
      <c r="T88" s="6"/>
      <c r="U88" s="6"/>
      <c r="V88" s="32">
        <f>IF(COUNTBLANK(X87)=1,(V87*'Config.'!$D$9)+V87,(X87*'Config.'!$D$9)+X87)</f>
        <v>14548.501292244511</v>
      </c>
      <c r="W88" s="29" t="str">
        <f>IF(COUNTBLANK(X88)=1,IF(V88&lt;='Config.'!$D$7,"meta","nops"),"")</f>
        <v>nops</v>
      </c>
      <c r="X88" s="54"/>
    </row>
    <row r="89" spans="1:24" ht="19.5" customHeight="1">
      <c r="A89" s="44" t="s">
        <v>31</v>
      </c>
      <c r="B89" s="45">
        <v>86</v>
      </c>
      <c r="C89" s="46">
        <f>IF(COUNTBLANK(I88)=1,(C88*'Config.'!$D$9)+C88,(I88*'Config.'!$D$9)+I88)</f>
        <v>16338.269596736534</v>
      </c>
      <c r="D89" s="46">
        <f>IF(COUNTBLANK(I88)=1,I88*'Config.'!$D$11,I88*'Config.'!$D$11)</f>
        <v>0</v>
      </c>
      <c r="E89" s="46">
        <f t="shared" si="7"/>
        <v>778.01283793983566</v>
      </c>
      <c r="F89" s="47"/>
      <c r="G89" s="48" t="str">
        <f t="shared" si="5"/>
        <v>-</v>
      </c>
      <c r="H89" s="29" t="str">
        <f>IF(COUNTBLANK(I89)=1,IF(C89&lt;='Config.'!$D$7,"meta","nops"),"")</f>
        <v>nops</v>
      </c>
      <c r="I89" s="55"/>
      <c r="J89" s="65"/>
      <c r="K89" s="15"/>
      <c r="L89" s="15"/>
      <c r="M89" s="51" t="str">
        <f t="shared" si="8"/>
        <v/>
      </c>
      <c r="N89" s="51" t="str">
        <f t="shared" si="6"/>
        <v/>
      </c>
      <c r="O89" s="57" t="str">
        <f t="shared" si="9"/>
        <v/>
      </c>
      <c r="P89" s="6"/>
      <c r="Q89" s="6"/>
      <c r="R89" s="6"/>
      <c r="S89" s="6"/>
      <c r="T89" s="6"/>
      <c r="U89" s="6"/>
      <c r="V89" s="32">
        <f>IF(COUNTBLANK(X88)=1,(V88*'Config.'!$D$9)+V88,(X88*'Config.'!$D$9)+X88)</f>
        <v>15275.926356856737</v>
      </c>
      <c r="W89" s="29" t="str">
        <f>IF(COUNTBLANK(X89)=1,IF(V89&lt;='Config.'!$D$7,"meta","nops"),"")</f>
        <v>nops</v>
      </c>
      <c r="X89" s="54"/>
    </row>
    <row r="90" spans="1:24" ht="19.5" customHeight="1">
      <c r="A90" s="44" t="s">
        <v>31</v>
      </c>
      <c r="B90" s="45">
        <v>87</v>
      </c>
      <c r="C90" s="46">
        <f>IF(COUNTBLANK(I89)=1,(C89*'Config.'!$D$9)+C89,(I89*'Config.'!$D$9)+I89)</f>
        <v>17155.183076573361</v>
      </c>
      <c r="D90" s="46">
        <f>IF(COUNTBLANK(I89)=1,I89*'Config.'!$D$11,I89*'Config.'!$D$11)</f>
        <v>0</v>
      </c>
      <c r="E90" s="46">
        <f t="shared" si="7"/>
        <v>816.91347983682681</v>
      </c>
      <c r="F90" s="47"/>
      <c r="G90" s="48" t="str">
        <f t="shared" si="5"/>
        <v>-</v>
      </c>
      <c r="H90" s="29" t="str">
        <f>IF(COUNTBLANK(I90)=1,IF(C90&lt;='Config.'!$D$7,"meta","nops"),"")</f>
        <v>nops</v>
      </c>
      <c r="I90" s="55"/>
      <c r="J90" s="65"/>
      <c r="K90" s="15"/>
      <c r="L90" s="15"/>
      <c r="M90" s="51" t="str">
        <f t="shared" si="8"/>
        <v/>
      </c>
      <c r="N90" s="51" t="str">
        <f t="shared" si="6"/>
        <v/>
      </c>
      <c r="O90" s="57" t="str">
        <f t="shared" si="9"/>
        <v/>
      </c>
      <c r="P90" s="6"/>
      <c r="Q90" s="6"/>
      <c r="R90" s="6"/>
      <c r="S90" s="6"/>
      <c r="T90" s="6"/>
      <c r="U90" s="6"/>
      <c r="V90" s="32">
        <f>IF(COUNTBLANK(X89)=1,(V89*'Config.'!$D$9)+V89,(X89*'Config.'!$D$9)+X89)</f>
        <v>16039.722674699573</v>
      </c>
      <c r="W90" s="29" t="str">
        <f>IF(COUNTBLANK(X90)=1,IF(V90&lt;='Config.'!$D$7,"meta","nops"),"")</f>
        <v>nops</v>
      </c>
      <c r="X90" s="54"/>
    </row>
    <row r="91" spans="1:24" ht="19.5" customHeight="1">
      <c r="A91" s="44" t="s">
        <v>31</v>
      </c>
      <c r="B91" s="45">
        <v>88</v>
      </c>
      <c r="C91" s="46">
        <f>IF(COUNTBLANK(I90)=1,(C90*'Config.'!$D$9)+C90,(I90*'Config.'!$D$9)+I90)</f>
        <v>18012.94223040203</v>
      </c>
      <c r="D91" s="46">
        <f>IF(COUNTBLANK(I90)=1,I90*'Config.'!$D$11,I90*'Config.'!$D$11)</f>
        <v>0</v>
      </c>
      <c r="E91" s="46">
        <f t="shared" si="7"/>
        <v>857.75915382866879</v>
      </c>
      <c r="F91" s="47"/>
      <c r="G91" s="48" t="str">
        <f t="shared" si="5"/>
        <v>-</v>
      </c>
      <c r="H91" s="29" t="str">
        <f>IF(COUNTBLANK(I91)=1,IF(C91&lt;='Config.'!$D$7,"meta","nops"),"")</f>
        <v>nops</v>
      </c>
      <c r="I91" s="55"/>
      <c r="J91" s="65"/>
      <c r="K91" s="15"/>
      <c r="L91" s="15"/>
      <c r="M91" s="51" t="str">
        <f t="shared" si="8"/>
        <v/>
      </c>
      <c r="N91" s="51" t="str">
        <f t="shared" si="6"/>
        <v/>
      </c>
      <c r="O91" s="57" t="str">
        <f t="shared" si="9"/>
        <v/>
      </c>
      <c r="P91" s="6"/>
      <c r="Q91" s="6"/>
      <c r="R91" s="6"/>
      <c r="S91" s="6"/>
      <c r="T91" s="6"/>
      <c r="U91" s="6"/>
      <c r="V91" s="32">
        <f>IF(COUNTBLANK(X90)=1,(V90*'Config.'!$D$9)+V90,(X90*'Config.'!$D$9)+X90)</f>
        <v>16841.708808434552</v>
      </c>
      <c r="W91" s="29" t="str">
        <f>IF(COUNTBLANK(X91)=1,IF(V91&lt;='Config.'!$D$7,"meta","nops"),"")</f>
        <v>nops</v>
      </c>
      <c r="X91" s="54"/>
    </row>
    <row r="92" spans="1:24" ht="19.5" customHeight="1">
      <c r="A92" s="44" t="s">
        <v>31</v>
      </c>
      <c r="B92" s="45">
        <v>89</v>
      </c>
      <c r="C92" s="46">
        <f>IF(COUNTBLANK(I91)=1,(C91*'Config.'!$D$9)+C91,(I91*'Config.'!$D$9)+I91)</f>
        <v>18913.589341922132</v>
      </c>
      <c r="D92" s="46">
        <f>IF(COUNTBLANK(I91)=1,I91*'Config.'!$D$11,I91*'Config.'!$D$11)</f>
        <v>0</v>
      </c>
      <c r="E92" s="46">
        <f t="shared" si="7"/>
        <v>900.64711152010204</v>
      </c>
      <c r="F92" s="47"/>
      <c r="G92" s="48" t="str">
        <f t="shared" si="5"/>
        <v>-</v>
      </c>
      <c r="H92" s="29" t="str">
        <f>IF(COUNTBLANK(I92)=1,IF(C92&lt;='Config.'!$D$7,"meta","nops"),"")</f>
        <v>nops</v>
      </c>
      <c r="I92" s="55"/>
      <c r="J92" s="65"/>
      <c r="K92" s="15"/>
      <c r="L92" s="15"/>
      <c r="M92" s="51" t="str">
        <f t="shared" si="8"/>
        <v/>
      </c>
      <c r="N92" s="51" t="str">
        <f t="shared" si="6"/>
        <v/>
      </c>
      <c r="O92" s="57" t="str">
        <f t="shared" si="9"/>
        <v/>
      </c>
      <c r="P92" s="6"/>
      <c r="Q92" s="6"/>
      <c r="R92" s="6"/>
      <c r="S92" s="6"/>
      <c r="T92" s="6"/>
      <c r="U92" s="6"/>
      <c r="V92" s="32">
        <f>IF(COUNTBLANK(X91)=1,(V91*'Config.'!$D$9)+V91,(X91*'Config.'!$D$9)+X91)</f>
        <v>17683.79424885628</v>
      </c>
      <c r="W92" s="29" t="str">
        <f>IF(COUNTBLANK(X92)=1,IF(V92&lt;='Config.'!$D$7,"meta","nops"),"")</f>
        <v>nops</v>
      </c>
      <c r="X92" s="54"/>
    </row>
    <row r="93" spans="1:24" ht="19.5" customHeight="1">
      <c r="A93" s="44" t="s">
        <v>31</v>
      </c>
      <c r="B93" s="45">
        <v>90</v>
      </c>
      <c r="C93" s="46">
        <f>IF(COUNTBLANK(I92)=1,(C92*'Config.'!$D$9)+C92,(I92*'Config.'!$D$9)+I92)</f>
        <v>19859.268809018238</v>
      </c>
      <c r="D93" s="46">
        <f>IF(COUNTBLANK(I92)=1,I92*'Config.'!$D$11,I92*'Config.'!$D$11)</f>
        <v>0</v>
      </c>
      <c r="E93" s="46">
        <f t="shared" si="7"/>
        <v>945.67946709610624</v>
      </c>
      <c r="F93" s="47"/>
      <c r="G93" s="48" t="str">
        <f t="shared" si="5"/>
        <v>-</v>
      </c>
      <c r="H93" s="29" t="str">
        <f>IF(COUNTBLANK(I93)=1,IF(C93&lt;='Config.'!$D$7,"meta","nops"),"")</f>
        <v>nops</v>
      </c>
      <c r="I93" s="55"/>
      <c r="J93" s="65"/>
      <c r="K93" s="15"/>
      <c r="L93" s="15"/>
      <c r="M93" s="51" t="str">
        <f t="shared" si="8"/>
        <v/>
      </c>
      <c r="N93" s="51" t="str">
        <f t="shared" si="6"/>
        <v/>
      </c>
      <c r="O93" s="57" t="str">
        <f t="shared" si="9"/>
        <v/>
      </c>
      <c r="P93" s="6"/>
      <c r="Q93" s="6"/>
      <c r="R93" s="6"/>
      <c r="S93" s="6"/>
      <c r="T93" s="6"/>
      <c r="U93" s="6"/>
      <c r="V93" s="32">
        <f>IF(COUNTBLANK(X92)=1,(V92*'Config.'!$D$9)+V92,(X92*'Config.'!$D$9)+X92)</f>
        <v>18567.983961299095</v>
      </c>
      <c r="W93" s="29" t="str">
        <f>IF(COUNTBLANK(X93)=1,IF(V93&lt;='Config.'!$D$7,"meta","nops"),"")</f>
        <v>nops</v>
      </c>
      <c r="X93" s="54"/>
    </row>
    <row r="94" spans="1:24" ht="19.5" customHeight="1">
      <c r="A94" s="44" t="s">
        <v>31</v>
      </c>
      <c r="B94" s="45">
        <v>91</v>
      </c>
      <c r="C94" s="46">
        <f>IF(COUNTBLANK(I93)=1,(C93*'Config.'!$D$9)+C93,(I93*'Config.'!$D$9)+I93)</f>
        <v>20852.232249469151</v>
      </c>
      <c r="D94" s="46">
        <f>IF(COUNTBLANK(I93)=1,I93*'Config.'!$D$11,I93*'Config.'!$D$11)</f>
        <v>0</v>
      </c>
      <c r="E94" s="46">
        <f t="shared" si="7"/>
        <v>992.96344045091246</v>
      </c>
      <c r="F94" s="47"/>
      <c r="G94" s="48" t="str">
        <f t="shared" si="5"/>
        <v>-</v>
      </c>
      <c r="H94" s="29" t="str">
        <f>IF(COUNTBLANK(I94)=1,IF(C94&lt;='Config.'!$D$7,"meta","nops"),"")</f>
        <v>nops</v>
      </c>
      <c r="I94" s="55"/>
      <c r="J94" s="65"/>
      <c r="K94" s="15"/>
      <c r="L94" s="15"/>
      <c r="M94" s="51" t="str">
        <f t="shared" si="8"/>
        <v/>
      </c>
      <c r="N94" s="51" t="str">
        <f t="shared" si="6"/>
        <v/>
      </c>
      <c r="O94" s="57" t="str">
        <f t="shared" si="9"/>
        <v/>
      </c>
      <c r="P94" s="6"/>
      <c r="Q94" s="6"/>
      <c r="R94" s="6"/>
      <c r="S94" s="6"/>
      <c r="T94" s="6"/>
      <c r="U94" s="6"/>
      <c r="V94" s="32">
        <f>IF(COUNTBLANK(X93)=1,(V93*'Config.'!$D$9)+V93,(X93*'Config.'!$D$9)+X93)</f>
        <v>19496.38315936405</v>
      </c>
      <c r="W94" s="29" t="str">
        <f>IF(COUNTBLANK(X94)=1,IF(V94&lt;='Config.'!$D$7,"meta","nops"),"")</f>
        <v>nops</v>
      </c>
      <c r="X94" s="54"/>
    </row>
    <row r="95" spans="1:24" ht="19.5" customHeight="1">
      <c r="A95" s="44" t="s">
        <v>31</v>
      </c>
      <c r="B95" s="45">
        <v>92</v>
      </c>
      <c r="C95" s="46">
        <f>IF(COUNTBLANK(I94)=1,(C94*'Config.'!$D$9)+C94,(I94*'Config.'!$D$9)+I94)</f>
        <v>21894.843861942609</v>
      </c>
      <c r="D95" s="46">
        <f>IF(COUNTBLANK(I94)=1,I94*'Config.'!$D$11,I94*'Config.'!$D$11)</f>
        <v>0</v>
      </c>
      <c r="E95" s="46">
        <f t="shared" si="7"/>
        <v>1042.6116124734581</v>
      </c>
      <c r="F95" s="47"/>
      <c r="G95" s="48" t="str">
        <f t="shared" si="5"/>
        <v>-</v>
      </c>
      <c r="H95" s="29" t="str">
        <f>IF(COUNTBLANK(I95)=1,IF(C95&lt;='Config.'!$D$7,"meta","nops"),"")</f>
        <v>nops</v>
      </c>
      <c r="I95" s="55"/>
      <c r="J95" s="65"/>
      <c r="K95" s="15"/>
      <c r="L95" s="15"/>
      <c r="M95" s="51" t="str">
        <f t="shared" si="8"/>
        <v/>
      </c>
      <c r="N95" s="51" t="str">
        <f t="shared" si="6"/>
        <v/>
      </c>
      <c r="O95" s="57" t="str">
        <f t="shared" si="9"/>
        <v/>
      </c>
      <c r="P95" s="6"/>
      <c r="Q95" s="6"/>
      <c r="R95" s="6"/>
      <c r="S95" s="6"/>
      <c r="T95" s="6"/>
      <c r="U95" s="6"/>
      <c r="V95" s="32">
        <f>IF(COUNTBLANK(X94)=1,(V94*'Config.'!$D$9)+V94,(X94*'Config.'!$D$9)+X94)</f>
        <v>20471.202317332252</v>
      </c>
      <c r="W95" s="29" t="str">
        <f>IF(COUNTBLANK(X95)=1,IF(V95&lt;='Config.'!$D$7,"meta","nops"),"")</f>
        <v>nops</v>
      </c>
      <c r="X95" s="54"/>
    </row>
    <row r="96" spans="1:24" ht="19.5" customHeight="1">
      <c r="A96" s="44" t="s">
        <v>31</v>
      </c>
      <c r="B96" s="45">
        <v>93</v>
      </c>
      <c r="C96" s="46">
        <f>IF(COUNTBLANK(I95)=1,(C95*'Config.'!$D$9)+C95,(I95*'Config.'!$D$9)+I95)</f>
        <v>22989.586055039741</v>
      </c>
      <c r="D96" s="46">
        <f>IF(COUNTBLANK(I95)=1,I95*'Config.'!$D$11,I95*'Config.'!$D$11)</f>
        <v>0</v>
      </c>
      <c r="E96" s="46">
        <f t="shared" si="7"/>
        <v>1094.7421930971323</v>
      </c>
      <c r="F96" s="47"/>
      <c r="G96" s="48" t="str">
        <f t="shared" si="5"/>
        <v>-</v>
      </c>
      <c r="H96" s="29" t="str">
        <f>IF(COUNTBLANK(I96)=1,IF(C96&lt;='Config.'!$D$7,"meta","nops"),"")</f>
        <v>nops</v>
      </c>
      <c r="I96" s="55"/>
      <c r="J96" s="65"/>
      <c r="K96" s="15"/>
      <c r="L96" s="15"/>
      <c r="M96" s="51" t="str">
        <f t="shared" si="8"/>
        <v/>
      </c>
      <c r="N96" s="51" t="str">
        <f t="shared" si="6"/>
        <v/>
      </c>
      <c r="O96" s="57" t="str">
        <f t="shared" si="9"/>
        <v/>
      </c>
      <c r="P96" s="6"/>
      <c r="Q96" s="6"/>
      <c r="R96" s="6"/>
      <c r="S96" s="6"/>
      <c r="T96" s="6"/>
      <c r="U96" s="6"/>
      <c r="V96" s="32">
        <f>IF(COUNTBLANK(X95)=1,(V95*'Config.'!$D$9)+V95,(X95*'Config.'!$D$9)+X95)</f>
        <v>21494.762433198866</v>
      </c>
      <c r="W96" s="29" t="str">
        <f>IF(COUNTBLANK(X96)=1,IF(V96&lt;='Config.'!$D$7,"meta","nops"),"")</f>
        <v>nops</v>
      </c>
      <c r="X96" s="54"/>
    </row>
    <row r="97" spans="1:24" ht="19.5" customHeight="1">
      <c r="A97" s="44" t="s">
        <v>31</v>
      </c>
      <c r="B97" s="45">
        <v>94</v>
      </c>
      <c r="C97" s="46">
        <f>IF(COUNTBLANK(I96)=1,(C96*'Config.'!$D$9)+C96,(I96*'Config.'!$D$9)+I96)</f>
        <v>24139.065357791729</v>
      </c>
      <c r="D97" s="46">
        <f>IF(COUNTBLANK(I96)=1,I96*'Config.'!$D$11,I96*'Config.'!$D$11)</f>
        <v>0</v>
      </c>
      <c r="E97" s="46">
        <f t="shared" si="7"/>
        <v>1149.4793027519881</v>
      </c>
      <c r="F97" s="47"/>
      <c r="G97" s="48" t="str">
        <f t="shared" si="5"/>
        <v>-</v>
      </c>
      <c r="H97" s="29" t="str">
        <f>IF(COUNTBLANK(I97)=1,IF(C97&lt;='Config.'!$D$7,"meta","nops"),"")</f>
        <v>nops</v>
      </c>
      <c r="I97" s="55"/>
      <c r="J97" s="65"/>
      <c r="K97" s="15"/>
      <c r="L97" s="15"/>
      <c r="M97" s="51" t="str">
        <f t="shared" si="8"/>
        <v/>
      </c>
      <c r="N97" s="51" t="str">
        <f t="shared" si="6"/>
        <v/>
      </c>
      <c r="O97" s="57" t="str">
        <f t="shared" si="9"/>
        <v/>
      </c>
      <c r="P97" s="6"/>
      <c r="Q97" s="6"/>
      <c r="R97" s="6"/>
      <c r="S97" s="6"/>
      <c r="T97" s="6"/>
      <c r="U97" s="6"/>
      <c r="V97" s="32">
        <f>IF(COUNTBLANK(X96)=1,(V96*'Config.'!$D$9)+V96,(X96*'Config.'!$D$9)+X96)</f>
        <v>22569.500554858809</v>
      </c>
      <c r="W97" s="29" t="str">
        <f>IF(COUNTBLANK(X97)=1,IF(V97&lt;='Config.'!$D$7,"meta","nops"),"")</f>
        <v>nops</v>
      </c>
      <c r="X97" s="54"/>
    </row>
    <row r="98" spans="1:24" ht="19.5" customHeight="1">
      <c r="A98" s="44" t="s">
        <v>31</v>
      </c>
      <c r="B98" s="45">
        <v>95</v>
      </c>
      <c r="C98" s="46">
        <f>IF(COUNTBLANK(I97)=1,(C97*'Config.'!$D$9)+C97,(I97*'Config.'!$D$9)+I97)</f>
        <v>25346.018625681314</v>
      </c>
      <c r="D98" s="46">
        <f>IF(COUNTBLANK(I97)=1,I97*'Config.'!$D$11,I97*'Config.'!$D$11)</f>
        <v>0</v>
      </c>
      <c r="E98" s="46">
        <f t="shared" si="7"/>
        <v>1206.9532678895848</v>
      </c>
      <c r="F98" s="47"/>
      <c r="G98" s="48" t="str">
        <f t="shared" si="5"/>
        <v>-</v>
      </c>
      <c r="H98" s="29" t="str">
        <f>IF(COUNTBLANK(I98)=1,IF(C98&lt;='Config.'!$D$7,"meta","nops"),"")</f>
        <v>nops</v>
      </c>
      <c r="I98" s="55"/>
      <c r="J98" s="65"/>
      <c r="K98" s="15"/>
      <c r="L98" s="15"/>
      <c r="M98" s="51" t="str">
        <f t="shared" si="8"/>
        <v/>
      </c>
      <c r="N98" s="51" t="str">
        <f t="shared" si="6"/>
        <v/>
      </c>
      <c r="O98" s="57" t="str">
        <f t="shared" si="9"/>
        <v/>
      </c>
      <c r="P98" s="6"/>
      <c r="Q98" s="6"/>
      <c r="R98" s="6"/>
      <c r="S98" s="6"/>
      <c r="T98" s="6"/>
      <c r="U98" s="6"/>
      <c r="V98" s="32">
        <f>IF(COUNTBLANK(X97)=1,(V97*'Config.'!$D$9)+V97,(X97*'Config.'!$D$9)+X97)</f>
        <v>23697.97558260175</v>
      </c>
      <c r="W98" s="29" t="str">
        <f>IF(COUNTBLANK(X98)=1,IF(V98&lt;='Config.'!$D$7,"meta","nops"),"")</f>
        <v>nops</v>
      </c>
      <c r="X98" s="54"/>
    </row>
    <row r="99" spans="1:24" ht="19.5" customHeight="1">
      <c r="A99" s="44" t="s">
        <v>31</v>
      </c>
      <c r="B99" s="45">
        <v>96</v>
      </c>
      <c r="C99" s="46">
        <f>IF(COUNTBLANK(I98)=1,(C98*'Config.'!$D$9)+C98,(I98*'Config.'!$D$9)+I98)</f>
        <v>26613.31955696538</v>
      </c>
      <c r="D99" s="46">
        <f>IF(COUNTBLANK(I98)=1,I98*'Config.'!$D$11,I98*'Config.'!$D$11)</f>
        <v>0</v>
      </c>
      <c r="E99" s="46">
        <f t="shared" si="7"/>
        <v>1267.3009312840659</v>
      </c>
      <c r="F99" s="47"/>
      <c r="G99" s="48" t="str">
        <f t="shared" si="5"/>
        <v>-</v>
      </c>
      <c r="H99" s="29" t="str">
        <f>IF(COUNTBLANK(I99)=1,IF(C99&lt;='Config.'!$D$7,"meta","nops"),"")</f>
        <v>nops</v>
      </c>
      <c r="I99" s="55"/>
      <c r="J99" s="65"/>
      <c r="K99" s="15"/>
      <c r="L99" s="15"/>
      <c r="M99" s="51" t="str">
        <f t="shared" si="8"/>
        <v/>
      </c>
      <c r="N99" s="51" t="str">
        <f t="shared" si="6"/>
        <v/>
      </c>
      <c r="O99" s="57" t="str">
        <f t="shared" si="9"/>
        <v/>
      </c>
      <c r="P99" s="6"/>
      <c r="Q99" s="6"/>
      <c r="R99" s="6"/>
      <c r="S99" s="6"/>
      <c r="T99" s="6"/>
      <c r="U99" s="6"/>
      <c r="V99" s="32">
        <f>IF(COUNTBLANK(X98)=1,(V98*'Config.'!$D$9)+V98,(X98*'Config.'!$D$9)+X98)</f>
        <v>24882.874361731836</v>
      </c>
      <c r="W99" s="29" t="str">
        <f>IF(COUNTBLANK(X99)=1,IF(V99&lt;='Config.'!$D$7,"meta","nops"),"")</f>
        <v>nops</v>
      </c>
      <c r="X99" s="54"/>
    </row>
    <row r="100" spans="1:24" ht="19.5" customHeight="1">
      <c r="A100" s="44" t="s">
        <v>31</v>
      </c>
      <c r="B100" s="45">
        <v>97</v>
      </c>
      <c r="C100" s="46">
        <f>IF(COUNTBLANK(I99)=1,(C99*'Config.'!$D$9)+C99,(I99*'Config.'!$D$9)+I99)</f>
        <v>27943.985534813648</v>
      </c>
      <c r="D100" s="46">
        <f>IF(COUNTBLANK(I99)=1,I99*'Config.'!$D$11,I99*'Config.'!$D$11)</f>
        <v>0</v>
      </c>
      <c r="E100" s="46">
        <f t="shared" si="7"/>
        <v>1330.6659778482681</v>
      </c>
      <c r="F100" s="47"/>
      <c r="G100" s="48" t="str">
        <f t="shared" si="5"/>
        <v>-</v>
      </c>
      <c r="H100" s="29" t="str">
        <f>IF(COUNTBLANK(I100)=1,IF(C100&lt;='Config.'!$D$7,"meta","nops"),"")</f>
        <v>nops</v>
      </c>
      <c r="I100" s="55"/>
      <c r="J100" s="65"/>
      <c r="K100" s="15"/>
      <c r="L100" s="15"/>
      <c r="M100" s="51" t="str">
        <f t="shared" si="8"/>
        <v/>
      </c>
      <c r="N100" s="51" t="str">
        <f t="shared" si="6"/>
        <v/>
      </c>
      <c r="O100" s="57" t="str">
        <f t="shared" si="9"/>
        <v/>
      </c>
      <c r="P100" s="6"/>
      <c r="Q100" s="6"/>
      <c r="R100" s="6"/>
      <c r="S100" s="6"/>
      <c r="T100" s="6"/>
      <c r="U100" s="6"/>
      <c r="V100" s="32">
        <f>IF(COUNTBLANK(X99)=1,(V99*'Config.'!$D$9)+V99,(X99*'Config.'!$D$9)+X99)</f>
        <v>26127.018079818426</v>
      </c>
      <c r="W100" s="29" t="str">
        <f>IF(COUNTBLANK(X100)=1,IF(V100&lt;='Config.'!$D$7,"meta","nops"),"")</f>
        <v>nops</v>
      </c>
      <c r="X100" s="54"/>
    </row>
    <row r="101" spans="1:24" ht="19.5" customHeight="1">
      <c r="A101" s="44" t="s">
        <v>31</v>
      </c>
      <c r="B101" s="45">
        <v>98</v>
      </c>
      <c r="C101" s="46">
        <f>IF(COUNTBLANK(I100)=1,(C100*'Config.'!$D$9)+C100,(I100*'Config.'!$D$9)+I100)</f>
        <v>29341.184811554329</v>
      </c>
      <c r="D101" s="46">
        <f>IF(COUNTBLANK(I100)=1,I100*'Config.'!$D$11,I100*'Config.'!$D$11)</f>
        <v>0</v>
      </c>
      <c r="E101" s="46">
        <f t="shared" si="7"/>
        <v>1397.1992767406809</v>
      </c>
      <c r="F101" s="47"/>
      <c r="G101" s="48" t="str">
        <f t="shared" si="5"/>
        <v>-</v>
      </c>
      <c r="H101" s="29" t="str">
        <f>IF(COUNTBLANK(I101)=1,IF(C101&lt;='Config.'!$D$7,"meta","nops"),"")</f>
        <v>nops</v>
      </c>
      <c r="I101" s="55"/>
      <c r="J101" s="65"/>
      <c r="K101" s="15"/>
      <c r="L101" s="15"/>
      <c r="M101" s="51" t="str">
        <f t="shared" si="8"/>
        <v/>
      </c>
      <c r="N101" s="51" t="str">
        <f t="shared" si="6"/>
        <v/>
      </c>
      <c r="O101" s="57" t="str">
        <f t="shared" si="9"/>
        <v/>
      </c>
      <c r="P101" s="6"/>
      <c r="Q101" s="6"/>
      <c r="R101" s="6"/>
      <c r="S101" s="6"/>
      <c r="T101" s="6"/>
      <c r="U101" s="6"/>
      <c r="V101" s="32">
        <f>IF(COUNTBLANK(X100)=1,(V100*'Config.'!$D$9)+V100,(X100*'Config.'!$D$9)+X100)</f>
        <v>27433.368983809349</v>
      </c>
      <c r="W101" s="29" t="str">
        <f>IF(COUNTBLANK(X101)=1,IF(V101&lt;='Config.'!$D$7,"meta","nops"),"")</f>
        <v>nops</v>
      </c>
      <c r="X101" s="54"/>
    </row>
    <row r="102" spans="1:24" ht="19.5" customHeight="1">
      <c r="A102" s="44" t="s">
        <v>31</v>
      </c>
      <c r="B102" s="45">
        <v>99</v>
      </c>
      <c r="C102" s="46">
        <f>IF(COUNTBLANK(I101)=1,(C101*'Config.'!$D$9)+C101,(I101*'Config.'!$D$9)+I101)</f>
        <v>30808.244052132046</v>
      </c>
      <c r="D102" s="46">
        <f>IF(COUNTBLANK(I101)=1,I101*'Config.'!$D$11,I101*'Config.'!$D$11)</f>
        <v>0</v>
      </c>
      <c r="E102" s="46">
        <f t="shared" si="7"/>
        <v>1467.059240577717</v>
      </c>
      <c r="F102" s="47"/>
      <c r="G102" s="48" t="str">
        <f t="shared" si="5"/>
        <v>-</v>
      </c>
      <c r="H102" s="29" t="str">
        <f>IF(COUNTBLANK(I102)=1,IF(C102&lt;='Config.'!$D$7,"meta","nops"),"")</f>
        <v>nops</v>
      </c>
      <c r="I102" s="55"/>
      <c r="J102" s="65"/>
      <c r="K102" s="15"/>
      <c r="L102" s="15"/>
      <c r="M102" s="51" t="str">
        <f t="shared" si="8"/>
        <v/>
      </c>
      <c r="N102" s="51" t="str">
        <f t="shared" si="6"/>
        <v/>
      </c>
      <c r="O102" s="57" t="str">
        <f t="shared" si="9"/>
        <v/>
      </c>
      <c r="P102" s="6"/>
      <c r="Q102" s="6"/>
      <c r="R102" s="6"/>
      <c r="S102" s="6"/>
      <c r="T102" s="6"/>
      <c r="U102" s="6"/>
      <c r="V102" s="32">
        <f>IF(COUNTBLANK(X101)=1,(V101*'Config.'!$D$9)+V101,(X101*'Config.'!$D$9)+X101)</f>
        <v>28805.037432999816</v>
      </c>
      <c r="W102" s="29" t="str">
        <f>IF(COUNTBLANK(X102)=1,IF(V102&lt;='Config.'!$D$7,"meta","nops"),"")</f>
        <v>nops</v>
      </c>
      <c r="X102" s="54"/>
    </row>
    <row r="103" spans="1:24" ht="19.5" customHeight="1">
      <c r="A103" s="44" t="s">
        <v>31</v>
      </c>
      <c r="B103" s="45">
        <v>100</v>
      </c>
      <c r="C103" s="46">
        <f>IF(COUNTBLANK(I102)=1,(C102*'Config.'!$D$9)+C102,(I102*'Config.'!$D$9)+I102)</f>
        <v>32348.656254738649</v>
      </c>
      <c r="D103" s="46">
        <f>IF(COUNTBLANK(I102)=1,I102*'Config.'!$D$11,I102*'Config.'!$D$11)</f>
        <v>0</v>
      </c>
      <c r="E103" s="46">
        <f t="shared" si="7"/>
        <v>1540.4122026066034</v>
      </c>
      <c r="F103" s="47"/>
      <c r="G103" s="48" t="str">
        <f t="shared" si="5"/>
        <v>-</v>
      </c>
      <c r="H103" s="29" t="str">
        <f>IF(COUNTBLANK(I103)=1,IF(C103&lt;='Config.'!$D$7,"meta","nops"),"")</f>
        <v>nops</v>
      </c>
      <c r="I103" s="55"/>
      <c r="J103" s="65"/>
      <c r="K103" s="15"/>
      <c r="L103" s="15"/>
      <c r="M103" s="51" t="str">
        <f t="shared" si="8"/>
        <v/>
      </c>
      <c r="N103" s="51" t="str">
        <f t="shared" si="6"/>
        <v/>
      </c>
      <c r="O103" s="57" t="str">
        <f t="shared" si="9"/>
        <v/>
      </c>
      <c r="P103" s="6"/>
      <c r="Q103" s="6"/>
      <c r="R103" s="6"/>
      <c r="S103" s="6"/>
      <c r="T103" s="6"/>
      <c r="U103" s="6"/>
      <c r="V103" s="32">
        <f>IF(COUNTBLANK(X102)=1,(V102*'Config.'!$D$9)+V102,(X102*'Config.'!$D$9)+X102)</f>
        <v>30245.289304649807</v>
      </c>
      <c r="W103" s="29" t="str">
        <f>IF(COUNTBLANK(X103)=1,IF(V103&lt;='Config.'!$D$7,"meta","nops"),"")</f>
        <v>nops</v>
      </c>
      <c r="X103" s="54"/>
    </row>
    <row r="104" spans="1:24" ht="19.5" customHeight="1">
      <c r="A104" s="44" t="s">
        <v>31</v>
      </c>
      <c r="B104" s="45">
        <v>101</v>
      </c>
      <c r="C104" s="46">
        <f>IF(COUNTBLANK(I103)=1,(C103*'Config.'!$D$9)+C103,(I103*'Config.'!$D$9)+I103)</f>
        <v>33966.089067475579</v>
      </c>
      <c r="D104" s="46">
        <f>IF(COUNTBLANK(I103)=1,I103*'Config.'!$D$11,I103*'Config.'!$D$11)</f>
        <v>0</v>
      </c>
      <c r="E104" s="46">
        <f t="shared" si="7"/>
        <v>1617.4328127369299</v>
      </c>
      <c r="F104" s="47"/>
      <c r="G104" s="48" t="str">
        <f t="shared" si="5"/>
        <v>-</v>
      </c>
      <c r="H104" s="29" t="str">
        <f>IF(COUNTBLANK(I104)=1,IF(C104&lt;='Config.'!$D$7,"meta","nops"),"")</f>
        <v>nops</v>
      </c>
      <c r="I104" s="55"/>
      <c r="J104" s="65"/>
      <c r="K104" s="15"/>
      <c r="L104" s="15"/>
      <c r="M104" s="51" t="str">
        <f t="shared" si="8"/>
        <v/>
      </c>
      <c r="N104" s="51" t="str">
        <f t="shared" si="6"/>
        <v/>
      </c>
      <c r="O104" s="57" t="str">
        <f t="shared" si="9"/>
        <v/>
      </c>
      <c r="P104" s="6"/>
      <c r="Q104" s="6"/>
      <c r="R104" s="6"/>
      <c r="S104" s="6"/>
      <c r="T104" s="6"/>
      <c r="U104" s="6"/>
      <c r="V104" s="32">
        <f>IF(COUNTBLANK(X103)=1,(V103*'Config.'!$D$9)+V103,(X103*'Config.'!$D$9)+X103)</f>
        <v>31757.553769882295</v>
      </c>
      <c r="W104" s="29" t="str">
        <f>IF(COUNTBLANK(X104)=1,IF(V104&lt;='Config.'!$D$7,"meta","nops"),"")</f>
        <v>nops</v>
      </c>
      <c r="X104" s="54"/>
    </row>
    <row r="105" spans="1:24" ht="19.5" customHeight="1">
      <c r="A105" s="44" t="s">
        <v>31</v>
      </c>
      <c r="B105" s="45">
        <v>102</v>
      </c>
      <c r="C105" s="46">
        <f>IF(COUNTBLANK(I104)=1,(C104*'Config.'!$D$9)+C104,(I104*'Config.'!$D$9)+I104)</f>
        <v>35664.393520849357</v>
      </c>
      <c r="D105" s="46">
        <f>IF(COUNTBLANK(I104)=1,I104*'Config.'!$D$11,I104*'Config.'!$D$11)</f>
        <v>0</v>
      </c>
      <c r="E105" s="46">
        <f t="shared" si="7"/>
        <v>1698.3044533737775</v>
      </c>
      <c r="F105" s="47"/>
      <c r="G105" s="48" t="str">
        <f t="shared" si="5"/>
        <v>-</v>
      </c>
      <c r="H105" s="29" t="str">
        <f>IF(COUNTBLANK(I105)=1,IF(C105&lt;='Config.'!$D$7,"meta","nops"),"")</f>
        <v>nops</v>
      </c>
      <c r="I105" s="55"/>
      <c r="J105" s="65"/>
      <c r="K105" s="15"/>
      <c r="L105" s="15"/>
      <c r="M105" s="51" t="str">
        <f t="shared" si="8"/>
        <v/>
      </c>
      <c r="N105" s="51" t="str">
        <f t="shared" si="6"/>
        <v/>
      </c>
      <c r="O105" s="57" t="str">
        <f t="shared" si="9"/>
        <v/>
      </c>
      <c r="P105" s="6"/>
      <c r="Q105" s="6"/>
      <c r="R105" s="6"/>
      <c r="S105" s="6"/>
      <c r="T105" s="6"/>
      <c r="U105" s="6"/>
      <c r="V105" s="32">
        <f>IF(COUNTBLANK(X104)=1,(V104*'Config.'!$D$9)+V104,(X104*'Config.'!$D$9)+X104)</f>
        <v>33345.431458376414</v>
      </c>
      <c r="W105" s="29" t="str">
        <f>IF(COUNTBLANK(X105)=1,IF(V105&lt;='Config.'!$D$7,"meta","nops"),"")</f>
        <v>nops</v>
      </c>
      <c r="X105" s="54"/>
    </row>
    <row r="106" spans="1:24" ht="19.5" customHeight="1">
      <c r="A106" s="44" t="s">
        <v>31</v>
      </c>
      <c r="B106" s="45">
        <v>103</v>
      </c>
      <c r="C106" s="46">
        <f>IF(COUNTBLANK(I105)=1,(C105*'Config.'!$D$9)+C105,(I105*'Config.'!$D$9)+I105)</f>
        <v>37447.613196891827</v>
      </c>
      <c r="D106" s="46">
        <f>IF(COUNTBLANK(I105)=1,I105*'Config.'!$D$11,I105*'Config.'!$D$11)</f>
        <v>0</v>
      </c>
      <c r="E106" s="46">
        <f t="shared" si="7"/>
        <v>1783.2196760424704</v>
      </c>
      <c r="F106" s="47"/>
      <c r="G106" s="48" t="str">
        <f t="shared" si="5"/>
        <v>-</v>
      </c>
      <c r="H106" s="29" t="str">
        <f>IF(COUNTBLANK(I106)=1,IF(C106&lt;='Config.'!$D$7,"meta","nops"),"")</f>
        <v>nops</v>
      </c>
      <c r="I106" s="55"/>
      <c r="J106" s="65"/>
      <c r="K106" s="15"/>
      <c r="L106" s="15"/>
      <c r="M106" s="51" t="str">
        <f t="shared" si="8"/>
        <v/>
      </c>
      <c r="N106" s="51" t="str">
        <f t="shared" si="6"/>
        <v/>
      </c>
      <c r="O106" s="57" t="str">
        <f t="shared" si="9"/>
        <v/>
      </c>
      <c r="P106" s="6"/>
      <c r="Q106" s="6"/>
      <c r="R106" s="6"/>
      <c r="S106" s="6"/>
      <c r="T106" s="6"/>
      <c r="U106" s="6"/>
      <c r="V106" s="32">
        <f>IF(COUNTBLANK(X105)=1,(V105*'Config.'!$D$9)+V105,(X105*'Config.'!$D$9)+X105)</f>
        <v>35012.703031295234</v>
      </c>
      <c r="W106" s="29" t="str">
        <f>IF(COUNTBLANK(X106)=1,IF(V106&lt;='Config.'!$D$7,"meta","nops"),"")</f>
        <v>nops</v>
      </c>
      <c r="X106" s="54"/>
    </row>
    <row r="107" spans="1:24" ht="19.5" customHeight="1">
      <c r="A107" s="44" t="s">
        <v>31</v>
      </c>
      <c r="B107" s="45">
        <v>104</v>
      </c>
      <c r="C107" s="46">
        <f>IF(COUNTBLANK(I106)=1,(C106*'Config.'!$D$9)+C106,(I106*'Config.'!$D$9)+I106)</f>
        <v>39319.993856736415</v>
      </c>
      <c r="D107" s="46">
        <f>IF(COUNTBLANK(I106)=1,I106*'Config.'!$D$11,I106*'Config.'!$D$11)</f>
        <v>0</v>
      </c>
      <c r="E107" s="46">
        <f t="shared" si="7"/>
        <v>1872.3806598445881</v>
      </c>
      <c r="F107" s="47"/>
      <c r="G107" s="48" t="str">
        <f t="shared" si="5"/>
        <v>-</v>
      </c>
      <c r="H107" s="29" t="str">
        <f>IF(COUNTBLANK(I107)=1,IF(C107&lt;='Config.'!$D$7,"meta","nops"),"")</f>
        <v>nops</v>
      </c>
      <c r="I107" s="55"/>
      <c r="J107" s="65"/>
      <c r="K107" s="15"/>
      <c r="L107" s="15"/>
      <c r="M107" s="51" t="str">
        <f t="shared" si="8"/>
        <v/>
      </c>
      <c r="N107" s="51" t="str">
        <f t="shared" si="6"/>
        <v/>
      </c>
      <c r="O107" s="57" t="str">
        <f t="shared" si="9"/>
        <v/>
      </c>
      <c r="P107" s="6"/>
      <c r="Q107" s="6"/>
      <c r="R107" s="6"/>
      <c r="S107" s="6"/>
      <c r="T107" s="6"/>
      <c r="U107" s="6"/>
      <c r="V107" s="32">
        <f>IF(COUNTBLANK(X106)=1,(V106*'Config.'!$D$9)+V106,(X106*'Config.'!$D$9)+X106)</f>
        <v>36763.338182859996</v>
      </c>
      <c r="W107" s="29" t="str">
        <f>IF(COUNTBLANK(X107)=1,IF(V107&lt;='Config.'!$D$7,"meta","nops"),"")</f>
        <v>nops</v>
      </c>
      <c r="X107" s="54"/>
    </row>
    <row r="108" spans="1:24" ht="19.5" customHeight="1">
      <c r="A108" s="44" t="s">
        <v>31</v>
      </c>
      <c r="B108" s="45">
        <v>105</v>
      </c>
      <c r="C108" s="46">
        <f>IF(COUNTBLANK(I107)=1,(C107*'Config.'!$D$9)+C107,(I107*'Config.'!$D$9)+I107)</f>
        <v>41285.993549573235</v>
      </c>
      <c r="D108" s="46">
        <f>IF(COUNTBLANK(I107)=1,I107*'Config.'!$D$11,I107*'Config.'!$D$11)</f>
        <v>0</v>
      </c>
      <c r="E108" s="46">
        <f t="shared" si="7"/>
        <v>1965.99969283682</v>
      </c>
      <c r="F108" s="47"/>
      <c r="G108" s="48" t="str">
        <f t="shared" si="5"/>
        <v>-</v>
      </c>
      <c r="H108" s="29" t="str">
        <f>IF(COUNTBLANK(I108)=1,IF(C108&lt;='Config.'!$D$7,"meta","nops"),"")</f>
        <v>nops</v>
      </c>
      <c r="I108" s="55"/>
      <c r="J108" s="65"/>
      <c r="K108" s="15"/>
      <c r="L108" s="15"/>
      <c r="M108" s="51" t="str">
        <f t="shared" si="8"/>
        <v/>
      </c>
      <c r="N108" s="51" t="str">
        <f t="shared" si="6"/>
        <v/>
      </c>
      <c r="O108" s="57" t="str">
        <f t="shared" si="9"/>
        <v/>
      </c>
      <c r="P108" s="6"/>
      <c r="Q108" s="6"/>
      <c r="R108" s="6"/>
      <c r="S108" s="6"/>
      <c r="T108" s="6"/>
      <c r="U108" s="6"/>
      <c r="V108" s="32">
        <f>IF(COUNTBLANK(X107)=1,(V107*'Config.'!$D$9)+V107,(X107*'Config.'!$D$9)+X107)</f>
        <v>38601.505092002997</v>
      </c>
      <c r="W108" s="29" t="str">
        <f>IF(COUNTBLANK(X108)=1,IF(V108&lt;='Config.'!$D$7,"meta","nops"),"")</f>
        <v>nops</v>
      </c>
      <c r="X108" s="54"/>
    </row>
    <row r="109" spans="1:24" ht="19.5" customHeight="1">
      <c r="A109" s="44" t="s">
        <v>31</v>
      </c>
      <c r="B109" s="45">
        <v>106</v>
      </c>
      <c r="C109" s="46">
        <f>IF(COUNTBLANK(I108)=1,(C108*'Config.'!$D$9)+C108,(I108*'Config.'!$D$9)+I108)</f>
        <v>43350.293227051894</v>
      </c>
      <c r="D109" s="46">
        <f>IF(COUNTBLANK(I108)=1,I108*'Config.'!$D$11,I108*'Config.'!$D$11)</f>
        <v>0</v>
      </c>
      <c r="E109" s="46">
        <f t="shared" si="7"/>
        <v>2064.2996774786589</v>
      </c>
      <c r="F109" s="47"/>
      <c r="G109" s="48" t="str">
        <f t="shared" si="5"/>
        <v>-</v>
      </c>
      <c r="H109" s="29" t="str">
        <f>IF(COUNTBLANK(I109)=1,IF(C109&lt;='Config.'!$D$7,"meta","nops"),"")</f>
        <v>nops</v>
      </c>
      <c r="I109" s="55"/>
      <c r="J109" s="65"/>
      <c r="K109" s="15"/>
      <c r="L109" s="15"/>
      <c r="M109" s="51" t="str">
        <f t="shared" si="8"/>
        <v/>
      </c>
      <c r="N109" s="51" t="str">
        <f t="shared" si="6"/>
        <v/>
      </c>
      <c r="O109" s="57" t="str">
        <f t="shared" si="9"/>
        <v/>
      </c>
      <c r="P109" s="6"/>
      <c r="Q109" s="6"/>
      <c r="R109" s="6"/>
      <c r="S109" s="6"/>
      <c r="T109" s="6"/>
      <c r="U109" s="6"/>
      <c r="V109" s="32">
        <f>IF(COUNTBLANK(X108)=1,(V108*'Config.'!$D$9)+V108,(X108*'Config.'!$D$9)+X108)</f>
        <v>40531.58034660315</v>
      </c>
      <c r="W109" s="29" t="str">
        <f>IF(COUNTBLANK(X109)=1,IF(V109&lt;='Config.'!$D$7,"meta","nops"),"")</f>
        <v>nops</v>
      </c>
      <c r="X109" s="54"/>
    </row>
    <row r="110" spans="1:24" ht="19.5" customHeight="1">
      <c r="A110" s="44" t="s">
        <v>31</v>
      </c>
      <c r="B110" s="45">
        <v>107</v>
      </c>
      <c r="C110" s="46">
        <f>IF(COUNTBLANK(I109)=1,(C109*'Config.'!$D$9)+C109,(I109*'Config.'!$D$9)+I109)</f>
        <v>45517.807888404488</v>
      </c>
      <c r="D110" s="46">
        <f>IF(COUNTBLANK(I109)=1,I109*'Config.'!$D$11,I109*'Config.'!$D$11)</f>
        <v>0</v>
      </c>
      <c r="E110" s="46">
        <f t="shared" si="7"/>
        <v>2167.514661352594</v>
      </c>
      <c r="F110" s="47"/>
      <c r="G110" s="48" t="str">
        <f t="shared" si="5"/>
        <v>-</v>
      </c>
      <c r="H110" s="29" t="str">
        <f>IF(COUNTBLANK(I110)=1,IF(C110&lt;='Config.'!$D$7,"meta","nops"),"")</f>
        <v>nops</v>
      </c>
      <c r="I110" s="55"/>
      <c r="J110" s="65"/>
      <c r="K110" s="15"/>
      <c r="L110" s="15"/>
      <c r="M110" s="51" t="str">
        <f t="shared" si="8"/>
        <v/>
      </c>
      <c r="N110" s="51" t="str">
        <f t="shared" si="6"/>
        <v/>
      </c>
      <c r="O110" s="57" t="str">
        <f t="shared" si="9"/>
        <v/>
      </c>
      <c r="P110" s="6"/>
      <c r="Q110" s="6"/>
      <c r="R110" s="6"/>
      <c r="S110" s="6"/>
      <c r="T110" s="6"/>
      <c r="U110" s="6"/>
      <c r="V110" s="32">
        <f>IF(COUNTBLANK(X109)=1,(V109*'Config.'!$D$9)+V109,(X109*'Config.'!$D$9)+X109)</f>
        <v>42558.159363933308</v>
      </c>
      <c r="W110" s="29" t="str">
        <f>IF(COUNTBLANK(X110)=1,IF(V110&lt;='Config.'!$D$7,"meta","nops"),"")</f>
        <v>nops</v>
      </c>
      <c r="X110" s="54"/>
    </row>
    <row r="111" spans="1:24" ht="19.5" customHeight="1">
      <c r="A111" s="44" t="s">
        <v>31</v>
      </c>
      <c r="B111" s="45">
        <v>108</v>
      </c>
      <c r="C111" s="46">
        <f>IF(COUNTBLANK(I110)=1,(C110*'Config.'!$D$9)+C110,(I110*'Config.'!$D$9)+I110)</f>
        <v>47793.698282824713</v>
      </c>
      <c r="D111" s="46">
        <f>IF(COUNTBLANK(I110)=1,I110*'Config.'!$D$11,I110*'Config.'!$D$11)</f>
        <v>0</v>
      </c>
      <c r="E111" s="46">
        <f t="shared" si="7"/>
        <v>2275.8903944202248</v>
      </c>
      <c r="F111" s="47"/>
      <c r="G111" s="48" t="str">
        <f t="shared" si="5"/>
        <v>-</v>
      </c>
      <c r="H111" s="29" t="str">
        <f>IF(COUNTBLANK(I111)=1,IF(C111&lt;='Config.'!$D$7,"meta","nops"),"")</f>
        <v>nops</v>
      </c>
      <c r="I111" s="55"/>
      <c r="J111" s="65"/>
      <c r="K111" s="15"/>
      <c r="L111" s="15"/>
      <c r="M111" s="51" t="str">
        <f t="shared" si="8"/>
        <v/>
      </c>
      <c r="N111" s="51" t="str">
        <f t="shared" si="6"/>
        <v/>
      </c>
      <c r="O111" s="57" t="str">
        <f t="shared" si="9"/>
        <v/>
      </c>
      <c r="P111" s="6"/>
      <c r="Q111" s="6"/>
      <c r="R111" s="6"/>
      <c r="S111" s="6"/>
      <c r="T111" s="6"/>
      <c r="U111" s="6"/>
      <c r="V111" s="32">
        <f>IF(COUNTBLANK(X110)=1,(V110*'Config.'!$D$9)+V110,(X110*'Config.'!$D$9)+X110)</f>
        <v>44686.067332129976</v>
      </c>
      <c r="W111" s="29" t="str">
        <f>IF(COUNTBLANK(X111)=1,IF(V111&lt;='Config.'!$D$7,"meta","nops"),"")</f>
        <v>nops</v>
      </c>
      <c r="X111" s="54"/>
    </row>
    <row r="112" spans="1:24" ht="19.5" customHeight="1">
      <c r="A112" s="44" t="s">
        <v>31</v>
      </c>
      <c r="B112" s="45">
        <v>109</v>
      </c>
      <c r="C112" s="46">
        <f>IF(COUNTBLANK(I111)=1,(C111*'Config.'!$D$9)+C111,(I111*'Config.'!$D$9)+I111)</f>
        <v>50183.383196965951</v>
      </c>
      <c r="D112" s="46">
        <f>IF(COUNTBLANK(I111)=1,I111*'Config.'!$D$11,I111*'Config.'!$D$11)</f>
        <v>0</v>
      </c>
      <c r="E112" s="46">
        <f t="shared" si="7"/>
        <v>2389.6849141412386</v>
      </c>
      <c r="F112" s="47"/>
      <c r="G112" s="48" t="str">
        <f t="shared" si="5"/>
        <v>-</v>
      </c>
      <c r="H112" s="29" t="str">
        <f>IF(COUNTBLANK(I112)=1,IF(C112&lt;='Config.'!$D$7,"meta","nops"),"")</f>
        <v>nops</v>
      </c>
      <c r="I112" s="55"/>
      <c r="J112" s="65"/>
      <c r="K112" s="15"/>
      <c r="L112" s="15"/>
      <c r="M112" s="51" t="str">
        <f t="shared" si="8"/>
        <v/>
      </c>
      <c r="N112" s="51" t="str">
        <f t="shared" si="6"/>
        <v/>
      </c>
      <c r="O112" s="57" t="str">
        <f t="shared" si="9"/>
        <v/>
      </c>
      <c r="P112" s="6"/>
      <c r="Q112" s="6"/>
      <c r="R112" s="6"/>
      <c r="S112" s="6"/>
      <c r="T112" s="6"/>
      <c r="U112" s="6"/>
      <c r="V112" s="32">
        <f>IF(COUNTBLANK(X111)=1,(V111*'Config.'!$D$9)+V111,(X111*'Config.'!$D$9)+X111)</f>
        <v>46920.370698736479</v>
      </c>
      <c r="W112" s="29" t="str">
        <f>IF(COUNTBLANK(X112)=1,IF(V112&lt;='Config.'!$D$7,"meta","nops"),"")</f>
        <v>nops</v>
      </c>
      <c r="X112" s="54"/>
    </row>
    <row r="113" spans="1:24" ht="19.5" customHeight="1">
      <c r="A113" s="44" t="s">
        <v>31</v>
      </c>
      <c r="B113" s="45">
        <v>110</v>
      </c>
      <c r="C113" s="46">
        <f>IF(COUNTBLANK(I112)=1,(C112*'Config.'!$D$9)+C112,(I112*'Config.'!$D$9)+I112)</f>
        <v>52692.552356814253</v>
      </c>
      <c r="D113" s="46">
        <f>IF(COUNTBLANK(I112)=1,I112*'Config.'!$D$11,I112*'Config.'!$D$11)</f>
        <v>0</v>
      </c>
      <c r="E113" s="46">
        <f t="shared" si="7"/>
        <v>2509.1691598483012</v>
      </c>
      <c r="F113" s="47"/>
      <c r="G113" s="48" t="str">
        <f t="shared" si="5"/>
        <v>-</v>
      </c>
      <c r="H113" s="29" t="str">
        <f>IF(COUNTBLANK(I113)=1,IF(C113&lt;='Config.'!$D$7,"meta","nops"),"")</f>
        <v>nops</v>
      </c>
      <c r="I113" s="55"/>
      <c r="J113" s="65"/>
      <c r="K113" s="15"/>
      <c r="L113" s="15"/>
      <c r="M113" s="51" t="str">
        <f t="shared" si="8"/>
        <v/>
      </c>
      <c r="N113" s="51" t="str">
        <f t="shared" si="6"/>
        <v/>
      </c>
      <c r="O113" s="57" t="str">
        <f t="shared" si="9"/>
        <v/>
      </c>
      <c r="P113" s="6"/>
      <c r="Q113" s="6"/>
      <c r="R113" s="6"/>
      <c r="S113" s="6"/>
      <c r="T113" s="6"/>
      <c r="U113" s="6"/>
      <c r="V113" s="32">
        <f>IF(COUNTBLANK(X112)=1,(V112*'Config.'!$D$9)+V112,(X112*'Config.'!$D$9)+X112)</f>
        <v>49266.389233673304</v>
      </c>
      <c r="W113" s="29" t="str">
        <f>IF(COUNTBLANK(X113)=1,IF(V113&lt;='Config.'!$D$7,"meta","nops"),"")</f>
        <v>nops</v>
      </c>
      <c r="X113" s="54"/>
    </row>
    <row r="114" spans="1:24" ht="19.5" customHeight="1">
      <c r="A114" s="44" t="s">
        <v>31</v>
      </c>
      <c r="B114" s="45">
        <v>111</v>
      </c>
      <c r="C114" s="46">
        <f>IF(COUNTBLANK(I113)=1,(C113*'Config.'!$D$9)+C113,(I113*'Config.'!$D$9)+I113)</f>
        <v>55327.179974654966</v>
      </c>
      <c r="D114" s="46">
        <f>IF(COUNTBLANK(I113)=1,I113*'Config.'!$D$11,I113*'Config.'!$D$11)</f>
        <v>0</v>
      </c>
      <c r="E114" s="46">
        <f t="shared" si="7"/>
        <v>2634.6276178407134</v>
      </c>
      <c r="F114" s="47"/>
      <c r="G114" s="48" t="str">
        <f t="shared" si="5"/>
        <v>-</v>
      </c>
      <c r="H114" s="29" t="str">
        <f>IF(COUNTBLANK(I114)=1,IF(C114&lt;='Config.'!$D$7,"meta","nops"),"")</f>
        <v>nops</v>
      </c>
      <c r="I114" s="55"/>
      <c r="J114" s="65"/>
      <c r="K114" s="15"/>
      <c r="L114" s="15"/>
      <c r="M114" s="51" t="str">
        <f t="shared" si="8"/>
        <v/>
      </c>
      <c r="N114" s="51" t="str">
        <f t="shared" si="6"/>
        <v/>
      </c>
      <c r="O114" s="57" t="str">
        <f t="shared" si="9"/>
        <v/>
      </c>
      <c r="P114" s="6"/>
      <c r="Q114" s="6"/>
      <c r="R114" s="6"/>
      <c r="S114" s="6"/>
      <c r="T114" s="6"/>
      <c r="U114" s="6"/>
      <c r="V114" s="32">
        <f>IF(COUNTBLANK(X113)=1,(V113*'Config.'!$D$9)+V113,(X113*'Config.'!$D$9)+X113)</f>
        <v>51729.708695356967</v>
      </c>
      <c r="W114" s="29" t="str">
        <f>IF(COUNTBLANK(X114)=1,IF(V114&lt;='Config.'!$D$7,"meta","nops"),"")</f>
        <v>nops</v>
      </c>
      <c r="X114" s="54"/>
    </row>
    <row r="115" spans="1:24" ht="19.5" customHeight="1">
      <c r="A115" s="44" t="s">
        <v>31</v>
      </c>
      <c r="B115" s="45">
        <v>112</v>
      </c>
      <c r="C115" s="46">
        <f>IF(COUNTBLANK(I114)=1,(C114*'Config.'!$D$9)+C114,(I114*'Config.'!$D$9)+I114)</f>
        <v>58093.538973387716</v>
      </c>
      <c r="D115" s="46">
        <f>IF(COUNTBLANK(I114)=1,I114*'Config.'!$D$11,I114*'Config.'!$D$11)</f>
        <v>0</v>
      </c>
      <c r="E115" s="46">
        <f t="shared" si="7"/>
        <v>2766.3589987327505</v>
      </c>
      <c r="F115" s="47"/>
      <c r="G115" s="48" t="str">
        <f t="shared" si="5"/>
        <v>-</v>
      </c>
      <c r="H115" s="29" t="str">
        <f>IF(COUNTBLANK(I115)=1,IF(C115&lt;='Config.'!$D$7,"meta","nops"),"")</f>
        <v>nops</v>
      </c>
      <c r="I115" s="55"/>
      <c r="J115" s="65"/>
      <c r="K115" s="15"/>
      <c r="L115" s="15"/>
      <c r="M115" s="51" t="str">
        <f t="shared" si="8"/>
        <v/>
      </c>
      <c r="N115" s="51" t="str">
        <f t="shared" si="6"/>
        <v/>
      </c>
      <c r="O115" s="57" t="str">
        <f t="shared" si="9"/>
        <v/>
      </c>
      <c r="P115" s="6"/>
      <c r="Q115" s="6"/>
      <c r="R115" s="6"/>
      <c r="S115" s="6"/>
      <c r="T115" s="6"/>
      <c r="U115" s="6"/>
      <c r="V115" s="32">
        <f>IF(COUNTBLANK(X114)=1,(V114*'Config.'!$D$9)+V114,(X114*'Config.'!$D$9)+X114)</f>
        <v>54316.194130124815</v>
      </c>
      <c r="W115" s="29" t="str">
        <f>IF(COUNTBLANK(X115)=1,IF(V115&lt;='Config.'!$D$7,"meta","nops"),"")</f>
        <v>nops</v>
      </c>
      <c r="X115" s="54"/>
    </row>
    <row r="116" spans="1:24" ht="19.5" customHeight="1">
      <c r="A116" s="44" t="s">
        <v>31</v>
      </c>
      <c r="B116" s="45">
        <v>113</v>
      </c>
      <c r="C116" s="46">
        <f>IF(COUNTBLANK(I115)=1,(C115*'Config.'!$D$9)+C115,(I115*'Config.'!$D$9)+I115)</f>
        <v>60998.215922057105</v>
      </c>
      <c r="D116" s="46">
        <f>IF(COUNTBLANK(I115)=1,I115*'Config.'!$D$11,I115*'Config.'!$D$11)</f>
        <v>0</v>
      </c>
      <c r="E116" s="46">
        <f t="shared" si="7"/>
        <v>2904.6769486693884</v>
      </c>
      <c r="F116" s="47"/>
      <c r="G116" s="48" t="str">
        <f t="shared" si="5"/>
        <v>-</v>
      </c>
      <c r="H116" s="29" t="str">
        <f>IF(COUNTBLANK(I116)=1,IF(C116&lt;='Config.'!$D$7,"meta","nops"),"")</f>
        <v>nops</v>
      </c>
      <c r="I116" s="55"/>
      <c r="J116" s="65"/>
      <c r="K116" s="15"/>
      <c r="L116" s="15"/>
      <c r="M116" s="51" t="str">
        <f t="shared" si="8"/>
        <v/>
      </c>
      <c r="N116" s="51" t="str">
        <f t="shared" si="6"/>
        <v/>
      </c>
      <c r="O116" s="57" t="str">
        <f t="shared" si="9"/>
        <v/>
      </c>
      <c r="P116" s="6"/>
      <c r="Q116" s="6"/>
      <c r="R116" s="6"/>
      <c r="S116" s="6"/>
      <c r="T116" s="6"/>
      <c r="U116" s="6"/>
      <c r="V116" s="32">
        <f>IF(COUNTBLANK(X115)=1,(V115*'Config.'!$D$9)+V115,(X115*'Config.'!$D$9)+X115)</f>
        <v>57032.003836631055</v>
      </c>
      <c r="W116" s="29" t="str">
        <f>IF(COUNTBLANK(X116)=1,IF(V116&lt;='Config.'!$D$7,"meta","nops"),"")</f>
        <v>nops</v>
      </c>
      <c r="X116" s="54"/>
    </row>
    <row r="117" spans="1:24" ht="19.5" customHeight="1">
      <c r="A117" s="44" t="s">
        <v>31</v>
      </c>
      <c r="B117" s="45">
        <v>114</v>
      </c>
      <c r="C117" s="46">
        <f>IF(COUNTBLANK(I116)=1,(C116*'Config.'!$D$9)+C116,(I116*'Config.'!$D$9)+I116)</f>
        <v>64048.126718159961</v>
      </c>
      <c r="D117" s="46">
        <f>IF(COUNTBLANK(I116)=1,I116*'Config.'!$D$11,I116*'Config.'!$D$11)</f>
        <v>0</v>
      </c>
      <c r="E117" s="46">
        <f t="shared" si="7"/>
        <v>3049.9107961028567</v>
      </c>
      <c r="F117" s="47"/>
      <c r="G117" s="48" t="str">
        <f t="shared" si="5"/>
        <v>-</v>
      </c>
      <c r="H117" s="29" t="str">
        <f>IF(COUNTBLANK(I117)=1,IF(C117&lt;='Config.'!$D$7,"meta","nops"),"")</f>
        <v>nops</v>
      </c>
      <c r="I117" s="55"/>
      <c r="J117" s="65"/>
      <c r="K117" s="15"/>
      <c r="L117" s="15"/>
      <c r="M117" s="51" t="str">
        <f t="shared" si="8"/>
        <v/>
      </c>
      <c r="N117" s="51" t="str">
        <f t="shared" si="6"/>
        <v/>
      </c>
      <c r="O117" s="57" t="str">
        <f t="shared" si="9"/>
        <v/>
      </c>
      <c r="P117" s="6"/>
      <c r="Q117" s="6"/>
      <c r="R117" s="6"/>
      <c r="S117" s="6"/>
      <c r="T117" s="6"/>
      <c r="U117" s="6"/>
      <c r="V117" s="32">
        <f>IF(COUNTBLANK(X116)=1,(V116*'Config.'!$D$9)+V116,(X116*'Config.'!$D$9)+X116)</f>
        <v>59883.604028462607</v>
      </c>
      <c r="W117" s="29" t="str">
        <f>IF(COUNTBLANK(X117)=1,IF(V117&lt;='Config.'!$D$7,"meta","nops"),"")</f>
        <v>nops</v>
      </c>
      <c r="X117" s="54"/>
    </row>
    <row r="118" spans="1:24" ht="19.5" customHeight="1">
      <c r="A118" s="44" t="s">
        <v>31</v>
      </c>
      <c r="B118" s="45">
        <v>115</v>
      </c>
      <c r="C118" s="46">
        <f>IF(COUNTBLANK(I117)=1,(C117*'Config.'!$D$9)+C117,(I117*'Config.'!$D$9)+I117)</f>
        <v>67250.533054067957</v>
      </c>
      <c r="D118" s="46">
        <f>IF(COUNTBLANK(I117)=1,I117*'Config.'!$D$11,I117*'Config.'!$D$11)</f>
        <v>0</v>
      </c>
      <c r="E118" s="46">
        <f t="shared" si="7"/>
        <v>3202.4063359079955</v>
      </c>
      <c r="F118" s="47"/>
      <c r="G118" s="48" t="str">
        <f t="shared" si="5"/>
        <v>-</v>
      </c>
      <c r="H118" s="29" t="str">
        <f>IF(COUNTBLANK(I118)=1,IF(C118&lt;='Config.'!$D$7,"meta","nops"),"")</f>
        <v>nops</v>
      </c>
      <c r="I118" s="55"/>
      <c r="J118" s="65"/>
      <c r="K118" s="15"/>
      <c r="L118" s="15"/>
      <c r="M118" s="51" t="str">
        <f t="shared" si="8"/>
        <v/>
      </c>
      <c r="N118" s="51" t="str">
        <f t="shared" si="6"/>
        <v/>
      </c>
      <c r="O118" s="57" t="str">
        <f t="shared" si="9"/>
        <v/>
      </c>
      <c r="P118" s="6"/>
      <c r="Q118" s="6"/>
      <c r="R118" s="6"/>
      <c r="S118" s="6"/>
      <c r="T118" s="6"/>
      <c r="U118" s="6"/>
      <c r="V118" s="32">
        <f>IF(COUNTBLANK(X117)=1,(V117*'Config.'!$D$9)+V117,(X117*'Config.'!$D$9)+X117)</f>
        <v>62877.784229885736</v>
      </c>
      <c r="W118" s="29" t="str">
        <f>IF(COUNTBLANK(X118)=1,IF(V118&lt;='Config.'!$D$7,"meta","nops"),"")</f>
        <v>nops</v>
      </c>
      <c r="X118" s="54"/>
    </row>
    <row r="119" spans="1:24" ht="19.5" customHeight="1">
      <c r="A119" s="44" t="s">
        <v>31</v>
      </c>
      <c r="B119" s="45">
        <v>116</v>
      </c>
      <c r="C119" s="46">
        <f>IF(COUNTBLANK(I118)=1,(C118*'Config.'!$D$9)+C118,(I118*'Config.'!$D$9)+I118)</f>
        <v>70613.059706771353</v>
      </c>
      <c r="D119" s="46">
        <f>IF(COUNTBLANK(I118)=1,I118*'Config.'!$D$11,I118*'Config.'!$D$11)</f>
        <v>0</v>
      </c>
      <c r="E119" s="46">
        <f t="shared" si="7"/>
        <v>3362.5266527033964</v>
      </c>
      <c r="F119" s="47"/>
      <c r="G119" s="48" t="str">
        <f t="shared" si="5"/>
        <v>-</v>
      </c>
      <c r="H119" s="29" t="str">
        <f>IF(COUNTBLANK(I119)=1,IF(C119&lt;='Config.'!$D$7,"meta","nops"),"")</f>
        <v>nops</v>
      </c>
      <c r="I119" s="55"/>
      <c r="J119" s="65"/>
      <c r="K119" s="15"/>
      <c r="L119" s="15"/>
      <c r="M119" s="51" t="str">
        <f t="shared" si="8"/>
        <v/>
      </c>
      <c r="N119" s="51" t="str">
        <f t="shared" si="6"/>
        <v/>
      </c>
      <c r="O119" s="57" t="str">
        <f t="shared" si="9"/>
        <v/>
      </c>
      <c r="P119" s="6"/>
      <c r="Q119" s="6"/>
      <c r="R119" s="6"/>
      <c r="S119" s="6"/>
      <c r="T119" s="6"/>
      <c r="U119" s="6"/>
      <c r="V119" s="32">
        <f>IF(COUNTBLANK(X118)=1,(V118*'Config.'!$D$9)+V118,(X118*'Config.'!$D$9)+X118)</f>
        <v>66021.67344138003</v>
      </c>
      <c r="W119" s="29" t="str">
        <f>IF(COUNTBLANK(X119)=1,IF(V119&lt;='Config.'!$D$7,"meta","nops"),"")</f>
        <v>nops</v>
      </c>
      <c r="X119" s="54"/>
    </row>
    <row r="120" spans="1:24" ht="19.5" customHeight="1">
      <c r="A120" s="44" t="s">
        <v>31</v>
      </c>
      <c r="B120" s="45">
        <v>117</v>
      </c>
      <c r="C120" s="46">
        <f>IF(COUNTBLANK(I119)=1,(C119*'Config.'!$D$9)+C119,(I119*'Config.'!$D$9)+I119)</f>
        <v>74143.712692109926</v>
      </c>
      <c r="D120" s="46">
        <f>IF(COUNTBLANK(I119)=1,I119*'Config.'!$D$11,I119*'Config.'!$D$11)</f>
        <v>0</v>
      </c>
      <c r="E120" s="46">
        <f t="shared" si="7"/>
        <v>3530.6529853385728</v>
      </c>
      <c r="F120" s="47"/>
      <c r="G120" s="48" t="str">
        <f t="shared" si="5"/>
        <v>-</v>
      </c>
      <c r="H120" s="29" t="str">
        <f>IF(COUNTBLANK(I120)=1,IF(C120&lt;='Config.'!$D$7,"meta","nops"),"")</f>
        <v>nops</v>
      </c>
      <c r="I120" s="55"/>
      <c r="J120" s="65"/>
      <c r="K120" s="15"/>
      <c r="L120" s="15"/>
      <c r="M120" s="51" t="str">
        <f t="shared" si="8"/>
        <v/>
      </c>
      <c r="N120" s="51" t="str">
        <f t="shared" si="6"/>
        <v/>
      </c>
      <c r="O120" s="57" t="str">
        <f t="shared" si="9"/>
        <v/>
      </c>
      <c r="P120" s="6"/>
      <c r="Q120" s="6"/>
      <c r="R120" s="6"/>
      <c r="S120" s="6"/>
      <c r="T120" s="6"/>
      <c r="U120" s="6"/>
      <c r="V120" s="32">
        <f>IF(COUNTBLANK(X119)=1,(V119*'Config.'!$D$9)+V119,(X119*'Config.'!$D$9)+X119)</f>
        <v>69322.757113449028</v>
      </c>
      <c r="W120" s="29" t="str">
        <f>IF(COUNTBLANK(X120)=1,IF(V120&lt;='Config.'!$D$7,"meta","nops"),"")</f>
        <v>nops</v>
      </c>
      <c r="X120" s="54"/>
    </row>
    <row r="121" spans="1:24" ht="19.5" customHeight="1">
      <c r="A121" s="44" t="s">
        <v>31</v>
      </c>
      <c r="B121" s="45">
        <v>118</v>
      </c>
      <c r="C121" s="46">
        <f>IF(COUNTBLANK(I120)=1,(C120*'Config.'!$D$9)+C120,(I120*'Config.'!$D$9)+I120)</f>
        <v>77850.898326715425</v>
      </c>
      <c r="D121" s="46">
        <f>IF(COUNTBLANK(I120)=1,I120*'Config.'!$D$11,I120*'Config.'!$D$11)</f>
        <v>0</v>
      </c>
      <c r="E121" s="46">
        <f t="shared" si="7"/>
        <v>3707.1856346054992</v>
      </c>
      <c r="F121" s="47"/>
      <c r="G121" s="48" t="str">
        <f t="shared" si="5"/>
        <v>-</v>
      </c>
      <c r="H121" s="29" t="str">
        <f>IF(COUNTBLANK(I121)=1,IF(C121&lt;='Config.'!$D$7,"meta","nops"),"")</f>
        <v>nops</v>
      </c>
      <c r="I121" s="55"/>
      <c r="J121" s="65"/>
      <c r="K121" s="15"/>
      <c r="L121" s="15"/>
      <c r="M121" s="51" t="str">
        <f t="shared" si="8"/>
        <v/>
      </c>
      <c r="N121" s="51" t="str">
        <f t="shared" si="6"/>
        <v/>
      </c>
      <c r="O121" s="57" t="str">
        <f t="shared" si="9"/>
        <v/>
      </c>
      <c r="P121" s="6"/>
      <c r="Q121" s="6"/>
      <c r="R121" s="6"/>
      <c r="S121" s="6"/>
      <c r="T121" s="6"/>
      <c r="U121" s="6"/>
      <c r="V121" s="32">
        <f>IF(COUNTBLANK(X120)=1,(V120*'Config.'!$D$9)+V120,(X120*'Config.'!$D$9)+X120)</f>
        <v>72788.89496912148</v>
      </c>
      <c r="W121" s="29" t="str">
        <f>IF(COUNTBLANK(X121)=1,IF(V121&lt;='Config.'!$D$7,"meta","nops"),"")</f>
        <v>nops</v>
      </c>
      <c r="X121" s="54"/>
    </row>
    <row r="122" spans="1:24" ht="19.5" customHeight="1">
      <c r="A122" s="44" t="s">
        <v>31</v>
      </c>
      <c r="B122" s="45">
        <v>119</v>
      </c>
      <c r="C122" s="46">
        <f>IF(COUNTBLANK(I121)=1,(C121*'Config.'!$D$9)+C121,(I121*'Config.'!$D$9)+I121)</f>
        <v>81743.443243051195</v>
      </c>
      <c r="D122" s="46">
        <f>IF(COUNTBLANK(I121)=1,I121*'Config.'!$D$11,I121*'Config.'!$D$11)</f>
        <v>0</v>
      </c>
      <c r="E122" s="46">
        <f t="shared" si="7"/>
        <v>3892.5449163357698</v>
      </c>
      <c r="F122" s="47"/>
      <c r="G122" s="48" t="str">
        <f t="shared" si="5"/>
        <v>-</v>
      </c>
      <c r="H122" s="29" t="str">
        <f>IF(COUNTBLANK(I122)=1,IF(C122&lt;='Config.'!$D$7,"meta","nops"),"")</f>
        <v>nops</v>
      </c>
      <c r="I122" s="55"/>
      <c r="J122" s="65"/>
      <c r="K122" s="15"/>
      <c r="L122" s="15"/>
      <c r="M122" s="51" t="str">
        <f t="shared" si="8"/>
        <v/>
      </c>
      <c r="N122" s="51" t="str">
        <f t="shared" si="6"/>
        <v/>
      </c>
      <c r="O122" s="57" t="str">
        <f t="shared" si="9"/>
        <v/>
      </c>
      <c r="P122" s="6"/>
      <c r="Q122" s="6"/>
      <c r="R122" s="6"/>
      <c r="S122" s="6"/>
      <c r="T122" s="6"/>
      <c r="U122" s="6"/>
      <c r="V122" s="32">
        <f>IF(COUNTBLANK(X121)=1,(V121*'Config.'!$D$9)+V121,(X121*'Config.'!$D$9)+X121)</f>
        <v>76428.339717577561</v>
      </c>
      <c r="W122" s="29" t="str">
        <f>IF(COUNTBLANK(X122)=1,IF(V122&lt;='Config.'!$D$7,"meta","nops"),"")</f>
        <v>nops</v>
      </c>
      <c r="X122" s="54"/>
    </row>
    <row r="123" spans="1:24" ht="19.5" customHeight="1">
      <c r="A123" s="44" t="s">
        <v>31</v>
      </c>
      <c r="B123" s="45">
        <v>120</v>
      </c>
      <c r="C123" s="46">
        <f>IF(COUNTBLANK(I122)=1,(C122*'Config.'!$D$9)+C122,(I122*'Config.'!$D$9)+I122)</f>
        <v>85830.61540520376</v>
      </c>
      <c r="D123" s="46">
        <f>IF(COUNTBLANK(I122)=1,I122*'Config.'!$D$11,I122*'Config.'!$D$11)</f>
        <v>0</v>
      </c>
      <c r="E123" s="46">
        <f t="shared" si="7"/>
        <v>4087.1721621525649</v>
      </c>
      <c r="F123" s="47"/>
      <c r="G123" s="48" t="str">
        <f t="shared" si="5"/>
        <v>-</v>
      </c>
      <c r="H123" s="29" t="str">
        <f>IF(COUNTBLANK(I123)=1,IF(C123&lt;='Config.'!$D$7,"meta","nops"),"")</f>
        <v>nops</v>
      </c>
      <c r="I123" s="55"/>
      <c r="J123" s="65"/>
      <c r="K123" s="15"/>
      <c r="L123" s="15"/>
      <c r="M123" s="51" t="str">
        <f t="shared" si="8"/>
        <v/>
      </c>
      <c r="N123" s="51" t="str">
        <f t="shared" si="6"/>
        <v/>
      </c>
      <c r="O123" s="57" t="str">
        <f t="shared" si="9"/>
        <v/>
      </c>
      <c r="P123" s="6"/>
      <c r="Q123" s="6"/>
      <c r="R123" s="6"/>
      <c r="S123" s="6"/>
      <c r="T123" s="6"/>
      <c r="U123" s="6"/>
      <c r="V123" s="32">
        <f>IF(COUNTBLANK(X122)=1,(V122*'Config.'!$D$9)+V122,(X122*'Config.'!$D$9)+X122)</f>
        <v>80249.756703456442</v>
      </c>
      <c r="W123" s="29" t="str">
        <f>IF(COUNTBLANK(X123)=1,IF(V123&lt;='Config.'!$D$7,"meta","nops"),"")</f>
        <v>nops</v>
      </c>
      <c r="X123" s="54"/>
    </row>
    <row r="124" spans="1:24" ht="19.5" customHeight="1">
      <c r="A124" s="44" t="s">
        <v>31</v>
      </c>
      <c r="B124" s="45">
        <v>121</v>
      </c>
      <c r="C124" s="46">
        <f>IF(COUNTBLANK(I123)=1,(C123*'Config.'!$D$9)+C123,(I123*'Config.'!$D$9)+I123)</f>
        <v>90122.146175463946</v>
      </c>
      <c r="D124" s="46">
        <f>IF(COUNTBLANK(I123)=1,I123*'Config.'!$D$11,I123*'Config.'!$D$11)</f>
        <v>0</v>
      </c>
      <c r="E124" s="46">
        <f t="shared" si="7"/>
        <v>4291.5307702601858</v>
      </c>
      <c r="F124" s="47"/>
      <c r="G124" s="48" t="str">
        <f t="shared" si="5"/>
        <v>-</v>
      </c>
      <c r="H124" s="29" t="str">
        <f>IF(COUNTBLANK(I124)=1,IF(C124&lt;='Config.'!$D$7,"meta","nops"),"")</f>
        <v>nops</v>
      </c>
      <c r="I124" s="55"/>
      <c r="J124" s="65"/>
      <c r="K124" s="15"/>
      <c r="L124" s="15"/>
      <c r="M124" s="51" t="str">
        <f t="shared" si="8"/>
        <v/>
      </c>
      <c r="N124" s="51" t="str">
        <f t="shared" si="6"/>
        <v/>
      </c>
      <c r="O124" s="57" t="str">
        <f t="shared" si="9"/>
        <v/>
      </c>
      <c r="P124" s="6"/>
      <c r="Q124" s="6"/>
      <c r="R124" s="6"/>
      <c r="S124" s="6"/>
      <c r="T124" s="6"/>
      <c r="U124" s="6"/>
      <c r="V124" s="32">
        <f>IF(COUNTBLANK(X123)=1,(V123*'Config.'!$D$9)+V123,(X123*'Config.'!$D$9)+X123)</f>
        <v>84262.244538629267</v>
      </c>
      <c r="W124" s="29" t="str">
        <f>IF(COUNTBLANK(X124)=1,IF(V124&lt;='Config.'!$D$7,"meta","nops"),"")</f>
        <v>nops</v>
      </c>
      <c r="X124" s="54"/>
    </row>
    <row r="125" spans="1:24" ht="19.5" customHeight="1">
      <c r="A125" s="44" t="s">
        <v>31</v>
      </c>
      <c r="B125" s="45">
        <v>122</v>
      </c>
      <c r="C125" s="46">
        <f>IF(COUNTBLANK(I124)=1,(C124*'Config.'!$D$9)+C124,(I124*'Config.'!$D$9)+I124)</f>
        <v>94628.253484237139</v>
      </c>
      <c r="D125" s="46">
        <f>IF(COUNTBLANK(I124)=1,I124*'Config.'!$D$11,I124*'Config.'!$D$11)</f>
        <v>0</v>
      </c>
      <c r="E125" s="46">
        <f t="shared" si="7"/>
        <v>4506.1073087731929</v>
      </c>
      <c r="F125" s="47"/>
      <c r="G125" s="48" t="str">
        <f t="shared" si="5"/>
        <v>-</v>
      </c>
      <c r="H125" s="29" t="str">
        <f>IF(COUNTBLANK(I125)=1,IF(C125&lt;='Config.'!$D$7,"meta","nops"),"")</f>
        <v>nops</v>
      </c>
      <c r="I125" s="55"/>
      <c r="J125" s="65"/>
      <c r="K125" s="15"/>
      <c r="L125" s="15"/>
      <c r="M125" s="51" t="str">
        <f t="shared" si="8"/>
        <v/>
      </c>
      <c r="N125" s="51" t="str">
        <f t="shared" si="6"/>
        <v/>
      </c>
      <c r="O125" s="57" t="str">
        <f t="shared" si="9"/>
        <v/>
      </c>
      <c r="P125" s="6"/>
      <c r="Q125" s="6"/>
      <c r="R125" s="6"/>
      <c r="S125" s="6"/>
      <c r="T125" s="6"/>
      <c r="U125" s="6"/>
      <c r="V125" s="32">
        <f>IF(COUNTBLANK(X124)=1,(V124*'Config.'!$D$9)+V124,(X124*'Config.'!$D$9)+X124)</f>
        <v>88475.356765560733</v>
      </c>
      <c r="W125" s="29" t="str">
        <f>IF(COUNTBLANK(X125)=1,IF(V125&lt;='Config.'!$D$7,"meta","nops"),"")</f>
        <v>nops</v>
      </c>
      <c r="X125" s="54"/>
    </row>
    <row r="126" spans="1:24" ht="19.5" customHeight="1">
      <c r="A126" s="44" t="s">
        <v>31</v>
      </c>
      <c r="B126" s="45">
        <v>123</v>
      </c>
      <c r="C126" s="46">
        <f>IF(COUNTBLANK(I125)=1,(C125*'Config.'!$D$9)+C125,(I125*'Config.'!$D$9)+I125)</f>
        <v>99359.666158448992</v>
      </c>
      <c r="D126" s="46">
        <f>IF(COUNTBLANK(I125)=1,I125*'Config.'!$D$11,I125*'Config.'!$D$11)</f>
        <v>0</v>
      </c>
      <c r="E126" s="46">
        <f t="shared" si="7"/>
        <v>4731.4126742118533</v>
      </c>
      <c r="F126" s="47"/>
      <c r="G126" s="48" t="str">
        <f t="shared" si="5"/>
        <v>-</v>
      </c>
      <c r="H126" s="29" t="str">
        <f>IF(COUNTBLANK(I126)=1,IF(C126&lt;='Config.'!$D$7,"meta","nops"),"")</f>
        <v>nops</v>
      </c>
      <c r="I126" s="55"/>
      <c r="J126" s="65"/>
      <c r="K126" s="15"/>
      <c r="L126" s="15"/>
      <c r="M126" s="51" t="str">
        <f t="shared" si="8"/>
        <v/>
      </c>
      <c r="N126" s="51" t="str">
        <f t="shared" si="6"/>
        <v/>
      </c>
      <c r="O126" s="57" t="str">
        <f t="shared" si="9"/>
        <v/>
      </c>
      <c r="P126" s="6"/>
      <c r="Q126" s="6"/>
      <c r="R126" s="6"/>
      <c r="S126" s="6"/>
      <c r="T126" s="6"/>
      <c r="U126" s="6"/>
      <c r="V126" s="32">
        <f>IF(COUNTBLANK(X125)=1,(V125*'Config.'!$D$9)+V125,(X125*'Config.'!$D$9)+X125)</f>
        <v>92899.124603838776</v>
      </c>
      <c r="W126" s="29" t="str">
        <f>IF(COUNTBLANK(X126)=1,IF(V126&lt;='Config.'!$D$7,"meta","nops"),"")</f>
        <v>nops</v>
      </c>
      <c r="X126" s="54"/>
    </row>
    <row r="127" spans="1:24" ht="19.5" customHeight="1">
      <c r="A127" s="44" t="s">
        <v>31</v>
      </c>
      <c r="B127" s="45">
        <v>124</v>
      </c>
      <c r="C127" s="46">
        <f>IF(COUNTBLANK(I126)=1,(C126*'Config.'!$D$9)+C126,(I126*'Config.'!$D$9)+I126)</f>
        <v>104327.64946637144</v>
      </c>
      <c r="D127" s="46">
        <f>IF(COUNTBLANK(I126)=1,I126*'Config.'!$D$11,I126*'Config.'!$D$11)</f>
        <v>0</v>
      </c>
      <c r="E127" s="46">
        <f t="shared" si="7"/>
        <v>4967.9833079224481</v>
      </c>
      <c r="F127" s="47"/>
      <c r="G127" s="48" t="str">
        <f t="shared" si="5"/>
        <v>-</v>
      </c>
      <c r="H127" s="29" t="str">
        <f>IF(COUNTBLANK(I127)=1,IF(C127&lt;='Config.'!$D$7,"meta","nops"),"")</f>
        <v>nops</v>
      </c>
      <c r="I127" s="55"/>
      <c r="J127" s="65"/>
      <c r="K127" s="15"/>
      <c r="L127" s="15"/>
      <c r="M127" s="51" t="str">
        <f t="shared" si="8"/>
        <v/>
      </c>
      <c r="N127" s="51" t="str">
        <f t="shared" si="6"/>
        <v/>
      </c>
      <c r="O127" s="57" t="str">
        <f t="shared" si="9"/>
        <v/>
      </c>
      <c r="P127" s="6"/>
      <c r="Q127" s="6"/>
      <c r="R127" s="6"/>
      <c r="S127" s="6"/>
      <c r="T127" s="6"/>
      <c r="U127" s="6"/>
      <c r="V127" s="32">
        <f>IF(COUNTBLANK(X126)=1,(V126*'Config.'!$D$9)+V126,(X126*'Config.'!$D$9)+X126)</f>
        <v>97544.080834030712</v>
      </c>
      <c r="W127" s="29" t="str">
        <f>IF(COUNTBLANK(X127)=1,IF(V127&lt;='Config.'!$D$7,"meta","nops"),"")</f>
        <v>nops</v>
      </c>
      <c r="X127" s="54"/>
    </row>
    <row r="128" spans="1:24" ht="19.5" customHeight="1">
      <c r="A128" s="44" t="s">
        <v>31</v>
      </c>
      <c r="B128" s="45">
        <v>125</v>
      </c>
      <c r="C128" s="46">
        <f>IF(COUNTBLANK(I127)=1,(C127*'Config.'!$D$9)+C127,(I127*'Config.'!$D$9)+I127)</f>
        <v>109544.03193969002</v>
      </c>
      <c r="D128" s="46">
        <f>IF(COUNTBLANK(I127)=1,I127*'Config.'!$D$11,I127*'Config.'!$D$11)</f>
        <v>0</v>
      </c>
      <c r="E128" s="46">
        <f t="shared" si="7"/>
        <v>5216.3824733185756</v>
      </c>
      <c r="F128" s="47"/>
      <c r="G128" s="48" t="str">
        <f t="shared" si="5"/>
        <v>-</v>
      </c>
      <c r="H128" s="29" t="str">
        <f>IF(COUNTBLANK(I128)=1,IF(C128&lt;='Config.'!$D$7,"meta","nops"),"")</f>
        <v>nops</v>
      </c>
      <c r="I128" s="55"/>
      <c r="J128" s="65"/>
      <c r="K128" s="15"/>
      <c r="L128" s="15"/>
      <c r="M128" s="51" t="str">
        <f t="shared" si="8"/>
        <v/>
      </c>
      <c r="N128" s="51" t="str">
        <f t="shared" si="6"/>
        <v/>
      </c>
      <c r="O128" s="57" t="str">
        <f t="shared" si="9"/>
        <v/>
      </c>
      <c r="P128" s="6"/>
      <c r="Q128" s="6"/>
      <c r="R128" s="6"/>
      <c r="S128" s="6"/>
      <c r="T128" s="6"/>
      <c r="U128" s="6"/>
      <c r="V128" s="32">
        <f>IF(COUNTBLANK(X127)=1,(V127*'Config.'!$D$9)+V127,(X127*'Config.'!$D$9)+X127)</f>
        <v>102421.28487573225</v>
      </c>
      <c r="W128" s="29" t="str">
        <f>IF(COUNTBLANK(X128)=1,IF(V128&lt;='Config.'!$D$7,"meta","nops"),"")</f>
        <v>nops</v>
      </c>
      <c r="X128" s="54"/>
    </row>
    <row r="129" spans="1:24" ht="19.5" customHeight="1">
      <c r="A129" s="44" t="s">
        <v>31</v>
      </c>
      <c r="B129" s="45">
        <v>126</v>
      </c>
      <c r="C129" s="46">
        <f>IF(COUNTBLANK(I128)=1,(C128*'Config.'!$D$9)+C128,(I128*'Config.'!$D$9)+I128)</f>
        <v>115021.23353667452</v>
      </c>
      <c r="D129" s="46">
        <f>IF(COUNTBLANK(I128)=1,I128*'Config.'!$D$11,I128*'Config.'!$D$11)</f>
        <v>0</v>
      </c>
      <c r="E129" s="46">
        <f t="shared" si="7"/>
        <v>5477.2015969845088</v>
      </c>
      <c r="F129" s="47"/>
      <c r="G129" s="48" t="str">
        <f t="shared" si="5"/>
        <v>-</v>
      </c>
      <c r="H129" s="29" t="str">
        <f>IF(COUNTBLANK(I129)=1,IF(C129&lt;='Config.'!$D$7,"meta","nops"),"")</f>
        <v>nops</v>
      </c>
      <c r="I129" s="55"/>
      <c r="J129" s="65"/>
      <c r="K129" s="15"/>
      <c r="L129" s="15"/>
      <c r="M129" s="51" t="str">
        <f t="shared" si="8"/>
        <v/>
      </c>
      <c r="N129" s="51" t="str">
        <f t="shared" si="6"/>
        <v/>
      </c>
      <c r="O129" s="57" t="str">
        <f t="shared" si="9"/>
        <v/>
      </c>
      <c r="P129" s="6"/>
      <c r="Q129" s="6"/>
      <c r="R129" s="6"/>
      <c r="S129" s="6"/>
      <c r="T129" s="6"/>
      <c r="U129" s="6"/>
      <c r="V129" s="32">
        <f>IF(COUNTBLANK(X128)=1,(V128*'Config.'!$D$9)+V128,(X128*'Config.'!$D$9)+X128)</f>
        <v>107542.34911951887</v>
      </c>
      <c r="W129" s="29" t="str">
        <f>IF(COUNTBLANK(X129)=1,IF(V129&lt;='Config.'!$D$7,"meta","nops"),"")</f>
        <v>nops</v>
      </c>
      <c r="X129" s="54"/>
    </row>
    <row r="130" spans="1:24" ht="19.5" customHeight="1">
      <c r="A130" s="44" t="s">
        <v>31</v>
      </c>
      <c r="B130" s="45">
        <v>127</v>
      </c>
      <c r="C130" s="46">
        <f>IF(COUNTBLANK(I129)=1,(C129*'Config.'!$D$9)+C129,(I129*'Config.'!$D$9)+I129)</f>
        <v>120772.29521350825</v>
      </c>
      <c r="D130" s="46">
        <f>IF(COUNTBLANK(I129)=1,I129*'Config.'!$D$11,I129*'Config.'!$D$11)</f>
        <v>0</v>
      </c>
      <c r="E130" s="46">
        <f t="shared" si="7"/>
        <v>5751.0616768337204</v>
      </c>
      <c r="F130" s="47"/>
      <c r="G130" s="48" t="str">
        <f t="shared" si="5"/>
        <v>-</v>
      </c>
      <c r="H130" s="29" t="str">
        <f>IF(COUNTBLANK(I130)=1,IF(C130&lt;='Config.'!$D$7,"meta","nops"),"")</f>
        <v>nops</v>
      </c>
      <c r="I130" s="55"/>
      <c r="J130" s="65"/>
      <c r="K130" s="15"/>
      <c r="L130" s="15"/>
      <c r="M130" s="51" t="str">
        <f t="shared" si="8"/>
        <v/>
      </c>
      <c r="N130" s="51" t="str">
        <f t="shared" si="6"/>
        <v/>
      </c>
      <c r="O130" s="57" t="str">
        <f t="shared" si="9"/>
        <v/>
      </c>
      <c r="P130" s="6"/>
      <c r="Q130" s="6"/>
      <c r="R130" s="6"/>
      <c r="S130" s="6"/>
      <c r="T130" s="6"/>
      <c r="U130" s="6"/>
      <c r="V130" s="32">
        <f>IF(COUNTBLANK(X129)=1,(V129*'Config.'!$D$9)+V129,(X129*'Config.'!$D$9)+X129)</f>
        <v>112919.46657549481</v>
      </c>
      <c r="W130" s="29" t="str">
        <f>IF(COUNTBLANK(X130)=1,IF(V130&lt;='Config.'!$D$7,"meta","nops"),"")</f>
        <v>nops</v>
      </c>
      <c r="X130" s="54"/>
    </row>
    <row r="131" spans="1:24" ht="19.5" customHeight="1">
      <c r="A131" s="44" t="s">
        <v>31</v>
      </c>
      <c r="B131" s="45">
        <v>128</v>
      </c>
      <c r="C131" s="46">
        <f>IF(COUNTBLANK(I130)=1,(C130*'Config.'!$D$9)+C130,(I130*'Config.'!$D$9)+I130)</f>
        <v>126810.90997418365</v>
      </c>
      <c r="D131" s="46">
        <f>IF(COUNTBLANK(I130)=1,I130*'Config.'!$D$11,I130*'Config.'!$D$11)</f>
        <v>0</v>
      </c>
      <c r="E131" s="46">
        <f t="shared" si="7"/>
        <v>6038.6147606754093</v>
      </c>
      <c r="F131" s="47"/>
      <c r="G131" s="48" t="str">
        <f t="shared" si="5"/>
        <v>-</v>
      </c>
      <c r="H131" s="29" t="str">
        <f>IF(COUNTBLANK(I131)=1,IF(C131&lt;='Config.'!$D$7,"meta","nops"),"")</f>
        <v>nops</v>
      </c>
      <c r="I131" s="55"/>
      <c r="J131" s="65"/>
      <c r="K131" s="15"/>
      <c r="L131" s="15"/>
      <c r="M131" s="51" t="str">
        <f t="shared" si="8"/>
        <v/>
      </c>
      <c r="N131" s="51" t="str">
        <f t="shared" si="6"/>
        <v/>
      </c>
      <c r="O131" s="57" t="str">
        <f t="shared" si="9"/>
        <v/>
      </c>
      <c r="P131" s="6"/>
      <c r="Q131" s="6"/>
      <c r="R131" s="6"/>
      <c r="S131" s="6"/>
      <c r="T131" s="6"/>
      <c r="U131" s="6"/>
      <c r="V131" s="32">
        <f>IF(COUNTBLANK(X130)=1,(V130*'Config.'!$D$9)+V130,(X130*'Config.'!$D$9)+X130)</f>
        <v>118565.43990426954</v>
      </c>
      <c r="W131" s="29" t="str">
        <f>IF(COUNTBLANK(X131)=1,IF(V131&lt;='Config.'!$D$7,"meta","nops"),"")</f>
        <v>nops</v>
      </c>
      <c r="X131" s="54"/>
    </row>
    <row r="132" spans="1:24" ht="19.5" customHeight="1">
      <c r="A132" s="44" t="s">
        <v>31</v>
      </c>
      <c r="B132" s="45">
        <v>129</v>
      </c>
      <c r="C132" s="46">
        <f>IF(COUNTBLANK(I131)=1,(C131*'Config.'!$D$9)+C131,(I131*'Config.'!$D$9)+I131)</f>
        <v>133151.45547289285</v>
      </c>
      <c r="D132" s="46">
        <f>IF(COUNTBLANK(I131)=1,I131*'Config.'!$D$11,I131*'Config.'!$D$11)</f>
        <v>0</v>
      </c>
      <c r="E132" s="46">
        <f t="shared" si="7"/>
        <v>6340.5454987091944</v>
      </c>
      <c r="F132" s="47"/>
      <c r="G132" s="48" t="str">
        <f t="shared" ref="G132:G195" si="10">IF(COUNTBLANK(F132)=0,(E132/F132)/$F$3,"-")</f>
        <v>-</v>
      </c>
      <c r="H132" s="29" t="str">
        <f>IF(COUNTBLANK(I132)=1,IF(C132&lt;='Config.'!$D$7,"meta","nops"),"")</f>
        <v>nops</v>
      </c>
      <c r="I132" s="55"/>
      <c r="J132" s="65"/>
      <c r="K132" s="15"/>
      <c r="L132" s="15"/>
      <c r="M132" s="51" t="str">
        <f t="shared" si="8"/>
        <v/>
      </c>
      <c r="N132" s="51" t="str">
        <f t="shared" ref="N132:N195" si="11">IF(M132="","",M132-E132)</f>
        <v/>
      </c>
      <c r="O132" s="57" t="str">
        <f t="shared" si="9"/>
        <v/>
      </c>
      <c r="P132" s="6"/>
      <c r="Q132" s="6"/>
      <c r="R132" s="6"/>
      <c r="S132" s="6"/>
      <c r="T132" s="6"/>
      <c r="U132" s="6"/>
      <c r="V132" s="32">
        <f>IF(COUNTBLANK(X131)=1,(V131*'Config.'!$D$9)+V131,(X131*'Config.'!$D$9)+X131)</f>
        <v>124493.71189948302</v>
      </c>
      <c r="W132" s="29" t="str">
        <f>IF(COUNTBLANK(X132)=1,IF(V132&lt;='Config.'!$D$7,"meta","nops"),"")</f>
        <v>nops</v>
      </c>
      <c r="X132" s="54"/>
    </row>
    <row r="133" spans="1:24" ht="19.5" customHeight="1">
      <c r="A133" s="44" t="s">
        <v>31</v>
      </c>
      <c r="B133" s="45">
        <v>130</v>
      </c>
      <c r="C133" s="46">
        <f>IF(COUNTBLANK(I132)=1,(C132*'Config.'!$D$9)+C132,(I132*'Config.'!$D$9)+I132)</f>
        <v>139809.02824653749</v>
      </c>
      <c r="D133" s="46">
        <f>IF(COUNTBLANK(I132)=1,I132*'Config.'!$D$11,I132*'Config.'!$D$11)</f>
        <v>0</v>
      </c>
      <c r="E133" s="46">
        <f t="shared" ref="E133:E196" si="12">IF(COUNTBLANK(I132)=1,C133-C132,C133-I132)</f>
        <v>6657.5727736446424</v>
      </c>
      <c r="F133" s="47"/>
      <c r="G133" s="48" t="str">
        <f t="shared" si="10"/>
        <v>-</v>
      </c>
      <c r="H133" s="29" t="str">
        <f>IF(COUNTBLANK(I133)=1,IF(C133&lt;='Config.'!$D$7,"meta","nops"),"")</f>
        <v>nops</v>
      </c>
      <c r="I133" s="55"/>
      <c r="J133" s="65"/>
      <c r="K133" s="15"/>
      <c r="L133" s="15"/>
      <c r="M133" s="51" t="str">
        <f t="shared" si="8"/>
        <v/>
      </c>
      <c r="N133" s="51" t="str">
        <f t="shared" si="11"/>
        <v/>
      </c>
      <c r="O133" s="57" t="str">
        <f t="shared" si="9"/>
        <v/>
      </c>
      <c r="P133" s="6"/>
      <c r="Q133" s="6"/>
      <c r="R133" s="6"/>
      <c r="S133" s="6"/>
      <c r="T133" s="6"/>
      <c r="U133" s="6"/>
      <c r="V133" s="32">
        <f>IF(COUNTBLANK(X132)=1,(V132*'Config.'!$D$9)+V132,(X132*'Config.'!$D$9)+X132)</f>
        <v>130718.39749445717</v>
      </c>
      <c r="W133" s="29" t="str">
        <f>IF(COUNTBLANK(X133)=1,IF(V133&lt;='Config.'!$D$7,"meta","nops"),"")</f>
        <v>nops</v>
      </c>
      <c r="X133" s="54"/>
    </row>
    <row r="134" spans="1:24" ht="19.5" customHeight="1">
      <c r="A134" s="44" t="s">
        <v>31</v>
      </c>
      <c r="B134" s="45">
        <v>131</v>
      </c>
      <c r="C134" s="46">
        <f>IF(COUNTBLANK(I133)=1,(C133*'Config.'!$D$9)+C133,(I133*'Config.'!$D$9)+I133)</f>
        <v>146799.47965886438</v>
      </c>
      <c r="D134" s="46">
        <f>IF(COUNTBLANK(I133)=1,I133*'Config.'!$D$11,I133*'Config.'!$D$11)</f>
        <v>0</v>
      </c>
      <c r="E134" s="46">
        <f t="shared" si="12"/>
        <v>6990.4514123268891</v>
      </c>
      <c r="F134" s="47"/>
      <c r="G134" s="48" t="str">
        <f t="shared" si="10"/>
        <v>-</v>
      </c>
      <c r="H134" s="29" t="str">
        <f>IF(COUNTBLANK(I134)=1,IF(C134&lt;='Config.'!$D$7,"meta","nops"),"")</f>
        <v>nops</v>
      </c>
      <c r="I134" s="55"/>
      <c r="J134" s="65"/>
      <c r="K134" s="15"/>
      <c r="L134" s="15"/>
      <c r="M134" s="51" t="str">
        <f t="shared" ref="M134:M197" si="13">IF(COUNTBLANK(I134)=1,"",I134-I133)</f>
        <v/>
      </c>
      <c r="N134" s="51" t="str">
        <f t="shared" si="11"/>
        <v/>
      </c>
      <c r="O134" s="57" t="str">
        <f t="shared" ref="O134:O197" si="14">IF(COUNTBLANK(I134)=1,"",(I134-I133)/I133)</f>
        <v/>
      </c>
      <c r="P134" s="6"/>
      <c r="Q134" s="6"/>
      <c r="R134" s="6"/>
      <c r="S134" s="6"/>
      <c r="T134" s="6"/>
      <c r="U134" s="6"/>
      <c r="V134" s="32">
        <f>IF(COUNTBLANK(X133)=1,(V133*'Config.'!$D$9)+V133,(X133*'Config.'!$D$9)+X133)</f>
        <v>137254.31736918003</v>
      </c>
      <c r="W134" s="29" t="str">
        <f>IF(COUNTBLANK(X134)=1,IF(V134&lt;='Config.'!$D$7,"meta","nops"),"")</f>
        <v>nops</v>
      </c>
      <c r="X134" s="54"/>
    </row>
    <row r="135" spans="1:24" ht="19.5" customHeight="1">
      <c r="A135" s="44" t="s">
        <v>31</v>
      </c>
      <c r="B135" s="45">
        <v>132</v>
      </c>
      <c r="C135" s="46">
        <f>IF(COUNTBLANK(I134)=1,(C134*'Config.'!$D$9)+C134,(I134*'Config.'!$D$9)+I134)</f>
        <v>154139.4536418076</v>
      </c>
      <c r="D135" s="46">
        <f>IF(COUNTBLANK(I134)=1,I134*'Config.'!$D$11,I134*'Config.'!$D$11)</f>
        <v>0</v>
      </c>
      <c r="E135" s="46">
        <f t="shared" si="12"/>
        <v>7339.9739829432219</v>
      </c>
      <c r="F135" s="47"/>
      <c r="G135" s="48" t="str">
        <f t="shared" si="10"/>
        <v>-</v>
      </c>
      <c r="H135" s="29" t="str">
        <f>IF(COUNTBLANK(I135)=1,IF(C135&lt;='Config.'!$D$7,"meta","nops"),"")</f>
        <v>nops</v>
      </c>
      <c r="I135" s="55"/>
      <c r="J135" s="65"/>
      <c r="K135" s="15"/>
      <c r="L135" s="15"/>
      <c r="M135" s="51" t="str">
        <f t="shared" si="13"/>
        <v/>
      </c>
      <c r="N135" s="51" t="str">
        <f t="shared" si="11"/>
        <v/>
      </c>
      <c r="O135" s="57" t="str">
        <f t="shared" si="14"/>
        <v/>
      </c>
      <c r="P135" s="6"/>
      <c r="Q135" s="6"/>
      <c r="R135" s="6"/>
      <c r="S135" s="6"/>
      <c r="T135" s="6"/>
      <c r="U135" s="6"/>
      <c r="V135" s="32">
        <f>IF(COUNTBLANK(X134)=1,(V134*'Config.'!$D$9)+V134,(X134*'Config.'!$D$9)+X134)</f>
        <v>144117.03323763903</v>
      </c>
      <c r="W135" s="29" t="str">
        <f>IF(COUNTBLANK(X135)=1,IF(V135&lt;='Config.'!$D$7,"meta","nops"),"")</f>
        <v>nops</v>
      </c>
      <c r="X135" s="54"/>
    </row>
    <row r="136" spans="1:24" ht="19.5" customHeight="1">
      <c r="A136" s="44" t="s">
        <v>31</v>
      </c>
      <c r="B136" s="45">
        <v>133</v>
      </c>
      <c r="C136" s="46">
        <f>IF(COUNTBLANK(I135)=1,(C135*'Config.'!$D$9)+C135,(I135*'Config.'!$D$9)+I135)</f>
        <v>161846.42632389799</v>
      </c>
      <c r="D136" s="46">
        <f>IF(COUNTBLANK(I135)=1,I135*'Config.'!$D$11,I135*'Config.'!$D$11)</f>
        <v>0</v>
      </c>
      <c r="E136" s="46">
        <f t="shared" si="12"/>
        <v>7706.9726820903888</v>
      </c>
      <c r="F136" s="47"/>
      <c r="G136" s="48" t="str">
        <f t="shared" si="10"/>
        <v>-</v>
      </c>
      <c r="H136" s="29" t="str">
        <f>IF(COUNTBLANK(I136)=1,IF(C136&lt;='Config.'!$D$7,"meta","nops"),"")</f>
        <v>nops</v>
      </c>
      <c r="I136" s="55"/>
      <c r="J136" s="65"/>
      <c r="K136" s="15"/>
      <c r="L136" s="15"/>
      <c r="M136" s="51" t="str">
        <f t="shared" si="13"/>
        <v/>
      </c>
      <c r="N136" s="51" t="str">
        <f t="shared" si="11"/>
        <v/>
      </c>
      <c r="O136" s="57" t="str">
        <f t="shared" si="14"/>
        <v/>
      </c>
      <c r="P136" s="6"/>
      <c r="Q136" s="6"/>
      <c r="R136" s="6"/>
      <c r="S136" s="6"/>
      <c r="T136" s="6"/>
      <c r="U136" s="6"/>
      <c r="V136" s="32">
        <f>IF(COUNTBLANK(X135)=1,(V135*'Config.'!$D$9)+V135,(X135*'Config.'!$D$9)+X135)</f>
        <v>151322.88489952098</v>
      </c>
      <c r="W136" s="29" t="str">
        <f>IF(COUNTBLANK(X136)=1,IF(V136&lt;='Config.'!$D$7,"meta","nops"),"")</f>
        <v>nops</v>
      </c>
      <c r="X136" s="54"/>
    </row>
    <row r="137" spans="1:24" ht="19.5" customHeight="1">
      <c r="A137" s="44" t="s">
        <v>31</v>
      </c>
      <c r="B137" s="45">
        <v>134</v>
      </c>
      <c r="C137" s="46">
        <f>IF(COUNTBLANK(I136)=1,(C136*'Config.'!$D$9)+C136,(I136*'Config.'!$D$9)+I136)</f>
        <v>169938.74764009289</v>
      </c>
      <c r="D137" s="46">
        <f>IF(COUNTBLANK(I136)=1,I136*'Config.'!$D$11,I136*'Config.'!$D$11)</f>
        <v>0</v>
      </c>
      <c r="E137" s="46">
        <f t="shared" si="12"/>
        <v>8092.3213161948952</v>
      </c>
      <c r="F137" s="47"/>
      <c r="G137" s="48" t="str">
        <f t="shared" si="10"/>
        <v>-</v>
      </c>
      <c r="H137" s="29" t="str">
        <f>IF(COUNTBLANK(I137)=1,IF(C137&lt;='Config.'!$D$7,"meta","nops"),"")</f>
        <v>nops</v>
      </c>
      <c r="I137" s="55"/>
      <c r="J137" s="65"/>
      <c r="K137" s="15"/>
      <c r="L137" s="15"/>
      <c r="M137" s="51" t="str">
        <f t="shared" si="13"/>
        <v/>
      </c>
      <c r="N137" s="51" t="str">
        <f t="shared" si="11"/>
        <v/>
      </c>
      <c r="O137" s="57" t="str">
        <f t="shared" si="14"/>
        <v/>
      </c>
      <c r="P137" s="6"/>
      <c r="Q137" s="6"/>
      <c r="R137" s="6"/>
      <c r="S137" s="6"/>
      <c r="T137" s="6"/>
      <c r="U137" s="6"/>
      <c r="V137" s="32">
        <f>IF(COUNTBLANK(X136)=1,(V136*'Config.'!$D$9)+V136,(X136*'Config.'!$D$9)+X136)</f>
        <v>158889.02914449704</v>
      </c>
      <c r="W137" s="29" t="str">
        <f>IF(COUNTBLANK(X137)=1,IF(V137&lt;='Config.'!$D$7,"meta","nops"),"")</f>
        <v>nops</v>
      </c>
      <c r="X137" s="54"/>
    </row>
    <row r="138" spans="1:24" ht="19.5" customHeight="1">
      <c r="A138" s="44" t="s">
        <v>31</v>
      </c>
      <c r="B138" s="45">
        <v>135</v>
      </c>
      <c r="C138" s="46">
        <f>IF(COUNTBLANK(I137)=1,(C137*'Config.'!$D$9)+C137,(I137*'Config.'!$D$9)+I137)</f>
        <v>178435.68502209752</v>
      </c>
      <c r="D138" s="46">
        <f>IF(COUNTBLANK(I137)=1,I137*'Config.'!$D$11,I137*'Config.'!$D$11)</f>
        <v>0</v>
      </c>
      <c r="E138" s="46">
        <f t="shared" si="12"/>
        <v>8496.9373820046312</v>
      </c>
      <c r="F138" s="47"/>
      <c r="G138" s="48" t="str">
        <f t="shared" si="10"/>
        <v>-</v>
      </c>
      <c r="H138" s="29" t="str">
        <f>IF(COUNTBLANK(I138)=1,IF(C138&lt;='Config.'!$D$7,"meta","nops"),"")</f>
        <v>nops</v>
      </c>
      <c r="I138" s="55"/>
      <c r="J138" s="65"/>
      <c r="K138" s="15"/>
      <c r="L138" s="15"/>
      <c r="M138" s="51" t="str">
        <f t="shared" si="13"/>
        <v/>
      </c>
      <c r="N138" s="51" t="str">
        <f t="shared" si="11"/>
        <v/>
      </c>
      <c r="O138" s="57" t="str">
        <f t="shared" si="14"/>
        <v/>
      </c>
      <c r="P138" s="6"/>
      <c r="Q138" s="6"/>
      <c r="R138" s="6"/>
      <c r="S138" s="6"/>
      <c r="T138" s="6"/>
      <c r="U138" s="6"/>
      <c r="V138" s="32">
        <f>IF(COUNTBLANK(X137)=1,(V137*'Config.'!$D$9)+V137,(X137*'Config.'!$D$9)+X137)</f>
        <v>166833.48060172188</v>
      </c>
      <c r="W138" s="29" t="str">
        <f>IF(COUNTBLANK(X138)=1,IF(V138&lt;='Config.'!$D$7,"meta","nops"),"")</f>
        <v>nops</v>
      </c>
      <c r="X138" s="54"/>
    </row>
    <row r="139" spans="1:24" ht="19.5" customHeight="1">
      <c r="A139" s="44" t="s">
        <v>31</v>
      </c>
      <c r="B139" s="45">
        <v>136</v>
      </c>
      <c r="C139" s="46">
        <f>IF(COUNTBLANK(I138)=1,(C138*'Config.'!$D$9)+C138,(I138*'Config.'!$D$9)+I138)</f>
        <v>187357.46927320238</v>
      </c>
      <c r="D139" s="46">
        <f>IF(COUNTBLANK(I138)=1,I138*'Config.'!$D$11,I138*'Config.'!$D$11)</f>
        <v>0</v>
      </c>
      <c r="E139" s="46">
        <f t="shared" si="12"/>
        <v>8921.7842511048657</v>
      </c>
      <c r="F139" s="47"/>
      <c r="G139" s="48" t="str">
        <f t="shared" si="10"/>
        <v>-</v>
      </c>
      <c r="H139" s="29" t="str">
        <f>IF(COUNTBLANK(I139)=1,IF(C139&lt;='Config.'!$D$7,"meta","nops"),"")</f>
        <v>nops</v>
      </c>
      <c r="I139" s="55"/>
      <c r="J139" s="65"/>
      <c r="K139" s="15"/>
      <c r="L139" s="15"/>
      <c r="M139" s="51" t="str">
        <f t="shared" si="13"/>
        <v/>
      </c>
      <c r="N139" s="51" t="str">
        <f t="shared" si="11"/>
        <v/>
      </c>
      <c r="O139" s="57" t="str">
        <f t="shared" si="14"/>
        <v/>
      </c>
      <c r="P139" s="6"/>
      <c r="Q139" s="6"/>
      <c r="R139" s="6"/>
      <c r="S139" s="6"/>
      <c r="T139" s="6"/>
      <c r="U139" s="6"/>
      <c r="V139" s="32">
        <f>IF(COUNTBLANK(X138)=1,(V138*'Config.'!$D$9)+V138,(X138*'Config.'!$D$9)+X138)</f>
        <v>175175.15463180796</v>
      </c>
      <c r="W139" s="29" t="str">
        <f>IF(COUNTBLANK(X139)=1,IF(V139&lt;='Config.'!$D$7,"meta","nops"),"")</f>
        <v>nops</v>
      </c>
      <c r="X139" s="54"/>
    </row>
    <row r="140" spans="1:24" ht="19.5" customHeight="1">
      <c r="A140" s="44" t="s">
        <v>31</v>
      </c>
      <c r="B140" s="45">
        <v>137</v>
      </c>
      <c r="C140" s="46">
        <f>IF(COUNTBLANK(I139)=1,(C139*'Config.'!$D$9)+C139,(I139*'Config.'!$D$9)+I139)</f>
        <v>196725.34273686251</v>
      </c>
      <c r="D140" s="46">
        <f>IF(COUNTBLANK(I139)=1,I139*'Config.'!$D$11,I139*'Config.'!$D$11)</f>
        <v>0</v>
      </c>
      <c r="E140" s="46">
        <f t="shared" si="12"/>
        <v>9367.8734636601293</v>
      </c>
      <c r="F140" s="47"/>
      <c r="G140" s="48" t="str">
        <f t="shared" si="10"/>
        <v>-</v>
      </c>
      <c r="H140" s="29" t="str">
        <f>IF(COUNTBLANK(I140)=1,IF(C140&lt;='Config.'!$D$7,"meta","nops"),"")</f>
        <v>nops</v>
      </c>
      <c r="I140" s="55"/>
      <c r="J140" s="65"/>
      <c r="K140" s="15"/>
      <c r="L140" s="15"/>
      <c r="M140" s="51" t="str">
        <f t="shared" si="13"/>
        <v/>
      </c>
      <c r="N140" s="51" t="str">
        <f t="shared" si="11"/>
        <v/>
      </c>
      <c r="O140" s="57" t="str">
        <f t="shared" si="14"/>
        <v/>
      </c>
      <c r="P140" s="6"/>
      <c r="Q140" s="6"/>
      <c r="R140" s="6"/>
      <c r="S140" s="6"/>
      <c r="T140" s="6"/>
      <c r="U140" s="6"/>
      <c r="V140" s="32">
        <f>IF(COUNTBLANK(X139)=1,(V139*'Config.'!$D$9)+V139,(X139*'Config.'!$D$9)+X139)</f>
        <v>183933.91236339835</v>
      </c>
      <c r="W140" s="29" t="str">
        <f>IF(COUNTBLANK(X140)=1,IF(V140&lt;='Config.'!$D$7,"meta","nops"),"")</f>
        <v>nops</v>
      </c>
      <c r="X140" s="54"/>
    </row>
    <row r="141" spans="1:24" ht="19.5" customHeight="1">
      <c r="A141" s="44" t="s">
        <v>31</v>
      </c>
      <c r="B141" s="45">
        <v>138</v>
      </c>
      <c r="C141" s="46">
        <f>IF(COUNTBLANK(I140)=1,(C140*'Config.'!$D$9)+C140,(I140*'Config.'!$D$9)+I140)</f>
        <v>206561.60987370563</v>
      </c>
      <c r="D141" s="46">
        <f>IF(COUNTBLANK(I140)=1,I140*'Config.'!$D$11,I140*'Config.'!$D$11)</f>
        <v>0</v>
      </c>
      <c r="E141" s="46">
        <f t="shared" si="12"/>
        <v>9836.2671368431184</v>
      </c>
      <c r="F141" s="47"/>
      <c r="G141" s="48" t="str">
        <f t="shared" si="10"/>
        <v>-</v>
      </c>
      <c r="H141" s="29" t="str">
        <f>IF(COUNTBLANK(I141)=1,IF(C141&lt;='Config.'!$D$7,"meta","nops"),"")</f>
        <v>nops</v>
      </c>
      <c r="I141" s="55"/>
      <c r="J141" s="65"/>
      <c r="K141" s="15"/>
      <c r="L141" s="15"/>
      <c r="M141" s="51" t="str">
        <f t="shared" si="13"/>
        <v/>
      </c>
      <c r="N141" s="51" t="str">
        <f t="shared" si="11"/>
        <v/>
      </c>
      <c r="O141" s="57" t="str">
        <f t="shared" si="14"/>
        <v/>
      </c>
      <c r="P141" s="6"/>
      <c r="Q141" s="6"/>
      <c r="R141" s="6"/>
      <c r="S141" s="6"/>
      <c r="T141" s="6"/>
      <c r="U141" s="6"/>
      <c r="V141" s="32">
        <f>IF(COUNTBLANK(X140)=1,(V140*'Config.'!$D$9)+V140,(X140*'Config.'!$D$9)+X140)</f>
        <v>193130.60798156826</v>
      </c>
      <c r="W141" s="29" t="str">
        <f>IF(COUNTBLANK(X141)=1,IF(V141&lt;='Config.'!$D$7,"meta","nops"),"")</f>
        <v>nops</v>
      </c>
      <c r="X141" s="54"/>
    </row>
    <row r="142" spans="1:24" ht="19.5" customHeight="1">
      <c r="A142" s="44" t="s">
        <v>31</v>
      </c>
      <c r="B142" s="45">
        <v>139</v>
      </c>
      <c r="C142" s="46">
        <f>IF(COUNTBLANK(I141)=1,(C141*'Config.'!$D$9)+C141,(I141*'Config.'!$D$9)+I141)</f>
        <v>216889.69036739093</v>
      </c>
      <c r="D142" s="46">
        <f>IF(COUNTBLANK(I141)=1,I141*'Config.'!$D$11,I141*'Config.'!$D$11)</f>
        <v>0</v>
      </c>
      <c r="E142" s="46">
        <f t="shared" si="12"/>
        <v>10328.080493685295</v>
      </c>
      <c r="F142" s="47"/>
      <c r="G142" s="48" t="str">
        <f t="shared" si="10"/>
        <v>-</v>
      </c>
      <c r="H142" s="29" t="str">
        <f>IF(COUNTBLANK(I142)=1,IF(C142&lt;='Config.'!$D$7,"meta","nops"),"")</f>
        <v>nops</v>
      </c>
      <c r="I142" s="55"/>
      <c r="J142" s="65"/>
      <c r="K142" s="15"/>
      <c r="L142" s="15"/>
      <c r="M142" s="51" t="str">
        <f t="shared" si="13"/>
        <v/>
      </c>
      <c r="N142" s="51" t="str">
        <f t="shared" si="11"/>
        <v/>
      </c>
      <c r="O142" s="57" t="str">
        <f t="shared" si="14"/>
        <v/>
      </c>
      <c r="P142" s="6"/>
      <c r="Q142" s="6"/>
      <c r="R142" s="6"/>
      <c r="S142" s="6"/>
      <c r="T142" s="6"/>
      <c r="U142" s="6"/>
      <c r="V142" s="32">
        <f>IF(COUNTBLANK(X141)=1,(V141*'Config.'!$D$9)+V141,(X141*'Config.'!$D$9)+X141)</f>
        <v>202787.13838064668</v>
      </c>
      <c r="W142" s="29" t="str">
        <f>IF(COUNTBLANK(X142)=1,IF(V142&lt;='Config.'!$D$7,"meta","nops"),"")</f>
        <v>nops</v>
      </c>
      <c r="X142" s="54"/>
    </row>
    <row r="143" spans="1:24" ht="19.5" customHeight="1">
      <c r="A143" s="44" t="s">
        <v>31</v>
      </c>
      <c r="B143" s="45">
        <v>140</v>
      </c>
      <c r="C143" s="46">
        <f>IF(COUNTBLANK(I142)=1,(C142*'Config.'!$D$9)+C142,(I142*'Config.'!$D$9)+I142)</f>
        <v>227734.17488576047</v>
      </c>
      <c r="D143" s="46">
        <f>IF(COUNTBLANK(I142)=1,I142*'Config.'!$D$11,I142*'Config.'!$D$11)</f>
        <v>0</v>
      </c>
      <c r="E143" s="46">
        <f t="shared" si="12"/>
        <v>10844.484518369543</v>
      </c>
      <c r="F143" s="47"/>
      <c r="G143" s="48" t="str">
        <f t="shared" si="10"/>
        <v>-</v>
      </c>
      <c r="H143" s="29" t="str">
        <f>IF(COUNTBLANK(I143)=1,IF(C143&lt;='Config.'!$D$7,"meta","nops"),"")</f>
        <v>nops</v>
      </c>
      <c r="I143" s="55"/>
      <c r="J143" s="65"/>
      <c r="K143" s="15"/>
      <c r="L143" s="15"/>
      <c r="M143" s="51" t="str">
        <f t="shared" si="13"/>
        <v/>
      </c>
      <c r="N143" s="51" t="str">
        <f t="shared" si="11"/>
        <v/>
      </c>
      <c r="O143" s="57" t="str">
        <f t="shared" si="14"/>
        <v/>
      </c>
      <c r="P143" s="6"/>
      <c r="Q143" s="6"/>
      <c r="R143" s="6"/>
      <c r="S143" s="6"/>
      <c r="T143" s="6"/>
      <c r="U143" s="6"/>
      <c r="V143" s="32">
        <f>IF(COUNTBLANK(X142)=1,(V142*'Config.'!$D$9)+V142,(X142*'Config.'!$D$9)+X142)</f>
        <v>212926.49529967902</v>
      </c>
      <c r="W143" s="29" t="str">
        <f>IF(COUNTBLANK(X143)=1,IF(V143&lt;='Config.'!$D$7,"meta","nops"),"")</f>
        <v>nops</v>
      </c>
      <c r="X143" s="54"/>
    </row>
    <row r="144" spans="1:24" ht="19.5" customHeight="1">
      <c r="A144" s="44" t="s">
        <v>31</v>
      </c>
      <c r="B144" s="45">
        <v>141</v>
      </c>
      <c r="C144" s="46">
        <f>IF(COUNTBLANK(I143)=1,(C143*'Config.'!$D$9)+C143,(I143*'Config.'!$D$9)+I143)</f>
        <v>239120.88363004848</v>
      </c>
      <c r="D144" s="46">
        <f>IF(COUNTBLANK(I143)=1,I143*'Config.'!$D$11,I143*'Config.'!$D$11)</f>
        <v>0</v>
      </c>
      <c r="E144" s="46">
        <f t="shared" si="12"/>
        <v>11386.708744288015</v>
      </c>
      <c r="F144" s="47"/>
      <c r="G144" s="48" t="str">
        <f t="shared" si="10"/>
        <v>-</v>
      </c>
      <c r="H144" s="29" t="str">
        <f>IF(COUNTBLANK(I144)=1,IF(C144&lt;='Config.'!$D$7,"meta","nops"),"")</f>
        <v>nops</v>
      </c>
      <c r="I144" s="55"/>
      <c r="J144" s="65"/>
      <c r="K144" s="15"/>
      <c r="L144" s="15"/>
      <c r="M144" s="51" t="str">
        <f t="shared" si="13"/>
        <v/>
      </c>
      <c r="N144" s="51" t="str">
        <f t="shared" si="11"/>
        <v/>
      </c>
      <c r="O144" s="57" t="str">
        <f t="shared" si="14"/>
        <v/>
      </c>
      <c r="P144" s="6"/>
      <c r="Q144" s="6"/>
      <c r="R144" s="6"/>
      <c r="S144" s="6"/>
      <c r="T144" s="6"/>
      <c r="U144" s="6"/>
      <c r="V144" s="32">
        <f>IF(COUNTBLANK(X143)=1,(V143*'Config.'!$D$9)+V143,(X143*'Config.'!$D$9)+X143)</f>
        <v>223572.82006466298</v>
      </c>
      <c r="W144" s="29" t="str">
        <f>IF(COUNTBLANK(X144)=1,IF(V144&lt;='Config.'!$D$7,"meta","nops"),"")</f>
        <v>nops</v>
      </c>
      <c r="X144" s="54"/>
    </row>
    <row r="145" spans="1:24" ht="19.5" customHeight="1">
      <c r="A145" s="44" t="s">
        <v>31</v>
      </c>
      <c r="B145" s="45">
        <v>142</v>
      </c>
      <c r="C145" s="46">
        <f>IF(COUNTBLANK(I144)=1,(C144*'Config.'!$D$9)+C144,(I144*'Config.'!$D$9)+I144)</f>
        <v>251076.92781155091</v>
      </c>
      <c r="D145" s="46">
        <f>IF(COUNTBLANK(I144)=1,I144*'Config.'!$D$11,I144*'Config.'!$D$11)</f>
        <v>0</v>
      </c>
      <c r="E145" s="46">
        <f t="shared" si="12"/>
        <v>11956.044181502424</v>
      </c>
      <c r="F145" s="47"/>
      <c r="G145" s="48" t="str">
        <f t="shared" si="10"/>
        <v>-</v>
      </c>
      <c r="H145" s="29" t="str">
        <f>IF(COUNTBLANK(I145)=1,IF(C145&lt;='Config.'!$D$7,"meta","nops"),"")</f>
        <v>nops</v>
      </c>
      <c r="I145" s="55"/>
      <c r="J145" s="65"/>
      <c r="K145" s="15"/>
      <c r="L145" s="15"/>
      <c r="M145" s="51" t="str">
        <f t="shared" si="13"/>
        <v/>
      </c>
      <c r="N145" s="51" t="str">
        <f t="shared" si="11"/>
        <v/>
      </c>
      <c r="O145" s="57" t="str">
        <f t="shared" si="14"/>
        <v/>
      </c>
      <c r="P145" s="6"/>
      <c r="Q145" s="6"/>
      <c r="R145" s="6"/>
      <c r="S145" s="6"/>
      <c r="T145" s="6"/>
      <c r="U145" s="6"/>
      <c r="V145" s="32">
        <f>IF(COUNTBLANK(X144)=1,(V144*'Config.'!$D$9)+V144,(X144*'Config.'!$D$9)+X144)</f>
        <v>234751.46106789613</v>
      </c>
      <c r="W145" s="29" t="str">
        <f>IF(COUNTBLANK(X145)=1,IF(V145&lt;='Config.'!$D$7,"meta","nops"),"")</f>
        <v>nops</v>
      </c>
      <c r="X145" s="54"/>
    </row>
    <row r="146" spans="1:24" ht="19.5" customHeight="1">
      <c r="A146" s="44" t="s">
        <v>31</v>
      </c>
      <c r="B146" s="45">
        <v>143</v>
      </c>
      <c r="C146" s="46">
        <f>IF(COUNTBLANK(I145)=1,(C145*'Config.'!$D$9)+C145,(I145*'Config.'!$D$9)+I145)</f>
        <v>263630.77420212846</v>
      </c>
      <c r="D146" s="46">
        <f>IF(COUNTBLANK(I145)=1,I145*'Config.'!$D$11,I145*'Config.'!$D$11)</f>
        <v>0</v>
      </c>
      <c r="E146" s="46">
        <f t="shared" si="12"/>
        <v>12553.846390577557</v>
      </c>
      <c r="F146" s="47"/>
      <c r="G146" s="48" t="str">
        <f t="shared" si="10"/>
        <v>-</v>
      </c>
      <c r="H146" s="29" t="str">
        <f>IF(COUNTBLANK(I146)=1,IF(C146&lt;='Config.'!$D$7,"meta","nops"),"")</f>
        <v>nops</v>
      </c>
      <c r="I146" s="55"/>
      <c r="J146" s="65"/>
      <c r="K146" s="15"/>
      <c r="L146" s="15"/>
      <c r="M146" s="51" t="str">
        <f t="shared" si="13"/>
        <v/>
      </c>
      <c r="N146" s="51" t="str">
        <f t="shared" si="11"/>
        <v/>
      </c>
      <c r="O146" s="57" t="str">
        <f t="shared" si="14"/>
        <v/>
      </c>
      <c r="P146" s="6"/>
      <c r="Q146" s="6"/>
      <c r="R146" s="6"/>
      <c r="S146" s="6"/>
      <c r="T146" s="6"/>
      <c r="U146" s="6"/>
      <c r="V146" s="32">
        <f>IF(COUNTBLANK(X145)=1,(V145*'Config.'!$D$9)+V145,(X145*'Config.'!$D$9)+X145)</f>
        <v>246489.03412129096</v>
      </c>
      <c r="W146" s="29" t="str">
        <f>IF(COUNTBLANK(X146)=1,IF(V146&lt;='Config.'!$D$7,"meta","nops"),"")</f>
        <v>nops</v>
      </c>
      <c r="X146" s="54"/>
    </row>
    <row r="147" spans="1:24" ht="19.5" customHeight="1">
      <c r="A147" s="44" t="s">
        <v>31</v>
      </c>
      <c r="B147" s="45">
        <v>144</v>
      </c>
      <c r="C147" s="46">
        <f>IF(COUNTBLANK(I146)=1,(C146*'Config.'!$D$9)+C146,(I146*'Config.'!$D$9)+I146)</f>
        <v>276812.31291223486</v>
      </c>
      <c r="D147" s="46">
        <f>IF(COUNTBLANK(I146)=1,I146*'Config.'!$D$11,I146*'Config.'!$D$11)</f>
        <v>0</v>
      </c>
      <c r="E147" s="46">
        <f t="shared" si="12"/>
        <v>13181.538710106397</v>
      </c>
      <c r="F147" s="47"/>
      <c r="G147" s="48" t="str">
        <f t="shared" si="10"/>
        <v>-</v>
      </c>
      <c r="H147" s="29" t="str">
        <f>IF(COUNTBLANK(I147)=1,IF(C147&lt;='Config.'!$D$7,"meta","nops"),"")</f>
        <v>nops</v>
      </c>
      <c r="I147" s="55"/>
      <c r="J147" s="65"/>
      <c r="K147" s="15"/>
      <c r="L147" s="15"/>
      <c r="M147" s="51" t="str">
        <f t="shared" si="13"/>
        <v/>
      </c>
      <c r="N147" s="51" t="str">
        <f t="shared" si="11"/>
        <v/>
      </c>
      <c r="O147" s="57" t="str">
        <f t="shared" si="14"/>
        <v/>
      </c>
      <c r="P147" s="6"/>
      <c r="Q147" s="6"/>
      <c r="R147" s="6"/>
      <c r="S147" s="6"/>
      <c r="T147" s="6"/>
      <c r="U147" s="6"/>
      <c r="V147" s="32">
        <f>IF(COUNTBLANK(X146)=1,(V146*'Config.'!$D$9)+V146,(X146*'Config.'!$D$9)+X146)</f>
        <v>258813.4858273555</v>
      </c>
      <c r="W147" s="29" t="str">
        <f>IF(COUNTBLANK(X147)=1,IF(V147&lt;='Config.'!$D$7,"meta","nops"),"")</f>
        <v>nops</v>
      </c>
      <c r="X147" s="54"/>
    </row>
    <row r="148" spans="1:24" ht="19.5" customHeight="1">
      <c r="A148" s="44" t="s">
        <v>31</v>
      </c>
      <c r="B148" s="45">
        <v>145</v>
      </c>
      <c r="C148" s="46">
        <f>IF(COUNTBLANK(I147)=1,(C147*'Config.'!$D$9)+C147,(I147*'Config.'!$D$9)+I147)</f>
        <v>290652.92855784658</v>
      </c>
      <c r="D148" s="46">
        <f>IF(COUNTBLANK(I147)=1,I147*'Config.'!$D$11,I147*'Config.'!$D$11)</f>
        <v>0</v>
      </c>
      <c r="E148" s="46">
        <f t="shared" si="12"/>
        <v>13840.615645611717</v>
      </c>
      <c r="F148" s="47"/>
      <c r="G148" s="48" t="str">
        <f t="shared" si="10"/>
        <v>-</v>
      </c>
      <c r="H148" s="29" t="str">
        <f>IF(COUNTBLANK(I148)=1,IF(C148&lt;='Config.'!$D$7,"meta","nops"),"")</f>
        <v>nops</v>
      </c>
      <c r="I148" s="55"/>
      <c r="J148" s="65"/>
      <c r="K148" s="15"/>
      <c r="L148" s="15"/>
      <c r="M148" s="51" t="str">
        <f t="shared" si="13"/>
        <v/>
      </c>
      <c r="N148" s="51" t="str">
        <f t="shared" si="11"/>
        <v/>
      </c>
      <c r="O148" s="57" t="str">
        <f t="shared" si="14"/>
        <v/>
      </c>
      <c r="P148" s="6"/>
      <c r="Q148" s="6"/>
      <c r="R148" s="6"/>
      <c r="S148" s="6"/>
      <c r="T148" s="6"/>
      <c r="U148" s="6"/>
      <c r="V148" s="32">
        <f>IF(COUNTBLANK(X147)=1,(V147*'Config.'!$D$9)+V147,(X147*'Config.'!$D$9)+X147)</f>
        <v>271754.16011872329</v>
      </c>
      <c r="W148" s="29" t="str">
        <f>IF(COUNTBLANK(X148)=1,IF(V148&lt;='Config.'!$D$7,"meta","nops"),"")</f>
        <v>nops</v>
      </c>
      <c r="X148" s="54"/>
    </row>
    <row r="149" spans="1:24" ht="19.5" customHeight="1">
      <c r="A149" s="44" t="s">
        <v>31</v>
      </c>
      <c r="B149" s="45">
        <v>146</v>
      </c>
      <c r="C149" s="46">
        <f>IF(COUNTBLANK(I148)=1,(C148*'Config.'!$D$9)+C148,(I148*'Config.'!$D$9)+I148)</f>
        <v>305185.5749857389</v>
      </c>
      <c r="D149" s="46">
        <f>IF(COUNTBLANK(I148)=1,I148*'Config.'!$D$11,I148*'Config.'!$D$11)</f>
        <v>0</v>
      </c>
      <c r="E149" s="46">
        <f t="shared" si="12"/>
        <v>14532.646427892323</v>
      </c>
      <c r="F149" s="47"/>
      <c r="G149" s="48" t="str">
        <f t="shared" si="10"/>
        <v>-</v>
      </c>
      <c r="H149" s="29" t="str">
        <f>IF(COUNTBLANK(I149)=1,IF(C149&lt;='Config.'!$D$7,"meta","nops"),"")</f>
        <v>nops</v>
      </c>
      <c r="I149" s="55"/>
      <c r="J149" s="65"/>
      <c r="K149" s="15"/>
      <c r="L149" s="15"/>
      <c r="M149" s="51" t="str">
        <f t="shared" si="13"/>
        <v/>
      </c>
      <c r="N149" s="51" t="str">
        <f t="shared" si="11"/>
        <v/>
      </c>
      <c r="O149" s="57" t="str">
        <f t="shared" si="14"/>
        <v/>
      </c>
      <c r="P149" s="6"/>
      <c r="Q149" s="6"/>
      <c r="R149" s="6"/>
      <c r="S149" s="6"/>
      <c r="T149" s="6"/>
      <c r="U149" s="6"/>
      <c r="V149" s="32">
        <f>IF(COUNTBLANK(X148)=1,(V148*'Config.'!$D$9)+V148,(X148*'Config.'!$D$9)+X148)</f>
        <v>285341.86812465946</v>
      </c>
      <c r="W149" s="29" t="str">
        <f>IF(COUNTBLANK(X149)=1,IF(V149&lt;='Config.'!$D$7,"meta","nops"),"")</f>
        <v>nops</v>
      </c>
      <c r="X149" s="54"/>
    </row>
    <row r="150" spans="1:24" ht="19.5" customHeight="1">
      <c r="A150" s="44" t="s">
        <v>31</v>
      </c>
      <c r="B150" s="45">
        <v>147</v>
      </c>
      <c r="C150" s="46">
        <f>IF(COUNTBLANK(I149)=1,(C149*'Config.'!$D$9)+C149,(I149*'Config.'!$D$9)+I149)</f>
        <v>320444.85373502586</v>
      </c>
      <c r="D150" s="46">
        <f>IF(COUNTBLANK(I149)=1,I149*'Config.'!$D$11,I149*'Config.'!$D$11)</f>
        <v>0</v>
      </c>
      <c r="E150" s="46">
        <f t="shared" si="12"/>
        <v>15259.278749286954</v>
      </c>
      <c r="F150" s="47"/>
      <c r="G150" s="48" t="str">
        <f t="shared" si="10"/>
        <v>-</v>
      </c>
      <c r="H150" s="29" t="str">
        <f>IF(COUNTBLANK(I150)=1,IF(C150&lt;='Config.'!$D$7,"meta","nops"),"")</f>
        <v>nops</v>
      </c>
      <c r="I150" s="55"/>
      <c r="J150" s="65"/>
      <c r="K150" s="15"/>
      <c r="L150" s="15"/>
      <c r="M150" s="51" t="str">
        <f t="shared" si="13"/>
        <v/>
      </c>
      <c r="N150" s="51" t="str">
        <f t="shared" si="11"/>
        <v/>
      </c>
      <c r="O150" s="57" t="str">
        <f t="shared" si="14"/>
        <v/>
      </c>
      <c r="P150" s="6"/>
      <c r="Q150" s="6"/>
      <c r="R150" s="6"/>
      <c r="S150" s="6"/>
      <c r="T150" s="6"/>
      <c r="U150" s="6"/>
      <c r="V150" s="32">
        <f>IF(COUNTBLANK(X149)=1,(V149*'Config.'!$D$9)+V149,(X149*'Config.'!$D$9)+X149)</f>
        <v>299608.96153089241</v>
      </c>
      <c r="W150" s="29" t="str">
        <f>IF(COUNTBLANK(X150)=1,IF(V150&lt;='Config.'!$D$7,"meta","nops"),"")</f>
        <v>nops</v>
      </c>
      <c r="X150" s="54"/>
    </row>
    <row r="151" spans="1:24" ht="19.5" customHeight="1">
      <c r="A151" s="44" t="s">
        <v>31</v>
      </c>
      <c r="B151" s="45">
        <v>148</v>
      </c>
      <c r="C151" s="46">
        <f>IF(COUNTBLANK(I150)=1,(C150*'Config.'!$D$9)+C150,(I150*'Config.'!$D$9)+I150)</f>
        <v>336467.09642177715</v>
      </c>
      <c r="D151" s="46">
        <f>IF(COUNTBLANK(I150)=1,I150*'Config.'!$D$11,I150*'Config.'!$D$11)</f>
        <v>0</v>
      </c>
      <c r="E151" s="46">
        <f t="shared" si="12"/>
        <v>16022.242686751299</v>
      </c>
      <c r="F151" s="47"/>
      <c r="G151" s="48" t="str">
        <f t="shared" si="10"/>
        <v>-</v>
      </c>
      <c r="H151" s="29" t="str">
        <f>IF(COUNTBLANK(I151)=1,IF(C151&lt;='Config.'!$D$7,"meta","nops"),"")</f>
        <v>nops</v>
      </c>
      <c r="I151" s="55"/>
      <c r="J151" s="65"/>
      <c r="K151" s="15"/>
      <c r="L151" s="15"/>
      <c r="M151" s="51" t="str">
        <f t="shared" si="13"/>
        <v/>
      </c>
      <c r="N151" s="51" t="str">
        <f t="shared" si="11"/>
        <v/>
      </c>
      <c r="O151" s="57" t="str">
        <f t="shared" si="14"/>
        <v/>
      </c>
      <c r="P151" s="6"/>
      <c r="Q151" s="6"/>
      <c r="R151" s="6"/>
      <c r="S151" s="6"/>
      <c r="T151" s="6"/>
      <c r="U151" s="6"/>
      <c r="V151" s="32">
        <f>IF(COUNTBLANK(X150)=1,(V150*'Config.'!$D$9)+V150,(X150*'Config.'!$D$9)+X150)</f>
        <v>314589.40960743703</v>
      </c>
      <c r="W151" s="29" t="str">
        <f>IF(COUNTBLANK(X151)=1,IF(V151&lt;='Config.'!$D$7,"meta","nops"),"")</f>
        <v>nops</v>
      </c>
      <c r="X151" s="54"/>
    </row>
    <row r="152" spans="1:24" ht="19.5" customHeight="1">
      <c r="A152" s="44" t="s">
        <v>31</v>
      </c>
      <c r="B152" s="45">
        <v>149</v>
      </c>
      <c r="C152" s="46">
        <f>IF(COUNTBLANK(I151)=1,(C151*'Config.'!$D$9)+C151,(I151*'Config.'!$D$9)+I151)</f>
        <v>353290.45124286599</v>
      </c>
      <c r="D152" s="46">
        <f>IF(COUNTBLANK(I151)=1,I151*'Config.'!$D$11,I151*'Config.'!$D$11)</f>
        <v>0</v>
      </c>
      <c r="E152" s="46">
        <f t="shared" si="12"/>
        <v>16823.35482108884</v>
      </c>
      <c r="F152" s="47"/>
      <c r="G152" s="48" t="str">
        <f t="shared" si="10"/>
        <v>-</v>
      </c>
      <c r="H152" s="29" t="str">
        <f>IF(COUNTBLANK(I152)=1,IF(C152&lt;='Config.'!$D$7,"meta","nops"),"")</f>
        <v>nops</v>
      </c>
      <c r="I152" s="55"/>
      <c r="J152" s="65"/>
      <c r="K152" s="15"/>
      <c r="L152" s="15"/>
      <c r="M152" s="51" t="str">
        <f t="shared" si="13"/>
        <v/>
      </c>
      <c r="N152" s="51" t="str">
        <f t="shared" si="11"/>
        <v/>
      </c>
      <c r="O152" s="57" t="str">
        <f t="shared" si="14"/>
        <v/>
      </c>
      <c r="P152" s="6"/>
      <c r="Q152" s="6"/>
      <c r="R152" s="6"/>
      <c r="S152" s="6"/>
      <c r="T152" s="6"/>
      <c r="U152" s="6"/>
      <c r="V152" s="32">
        <f>IF(COUNTBLANK(X151)=1,(V151*'Config.'!$D$9)+V151,(X151*'Config.'!$D$9)+X151)</f>
        <v>330318.88008780888</v>
      </c>
      <c r="W152" s="29" t="str">
        <f>IF(COUNTBLANK(X152)=1,IF(V152&lt;='Config.'!$D$7,"meta","nops"),"")</f>
        <v>nops</v>
      </c>
      <c r="X152" s="54"/>
    </row>
    <row r="153" spans="1:24" ht="19.5" customHeight="1">
      <c r="A153" s="44" t="s">
        <v>31</v>
      </c>
      <c r="B153" s="45">
        <v>150</v>
      </c>
      <c r="C153" s="46">
        <f>IF(COUNTBLANK(I152)=1,(C152*'Config.'!$D$9)+C152,(I152*'Config.'!$D$9)+I152)</f>
        <v>370954.97380500927</v>
      </c>
      <c r="D153" s="46">
        <f>IF(COUNTBLANK(I152)=1,I152*'Config.'!$D$11,I152*'Config.'!$D$11)</f>
        <v>0</v>
      </c>
      <c r="E153" s="46">
        <f t="shared" si="12"/>
        <v>17664.522562143276</v>
      </c>
      <c r="F153" s="47"/>
      <c r="G153" s="48" t="str">
        <f t="shared" si="10"/>
        <v>-</v>
      </c>
      <c r="H153" s="29" t="str">
        <f>IF(COUNTBLANK(I153)=1,IF(C153&lt;='Config.'!$D$7,"meta","nops"),"")</f>
        <v>nops</v>
      </c>
      <c r="I153" s="55"/>
      <c r="J153" s="65"/>
      <c r="K153" s="15"/>
      <c r="L153" s="15"/>
      <c r="M153" s="51" t="str">
        <f t="shared" si="13"/>
        <v/>
      </c>
      <c r="N153" s="51" t="str">
        <f t="shared" si="11"/>
        <v/>
      </c>
      <c r="O153" s="57" t="str">
        <f t="shared" si="14"/>
        <v/>
      </c>
      <c r="P153" s="6"/>
      <c r="Q153" s="6"/>
      <c r="R153" s="6"/>
      <c r="S153" s="6"/>
      <c r="T153" s="6"/>
      <c r="U153" s="6"/>
      <c r="V153" s="32">
        <f>IF(COUNTBLANK(X152)=1,(V152*'Config.'!$D$9)+V152,(X152*'Config.'!$D$9)+X152)</f>
        <v>346834.82409219933</v>
      </c>
      <c r="W153" s="29" t="str">
        <f>IF(COUNTBLANK(X153)=1,IF(V153&lt;='Config.'!$D$7,"meta","nops"),"")</f>
        <v>nops</v>
      </c>
      <c r="X153" s="54"/>
    </row>
    <row r="154" spans="1:24" ht="19.5" customHeight="1">
      <c r="A154" s="44" t="s">
        <v>31</v>
      </c>
      <c r="B154" s="45">
        <v>151</v>
      </c>
      <c r="C154" s="46">
        <f>IF(COUNTBLANK(I153)=1,(C153*'Config.'!$D$9)+C153,(I153*'Config.'!$D$9)+I153)</f>
        <v>389502.72249525972</v>
      </c>
      <c r="D154" s="46">
        <f>IF(COUNTBLANK(I153)=1,I153*'Config.'!$D$11,I153*'Config.'!$D$11)</f>
        <v>0</v>
      </c>
      <c r="E154" s="46">
        <f t="shared" si="12"/>
        <v>18547.748690250446</v>
      </c>
      <c r="F154" s="47"/>
      <c r="G154" s="48" t="str">
        <f t="shared" si="10"/>
        <v>-</v>
      </c>
      <c r="H154" s="29" t="str">
        <f>IF(COUNTBLANK(I154)=1,IF(C154&lt;='Config.'!$D$7,"meta","nops"),"")</f>
        <v>nops</v>
      </c>
      <c r="I154" s="55"/>
      <c r="J154" s="65"/>
      <c r="K154" s="15"/>
      <c r="L154" s="15"/>
      <c r="M154" s="51" t="str">
        <f t="shared" si="13"/>
        <v/>
      </c>
      <c r="N154" s="51" t="str">
        <f t="shared" si="11"/>
        <v/>
      </c>
      <c r="O154" s="57" t="str">
        <f t="shared" si="14"/>
        <v/>
      </c>
      <c r="P154" s="6"/>
      <c r="Q154" s="6"/>
      <c r="R154" s="6"/>
      <c r="S154" s="6"/>
      <c r="T154" s="6"/>
      <c r="U154" s="6"/>
      <c r="V154" s="32">
        <f>IF(COUNTBLANK(X153)=1,(V153*'Config.'!$D$9)+V153,(X153*'Config.'!$D$9)+X153)</f>
        <v>364176.56529680931</v>
      </c>
      <c r="W154" s="29" t="str">
        <f>IF(COUNTBLANK(X154)=1,IF(V154&lt;='Config.'!$D$7,"meta","nops"),"")</f>
        <v>nops</v>
      </c>
      <c r="X154" s="54"/>
    </row>
    <row r="155" spans="1:24" ht="19.5" customHeight="1">
      <c r="A155" s="44" t="s">
        <v>31</v>
      </c>
      <c r="B155" s="45">
        <v>152</v>
      </c>
      <c r="C155" s="46">
        <f>IF(COUNTBLANK(I154)=1,(C154*'Config.'!$D$9)+C154,(I154*'Config.'!$D$9)+I154)</f>
        <v>408977.85862002271</v>
      </c>
      <c r="D155" s="46">
        <f>IF(COUNTBLANK(I154)=1,I154*'Config.'!$D$11,I154*'Config.'!$D$11)</f>
        <v>0</v>
      </c>
      <c r="E155" s="46">
        <f t="shared" si="12"/>
        <v>19475.136124762997</v>
      </c>
      <c r="F155" s="47"/>
      <c r="G155" s="48" t="str">
        <f t="shared" si="10"/>
        <v>-</v>
      </c>
      <c r="H155" s="29" t="str">
        <f>IF(COUNTBLANK(I155)=1,IF(C155&lt;='Config.'!$D$7,"meta","nops"),"")</f>
        <v>nops</v>
      </c>
      <c r="I155" s="55"/>
      <c r="J155" s="65"/>
      <c r="K155" s="15"/>
      <c r="L155" s="15"/>
      <c r="M155" s="51" t="str">
        <f t="shared" si="13"/>
        <v/>
      </c>
      <c r="N155" s="51" t="str">
        <f t="shared" si="11"/>
        <v/>
      </c>
      <c r="O155" s="57" t="str">
        <f t="shared" si="14"/>
        <v/>
      </c>
      <c r="P155" s="6"/>
      <c r="Q155" s="6"/>
      <c r="R155" s="6"/>
      <c r="S155" s="6"/>
      <c r="T155" s="6"/>
      <c r="U155" s="6"/>
      <c r="V155" s="32">
        <f>IF(COUNTBLANK(X154)=1,(V154*'Config.'!$D$9)+V154,(X154*'Config.'!$D$9)+X154)</f>
        <v>382385.39356164978</v>
      </c>
      <c r="W155" s="29" t="str">
        <f>IF(COUNTBLANK(X155)=1,IF(V155&lt;='Config.'!$D$7,"meta","nops"),"")</f>
        <v>nops</v>
      </c>
      <c r="X155" s="54"/>
    </row>
    <row r="156" spans="1:24" ht="19.5" customHeight="1">
      <c r="A156" s="44" t="s">
        <v>31</v>
      </c>
      <c r="B156" s="45">
        <v>153</v>
      </c>
      <c r="C156" s="46">
        <f>IF(COUNTBLANK(I155)=1,(C155*'Config.'!$D$9)+C155,(I155*'Config.'!$D$9)+I155)</f>
        <v>429426.75155102386</v>
      </c>
      <c r="D156" s="46">
        <f>IF(COUNTBLANK(I155)=1,I155*'Config.'!$D$11,I155*'Config.'!$D$11)</f>
        <v>0</v>
      </c>
      <c r="E156" s="46">
        <f t="shared" si="12"/>
        <v>20448.892931001144</v>
      </c>
      <c r="F156" s="47"/>
      <c r="G156" s="48" t="str">
        <f t="shared" si="10"/>
        <v>-</v>
      </c>
      <c r="H156" s="29" t="str">
        <f>IF(COUNTBLANK(I156)=1,IF(C156&lt;='Config.'!$D$7,"meta","nops"),"")</f>
        <v>nops</v>
      </c>
      <c r="I156" s="55"/>
      <c r="J156" s="65"/>
      <c r="K156" s="15"/>
      <c r="L156" s="15"/>
      <c r="M156" s="51" t="str">
        <f t="shared" si="13"/>
        <v/>
      </c>
      <c r="N156" s="51" t="str">
        <f t="shared" si="11"/>
        <v/>
      </c>
      <c r="O156" s="57" t="str">
        <f t="shared" si="14"/>
        <v/>
      </c>
      <c r="P156" s="6"/>
      <c r="Q156" s="6"/>
      <c r="R156" s="6"/>
      <c r="S156" s="6"/>
      <c r="T156" s="6"/>
      <c r="U156" s="6"/>
      <c r="V156" s="32">
        <f>IF(COUNTBLANK(X155)=1,(V155*'Config.'!$D$9)+V155,(X155*'Config.'!$D$9)+X155)</f>
        <v>401504.66323973227</v>
      </c>
      <c r="W156" s="29" t="str">
        <f>IF(COUNTBLANK(X156)=1,IF(V156&lt;='Config.'!$D$7,"meta","nops"),"")</f>
        <v>nops</v>
      </c>
      <c r="X156" s="54"/>
    </row>
    <row r="157" spans="1:24" ht="19.5" customHeight="1">
      <c r="A157" s="44" t="s">
        <v>31</v>
      </c>
      <c r="B157" s="45">
        <v>154</v>
      </c>
      <c r="C157" s="46">
        <f>IF(COUNTBLANK(I156)=1,(C156*'Config.'!$D$9)+C156,(I156*'Config.'!$D$9)+I156)</f>
        <v>450898.08912857505</v>
      </c>
      <c r="D157" s="46">
        <f>IF(COUNTBLANK(I156)=1,I156*'Config.'!$D$11,I156*'Config.'!$D$11)</f>
        <v>0</v>
      </c>
      <c r="E157" s="46">
        <f t="shared" si="12"/>
        <v>21471.337577551196</v>
      </c>
      <c r="F157" s="47"/>
      <c r="G157" s="48" t="str">
        <f t="shared" si="10"/>
        <v>-</v>
      </c>
      <c r="H157" s="29" t="str">
        <f>IF(COUNTBLANK(I157)=1,IF(C157&lt;='Config.'!$D$7,"meta","nops"),"")</f>
        <v>nops</v>
      </c>
      <c r="I157" s="55"/>
      <c r="J157" s="65"/>
      <c r="K157" s="15"/>
      <c r="L157" s="15"/>
      <c r="M157" s="51" t="str">
        <f t="shared" si="13"/>
        <v/>
      </c>
      <c r="N157" s="51" t="str">
        <f t="shared" si="11"/>
        <v/>
      </c>
      <c r="O157" s="57" t="str">
        <f t="shared" si="14"/>
        <v/>
      </c>
      <c r="P157" s="6"/>
      <c r="Q157" s="6"/>
      <c r="R157" s="6"/>
      <c r="S157" s="6"/>
      <c r="T157" s="6"/>
      <c r="U157" s="6"/>
      <c r="V157" s="32">
        <f>IF(COUNTBLANK(X156)=1,(V156*'Config.'!$D$9)+V156,(X156*'Config.'!$D$9)+X156)</f>
        <v>421579.8964017189</v>
      </c>
      <c r="W157" s="29" t="str">
        <f>IF(COUNTBLANK(X157)=1,IF(V157&lt;='Config.'!$D$7,"meta","nops"),"")</f>
        <v>nops</v>
      </c>
      <c r="X157" s="54"/>
    </row>
    <row r="158" spans="1:24" ht="19.5" customHeight="1">
      <c r="A158" s="44" t="s">
        <v>31</v>
      </c>
      <c r="B158" s="45">
        <v>155</v>
      </c>
      <c r="C158" s="46">
        <f>IF(COUNTBLANK(I157)=1,(C157*'Config.'!$D$9)+C157,(I157*'Config.'!$D$9)+I157)</f>
        <v>473442.99358500383</v>
      </c>
      <c r="D158" s="46">
        <f>IF(COUNTBLANK(I157)=1,I157*'Config.'!$D$11,I157*'Config.'!$D$11)</f>
        <v>0</v>
      </c>
      <c r="E158" s="46">
        <f t="shared" si="12"/>
        <v>22544.904456428776</v>
      </c>
      <c r="F158" s="47"/>
      <c r="G158" s="48" t="str">
        <f t="shared" si="10"/>
        <v>-</v>
      </c>
      <c r="H158" s="29" t="str">
        <f>IF(COUNTBLANK(I158)=1,IF(C158&lt;='Config.'!$D$7,"meta","nops"),"")</f>
        <v>nops</v>
      </c>
      <c r="I158" s="55"/>
      <c r="J158" s="65"/>
      <c r="K158" s="15"/>
      <c r="L158" s="15"/>
      <c r="M158" s="51" t="str">
        <f t="shared" si="13"/>
        <v/>
      </c>
      <c r="N158" s="51" t="str">
        <f t="shared" si="11"/>
        <v/>
      </c>
      <c r="O158" s="57" t="str">
        <f t="shared" si="14"/>
        <v/>
      </c>
      <c r="P158" s="6"/>
      <c r="Q158" s="6"/>
      <c r="R158" s="6"/>
      <c r="S158" s="6"/>
      <c r="T158" s="6"/>
      <c r="U158" s="6"/>
      <c r="V158" s="32">
        <f>IF(COUNTBLANK(X157)=1,(V157*'Config.'!$D$9)+V157,(X157*'Config.'!$D$9)+X157)</f>
        <v>442658.89122180484</v>
      </c>
      <c r="W158" s="29" t="str">
        <f>IF(COUNTBLANK(X158)=1,IF(V158&lt;='Config.'!$D$7,"meta","nops"),"")</f>
        <v>nops</v>
      </c>
      <c r="X158" s="54"/>
    </row>
    <row r="159" spans="1:24" ht="19.5" customHeight="1">
      <c r="A159" s="44" t="s">
        <v>31</v>
      </c>
      <c r="B159" s="45">
        <v>156</v>
      </c>
      <c r="C159" s="46">
        <f>IF(COUNTBLANK(I158)=1,(C158*'Config.'!$D$9)+C158,(I158*'Config.'!$D$9)+I158)</f>
        <v>497115.14326425403</v>
      </c>
      <c r="D159" s="46">
        <f>IF(COUNTBLANK(I158)=1,I158*'Config.'!$D$11,I158*'Config.'!$D$11)</f>
        <v>0</v>
      </c>
      <c r="E159" s="46">
        <f t="shared" si="12"/>
        <v>23672.1496792502</v>
      </c>
      <c r="F159" s="47"/>
      <c r="G159" s="48" t="str">
        <f t="shared" si="10"/>
        <v>-</v>
      </c>
      <c r="H159" s="29" t="str">
        <f>IF(COUNTBLANK(I159)=1,IF(C159&lt;='Config.'!$D$7,"meta","nops"),"")</f>
        <v>nops</v>
      </c>
      <c r="I159" s="55"/>
      <c r="J159" s="65"/>
      <c r="K159" s="15"/>
      <c r="L159" s="15"/>
      <c r="M159" s="51" t="str">
        <f t="shared" si="13"/>
        <v/>
      </c>
      <c r="N159" s="51" t="str">
        <f t="shared" si="11"/>
        <v/>
      </c>
      <c r="O159" s="57" t="str">
        <f t="shared" si="14"/>
        <v/>
      </c>
      <c r="P159" s="6"/>
      <c r="Q159" s="6"/>
      <c r="R159" s="6"/>
      <c r="S159" s="6"/>
      <c r="T159" s="6"/>
      <c r="U159" s="6"/>
      <c r="V159" s="32">
        <f>IF(COUNTBLANK(X158)=1,(V158*'Config.'!$D$9)+V158,(X158*'Config.'!$D$9)+X158)</f>
        <v>464791.8357828951</v>
      </c>
      <c r="W159" s="29" t="str">
        <f>IF(COUNTBLANK(X159)=1,IF(V159&lt;='Config.'!$D$7,"meta","nops"),"")</f>
        <v>nops</v>
      </c>
      <c r="X159" s="54"/>
    </row>
    <row r="160" spans="1:24" ht="19.5" customHeight="1">
      <c r="A160" s="44" t="s">
        <v>31</v>
      </c>
      <c r="B160" s="45">
        <v>157</v>
      </c>
      <c r="C160" s="46">
        <f>IF(COUNTBLANK(I159)=1,(C159*'Config.'!$D$9)+C159,(I159*'Config.'!$D$9)+I159)</f>
        <v>521970.90042746672</v>
      </c>
      <c r="D160" s="46">
        <f>IF(COUNTBLANK(I159)=1,I159*'Config.'!$D$11,I159*'Config.'!$D$11)</f>
        <v>0</v>
      </c>
      <c r="E160" s="46">
        <f t="shared" si="12"/>
        <v>24855.757163212693</v>
      </c>
      <c r="F160" s="47"/>
      <c r="G160" s="48" t="str">
        <f t="shared" si="10"/>
        <v>-</v>
      </c>
      <c r="H160" s="29" t="str">
        <f>IF(COUNTBLANK(I160)=1,IF(C160&lt;='Config.'!$D$7,"meta","nops"),"")</f>
        <v>nops</v>
      </c>
      <c r="I160" s="55"/>
      <c r="J160" s="65"/>
      <c r="K160" s="15"/>
      <c r="L160" s="15"/>
      <c r="M160" s="51" t="str">
        <f t="shared" si="13"/>
        <v/>
      </c>
      <c r="N160" s="51" t="str">
        <f t="shared" si="11"/>
        <v/>
      </c>
      <c r="O160" s="57" t="str">
        <f t="shared" si="14"/>
        <v/>
      </c>
      <c r="P160" s="6"/>
      <c r="Q160" s="6"/>
      <c r="R160" s="6"/>
      <c r="S160" s="6"/>
      <c r="T160" s="6"/>
      <c r="U160" s="6"/>
      <c r="V160" s="32">
        <f>IF(COUNTBLANK(X159)=1,(V159*'Config.'!$D$9)+V159,(X159*'Config.'!$D$9)+X159)</f>
        <v>488031.42757203983</v>
      </c>
      <c r="W160" s="29" t="str">
        <f>IF(COUNTBLANK(X160)=1,IF(V160&lt;='Config.'!$D$7,"meta","nops"),"")</f>
        <v>nops</v>
      </c>
      <c r="X160" s="54"/>
    </row>
    <row r="161" spans="1:24" ht="19.5" customHeight="1">
      <c r="A161" s="44" t="s">
        <v>31</v>
      </c>
      <c r="B161" s="45">
        <v>158</v>
      </c>
      <c r="C161" s="46">
        <f>IF(COUNTBLANK(I160)=1,(C160*'Config.'!$D$9)+C160,(I160*'Config.'!$D$9)+I160)</f>
        <v>548069.44544884004</v>
      </c>
      <c r="D161" s="46">
        <f>IF(COUNTBLANK(I160)=1,I160*'Config.'!$D$11,I160*'Config.'!$D$11)</f>
        <v>0</v>
      </c>
      <c r="E161" s="46">
        <f t="shared" si="12"/>
        <v>26098.545021373313</v>
      </c>
      <c r="F161" s="47"/>
      <c r="G161" s="48" t="str">
        <f t="shared" si="10"/>
        <v>-</v>
      </c>
      <c r="H161" s="29" t="str">
        <f>IF(COUNTBLANK(I161)=1,IF(C161&lt;='Config.'!$D$7,"meta","nops"),"")</f>
        <v>nops</v>
      </c>
      <c r="I161" s="55"/>
      <c r="J161" s="65"/>
      <c r="K161" s="15"/>
      <c r="L161" s="15"/>
      <c r="M161" s="51" t="str">
        <f t="shared" si="13"/>
        <v/>
      </c>
      <c r="N161" s="51" t="str">
        <f t="shared" si="11"/>
        <v/>
      </c>
      <c r="O161" s="57" t="str">
        <f t="shared" si="14"/>
        <v/>
      </c>
      <c r="P161" s="6"/>
      <c r="Q161" s="6"/>
      <c r="R161" s="6"/>
      <c r="S161" s="6"/>
      <c r="T161" s="6"/>
      <c r="U161" s="6"/>
      <c r="V161" s="32">
        <f>IF(COUNTBLANK(X160)=1,(V160*'Config.'!$D$9)+V160,(X160*'Config.'!$D$9)+X160)</f>
        <v>512432.99895064184</v>
      </c>
      <c r="W161" s="29" t="str">
        <f>IF(COUNTBLANK(X161)=1,IF(V161&lt;='Config.'!$D$7,"meta","nops"),"")</f>
        <v>nops</v>
      </c>
      <c r="X161" s="54"/>
    </row>
    <row r="162" spans="1:24" ht="19.5" customHeight="1">
      <c r="A162" s="44" t="s">
        <v>31</v>
      </c>
      <c r="B162" s="45">
        <v>159</v>
      </c>
      <c r="C162" s="46">
        <f>IF(COUNTBLANK(I161)=1,(C161*'Config.'!$D$9)+C161,(I161*'Config.'!$D$9)+I161)</f>
        <v>575472.91772128199</v>
      </c>
      <c r="D162" s="46">
        <f>IF(COUNTBLANK(I161)=1,I161*'Config.'!$D$11,I161*'Config.'!$D$11)</f>
        <v>0</v>
      </c>
      <c r="E162" s="46">
        <f t="shared" si="12"/>
        <v>27403.472272441955</v>
      </c>
      <c r="F162" s="47"/>
      <c r="G162" s="48" t="str">
        <f t="shared" si="10"/>
        <v>-</v>
      </c>
      <c r="H162" s="29" t="str">
        <f>IF(COUNTBLANK(I162)=1,IF(C162&lt;='Config.'!$D$7,"meta","nops"),"")</f>
        <v>nops</v>
      </c>
      <c r="I162" s="55"/>
      <c r="J162" s="65"/>
      <c r="K162" s="15"/>
      <c r="L162" s="15"/>
      <c r="M162" s="51" t="str">
        <f t="shared" si="13"/>
        <v/>
      </c>
      <c r="N162" s="51" t="str">
        <f t="shared" si="11"/>
        <v/>
      </c>
      <c r="O162" s="57" t="str">
        <f t="shared" si="14"/>
        <v/>
      </c>
      <c r="P162" s="6"/>
      <c r="Q162" s="6"/>
      <c r="R162" s="6"/>
      <c r="S162" s="6"/>
      <c r="T162" s="6"/>
      <c r="U162" s="6"/>
      <c r="V162" s="32">
        <f>IF(COUNTBLANK(X161)=1,(V161*'Config.'!$D$9)+V161,(X161*'Config.'!$D$9)+X161)</f>
        <v>538054.64889817394</v>
      </c>
      <c r="W162" s="29" t="str">
        <f>IF(COUNTBLANK(X162)=1,IF(V162&lt;='Config.'!$D$7,"meta","nops"),"")</f>
        <v>nops</v>
      </c>
      <c r="X162" s="54"/>
    </row>
    <row r="163" spans="1:24" ht="19.5" customHeight="1">
      <c r="A163" s="44" t="s">
        <v>31</v>
      </c>
      <c r="B163" s="45">
        <v>160</v>
      </c>
      <c r="C163" s="46">
        <f>IF(COUNTBLANK(I162)=1,(C162*'Config.'!$D$9)+C162,(I162*'Config.'!$D$9)+I162)</f>
        <v>604246.56360734603</v>
      </c>
      <c r="D163" s="46">
        <f>IF(COUNTBLANK(I162)=1,I162*'Config.'!$D$11,I162*'Config.'!$D$11)</f>
        <v>0</v>
      </c>
      <c r="E163" s="46">
        <f t="shared" si="12"/>
        <v>28773.645886064041</v>
      </c>
      <c r="F163" s="47"/>
      <c r="G163" s="48" t="str">
        <f t="shared" si="10"/>
        <v>-</v>
      </c>
      <c r="H163" s="29" t="str">
        <f>IF(COUNTBLANK(I163)=1,IF(C163&lt;='Config.'!$D$7,"meta","nops"),"")</f>
        <v>nops</v>
      </c>
      <c r="I163" s="55"/>
      <c r="J163" s="65"/>
      <c r="K163" s="15"/>
      <c r="L163" s="15"/>
      <c r="M163" s="51" t="str">
        <f t="shared" si="13"/>
        <v/>
      </c>
      <c r="N163" s="51" t="str">
        <f t="shared" si="11"/>
        <v/>
      </c>
      <c r="O163" s="57" t="str">
        <f t="shared" si="14"/>
        <v/>
      </c>
      <c r="P163" s="6"/>
      <c r="Q163" s="6"/>
      <c r="R163" s="6"/>
      <c r="S163" s="6"/>
      <c r="T163" s="6"/>
      <c r="U163" s="6"/>
      <c r="V163" s="32">
        <f>IF(COUNTBLANK(X162)=1,(V162*'Config.'!$D$9)+V162,(X162*'Config.'!$D$9)+X162)</f>
        <v>564957.38134308264</v>
      </c>
      <c r="W163" s="29" t="str">
        <f>IF(COUNTBLANK(X163)=1,IF(V163&lt;='Config.'!$D$7,"meta","nops"),"")</f>
        <v>nops</v>
      </c>
      <c r="X163" s="54"/>
    </row>
    <row r="164" spans="1:24" ht="19.5" customHeight="1">
      <c r="A164" s="44" t="s">
        <v>31</v>
      </c>
      <c r="B164" s="45">
        <v>161</v>
      </c>
      <c r="C164" s="46">
        <f>IF(COUNTBLANK(I163)=1,(C163*'Config.'!$D$9)+C163,(I163*'Config.'!$D$9)+I163)</f>
        <v>634458.89178771339</v>
      </c>
      <c r="D164" s="46">
        <f>IF(COUNTBLANK(I163)=1,I163*'Config.'!$D$11,I163*'Config.'!$D$11)</f>
        <v>0</v>
      </c>
      <c r="E164" s="46">
        <f t="shared" si="12"/>
        <v>30212.32818036736</v>
      </c>
      <c r="F164" s="47"/>
      <c r="G164" s="48" t="str">
        <f t="shared" si="10"/>
        <v>-</v>
      </c>
      <c r="H164" s="29" t="str">
        <f>IF(COUNTBLANK(I164)=1,IF(C164&lt;='Config.'!$D$7,"meta","nops"),"")</f>
        <v>nops</v>
      </c>
      <c r="I164" s="55"/>
      <c r="J164" s="65"/>
      <c r="K164" s="15"/>
      <c r="L164" s="15"/>
      <c r="M164" s="51" t="str">
        <f t="shared" si="13"/>
        <v/>
      </c>
      <c r="N164" s="51" t="str">
        <f t="shared" si="11"/>
        <v/>
      </c>
      <c r="O164" s="57" t="str">
        <f t="shared" si="14"/>
        <v/>
      </c>
      <c r="P164" s="6"/>
      <c r="Q164" s="6"/>
      <c r="R164" s="6"/>
      <c r="S164" s="6"/>
      <c r="T164" s="6"/>
      <c r="U164" s="6"/>
      <c r="V164" s="32">
        <f>IF(COUNTBLANK(X163)=1,(V163*'Config.'!$D$9)+V163,(X163*'Config.'!$D$9)+X163)</f>
        <v>593205.25041023677</v>
      </c>
      <c r="W164" s="29" t="str">
        <f>IF(COUNTBLANK(X164)=1,IF(V164&lt;='Config.'!$D$7,"meta","nops"),"")</f>
        <v>nops</v>
      </c>
      <c r="X164" s="54"/>
    </row>
    <row r="165" spans="1:24" ht="19.5" customHeight="1">
      <c r="A165" s="44" t="s">
        <v>31</v>
      </c>
      <c r="B165" s="45">
        <v>162</v>
      </c>
      <c r="C165" s="46">
        <f>IF(COUNTBLANK(I164)=1,(C164*'Config.'!$D$9)+C164,(I164*'Config.'!$D$9)+I164)</f>
        <v>666181.83637709904</v>
      </c>
      <c r="D165" s="46">
        <f>IF(COUNTBLANK(I164)=1,I164*'Config.'!$D$11,I164*'Config.'!$D$11)</f>
        <v>0</v>
      </c>
      <c r="E165" s="46">
        <f t="shared" si="12"/>
        <v>31722.944589385646</v>
      </c>
      <c r="F165" s="47"/>
      <c r="G165" s="48" t="str">
        <f t="shared" si="10"/>
        <v>-</v>
      </c>
      <c r="H165" s="29" t="str">
        <f>IF(COUNTBLANK(I165)=1,IF(C165&lt;='Config.'!$D$7,"meta","nops"),"")</f>
        <v>nops</v>
      </c>
      <c r="I165" s="55"/>
      <c r="J165" s="65"/>
      <c r="K165" s="15"/>
      <c r="L165" s="15"/>
      <c r="M165" s="51" t="str">
        <f t="shared" si="13"/>
        <v/>
      </c>
      <c r="N165" s="51" t="str">
        <f t="shared" si="11"/>
        <v/>
      </c>
      <c r="O165" s="57" t="str">
        <f t="shared" si="14"/>
        <v/>
      </c>
      <c r="P165" s="6"/>
      <c r="Q165" s="6"/>
      <c r="R165" s="6"/>
      <c r="S165" s="6"/>
      <c r="T165" s="6"/>
      <c r="U165" s="6"/>
      <c r="V165" s="32">
        <f>IF(COUNTBLANK(X164)=1,(V164*'Config.'!$D$9)+V164,(X164*'Config.'!$D$9)+X164)</f>
        <v>622865.51293074863</v>
      </c>
      <c r="W165" s="29" t="str">
        <f>IF(COUNTBLANK(X165)=1,IF(V165&lt;='Config.'!$D$7,"meta","nops"),"")</f>
        <v>nops</v>
      </c>
      <c r="X165" s="54"/>
    </row>
    <row r="166" spans="1:24" ht="19.5" customHeight="1">
      <c r="A166" s="44" t="s">
        <v>31</v>
      </c>
      <c r="B166" s="45">
        <v>163</v>
      </c>
      <c r="C166" s="46">
        <f>IF(COUNTBLANK(I165)=1,(C165*'Config.'!$D$9)+C165,(I165*'Config.'!$D$9)+I165)</f>
        <v>699490.92819595395</v>
      </c>
      <c r="D166" s="46">
        <f>IF(COUNTBLANK(I165)=1,I165*'Config.'!$D$11,I165*'Config.'!$D$11)</f>
        <v>0</v>
      </c>
      <c r="E166" s="46">
        <f t="shared" si="12"/>
        <v>33309.091818854911</v>
      </c>
      <c r="F166" s="47"/>
      <c r="G166" s="48" t="str">
        <f t="shared" si="10"/>
        <v>-</v>
      </c>
      <c r="H166" s="29" t="str">
        <f>IF(COUNTBLANK(I166)=1,IF(C166&lt;='Config.'!$D$7,"meta","nops"),"")</f>
        <v>nops</v>
      </c>
      <c r="I166" s="55"/>
      <c r="J166" s="65"/>
      <c r="K166" s="15"/>
      <c r="L166" s="15"/>
      <c r="M166" s="51" t="str">
        <f t="shared" si="13"/>
        <v/>
      </c>
      <c r="N166" s="51" t="str">
        <f t="shared" si="11"/>
        <v/>
      </c>
      <c r="O166" s="57" t="str">
        <f t="shared" si="14"/>
        <v/>
      </c>
      <c r="P166" s="6"/>
      <c r="Q166" s="6"/>
      <c r="R166" s="6"/>
      <c r="S166" s="6"/>
      <c r="T166" s="6"/>
      <c r="U166" s="6"/>
      <c r="V166" s="32">
        <f>IF(COUNTBLANK(X165)=1,(V165*'Config.'!$D$9)+V165,(X165*'Config.'!$D$9)+X165)</f>
        <v>654008.78857728606</v>
      </c>
      <c r="W166" s="29" t="str">
        <f>IF(COUNTBLANK(X166)=1,IF(V166&lt;='Config.'!$D$7,"meta","nops"),"")</f>
        <v>nops</v>
      </c>
      <c r="X166" s="54"/>
    </row>
    <row r="167" spans="1:24" ht="19.5" customHeight="1">
      <c r="A167" s="44" t="s">
        <v>31</v>
      </c>
      <c r="B167" s="45">
        <v>164</v>
      </c>
      <c r="C167" s="46">
        <f>IF(COUNTBLANK(I166)=1,(C166*'Config.'!$D$9)+C166,(I166*'Config.'!$D$9)+I166)</f>
        <v>734465.47460575169</v>
      </c>
      <c r="D167" s="46">
        <f>IF(COUNTBLANK(I166)=1,I166*'Config.'!$D$11,I166*'Config.'!$D$11)</f>
        <v>0</v>
      </c>
      <c r="E167" s="46">
        <f t="shared" si="12"/>
        <v>34974.546409797738</v>
      </c>
      <c r="F167" s="47"/>
      <c r="G167" s="48" t="str">
        <f t="shared" si="10"/>
        <v>-</v>
      </c>
      <c r="H167" s="29" t="str">
        <f>IF(COUNTBLANK(I167)=1,IF(C167&lt;='Config.'!$D$7,"meta","nops"),"")</f>
        <v>nops</v>
      </c>
      <c r="I167" s="55"/>
      <c r="J167" s="65"/>
      <c r="K167" s="15"/>
      <c r="L167" s="15"/>
      <c r="M167" s="51" t="str">
        <f t="shared" si="13"/>
        <v/>
      </c>
      <c r="N167" s="51" t="str">
        <f t="shared" si="11"/>
        <v/>
      </c>
      <c r="O167" s="57" t="str">
        <f t="shared" si="14"/>
        <v/>
      </c>
      <c r="P167" s="6"/>
      <c r="Q167" s="6"/>
      <c r="R167" s="6"/>
      <c r="S167" s="6"/>
      <c r="T167" s="6"/>
      <c r="U167" s="6"/>
      <c r="V167" s="32">
        <f>IF(COUNTBLANK(X166)=1,(V166*'Config.'!$D$9)+V166,(X166*'Config.'!$D$9)+X166)</f>
        <v>686709.22800615034</v>
      </c>
      <c r="W167" s="29" t="str">
        <f>IF(COUNTBLANK(X167)=1,IF(V167&lt;='Config.'!$D$7,"meta","nops"),"")</f>
        <v>nops</v>
      </c>
      <c r="X167" s="54"/>
    </row>
    <row r="168" spans="1:24" ht="19.5" customHeight="1">
      <c r="A168" s="44" t="s">
        <v>31</v>
      </c>
      <c r="B168" s="45">
        <v>165</v>
      </c>
      <c r="C168" s="46">
        <f>IF(COUNTBLANK(I167)=1,(C167*'Config.'!$D$9)+C167,(I167*'Config.'!$D$9)+I167)</f>
        <v>771188.74833603925</v>
      </c>
      <c r="D168" s="46">
        <f>IF(COUNTBLANK(I167)=1,I167*'Config.'!$D$11,I167*'Config.'!$D$11)</f>
        <v>0</v>
      </c>
      <c r="E168" s="46">
        <f t="shared" si="12"/>
        <v>36723.273730287561</v>
      </c>
      <c r="F168" s="47"/>
      <c r="G168" s="48" t="str">
        <f t="shared" si="10"/>
        <v>-</v>
      </c>
      <c r="H168" s="29" t="str">
        <f>IF(COUNTBLANK(I168)=1,IF(C168&lt;='Config.'!$D$7,"meta","nops"),"")</f>
        <v>nops</v>
      </c>
      <c r="I168" s="55"/>
      <c r="J168" s="65"/>
      <c r="K168" s="15"/>
      <c r="L168" s="15"/>
      <c r="M168" s="51" t="str">
        <f t="shared" si="13"/>
        <v/>
      </c>
      <c r="N168" s="51" t="str">
        <f t="shared" si="11"/>
        <v/>
      </c>
      <c r="O168" s="57" t="str">
        <f t="shared" si="14"/>
        <v/>
      </c>
      <c r="P168" s="6"/>
      <c r="Q168" s="6"/>
      <c r="R168" s="6"/>
      <c r="S168" s="6"/>
      <c r="T168" s="6"/>
      <c r="U168" s="6"/>
      <c r="V168" s="32">
        <f>IF(COUNTBLANK(X167)=1,(V167*'Config.'!$D$9)+V167,(X167*'Config.'!$D$9)+X167)</f>
        <v>721044.68940645782</v>
      </c>
      <c r="W168" s="29" t="str">
        <f>IF(COUNTBLANK(X168)=1,IF(V168&lt;='Config.'!$D$7,"meta","nops"),"")</f>
        <v>nops</v>
      </c>
      <c r="X168" s="54"/>
    </row>
    <row r="169" spans="1:24" ht="19.5" customHeight="1">
      <c r="A169" s="44" t="s">
        <v>31</v>
      </c>
      <c r="B169" s="45">
        <v>166</v>
      </c>
      <c r="C169" s="46">
        <f>IF(COUNTBLANK(I168)=1,(C168*'Config.'!$D$9)+C168,(I168*'Config.'!$D$9)+I168)</f>
        <v>809748.18575284118</v>
      </c>
      <c r="D169" s="46">
        <f>IF(COUNTBLANK(I168)=1,I168*'Config.'!$D$11,I168*'Config.'!$D$11)</f>
        <v>0</v>
      </c>
      <c r="E169" s="46">
        <f t="shared" si="12"/>
        <v>38559.437416801928</v>
      </c>
      <c r="F169" s="47"/>
      <c r="G169" s="48" t="str">
        <f t="shared" si="10"/>
        <v>-</v>
      </c>
      <c r="H169" s="29" t="str">
        <f>IF(COUNTBLANK(I169)=1,IF(C169&lt;='Config.'!$D$7,"meta","nops"),"")</f>
        <v>nops</v>
      </c>
      <c r="I169" s="55"/>
      <c r="J169" s="65"/>
      <c r="K169" s="15"/>
      <c r="L169" s="15"/>
      <c r="M169" s="51" t="str">
        <f t="shared" si="13"/>
        <v/>
      </c>
      <c r="N169" s="51" t="str">
        <f t="shared" si="11"/>
        <v/>
      </c>
      <c r="O169" s="57" t="str">
        <f t="shared" si="14"/>
        <v/>
      </c>
      <c r="P169" s="6"/>
      <c r="Q169" s="6"/>
      <c r="R169" s="6"/>
      <c r="S169" s="6"/>
      <c r="T169" s="6"/>
      <c r="U169" s="6"/>
      <c r="V169" s="32">
        <f>IF(COUNTBLANK(X168)=1,(V168*'Config.'!$D$9)+V168,(X168*'Config.'!$D$9)+X168)</f>
        <v>757096.92387678067</v>
      </c>
      <c r="W169" s="29" t="str">
        <f>IF(COUNTBLANK(X169)=1,IF(V169&lt;='Config.'!$D$7,"meta","nops"),"")</f>
        <v>nops</v>
      </c>
      <c r="X169" s="54"/>
    </row>
    <row r="170" spans="1:24" ht="19.5" customHeight="1">
      <c r="A170" s="44" t="s">
        <v>31</v>
      </c>
      <c r="B170" s="45">
        <v>167</v>
      </c>
      <c r="C170" s="46">
        <f>IF(COUNTBLANK(I169)=1,(C169*'Config.'!$D$9)+C169,(I169*'Config.'!$D$9)+I169)</f>
        <v>850235.59504048328</v>
      </c>
      <c r="D170" s="46">
        <f>IF(COUNTBLANK(I169)=1,I169*'Config.'!$D$11,I169*'Config.'!$D$11)</f>
        <v>0</v>
      </c>
      <c r="E170" s="46">
        <f t="shared" si="12"/>
        <v>40487.409287642105</v>
      </c>
      <c r="F170" s="47"/>
      <c r="G170" s="48" t="str">
        <f t="shared" si="10"/>
        <v>-</v>
      </c>
      <c r="H170" s="29" t="str">
        <f>IF(COUNTBLANK(I170)=1,IF(C170&lt;='Config.'!$D$7,"meta","nops"),"")</f>
        <v>nops</v>
      </c>
      <c r="I170" s="55"/>
      <c r="J170" s="65"/>
      <c r="K170" s="15"/>
      <c r="L170" s="15"/>
      <c r="M170" s="51" t="str">
        <f t="shared" si="13"/>
        <v/>
      </c>
      <c r="N170" s="51" t="str">
        <f t="shared" si="11"/>
        <v/>
      </c>
      <c r="O170" s="57" t="str">
        <f t="shared" si="14"/>
        <v/>
      </c>
      <c r="P170" s="6"/>
      <c r="Q170" s="6"/>
      <c r="R170" s="6"/>
      <c r="S170" s="6"/>
      <c r="T170" s="6"/>
      <c r="U170" s="6"/>
      <c r="V170" s="32">
        <f>IF(COUNTBLANK(X169)=1,(V169*'Config.'!$D$9)+V169,(X169*'Config.'!$D$9)+X169)</f>
        <v>794951.77007061965</v>
      </c>
      <c r="W170" s="29" t="str">
        <f>IF(COUNTBLANK(X170)=1,IF(V170&lt;='Config.'!$D$7,"meta","nops"),"")</f>
        <v>nops</v>
      </c>
      <c r="X170" s="54"/>
    </row>
    <row r="171" spans="1:24" ht="19.5" customHeight="1">
      <c r="A171" s="44" t="s">
        <v>31</v>
      </c>
      <c r="B171" s="45">
        <v>168</v>
      </c>
      <c r="C171" s="46">
        <f>IF(COUNTBLANK(I170)=1,(C170*'Config.'!$D$9)+C170,(I170*'Config.'!$D$9)+I170)</f>
        <v>892747.3747925075</v>
      </c>
      <c r="D171" s="46">
        <f>IF(COUNTBLANK(I170)=1,I170*'Config.'!$D$11,I170*'Config.'!$D$11)</f>
        <v>0</v>
      </c>
      <c r="E171" s="46">
        <f t="shared" si="12"/>
        <v>42511.779752024217</v>
      </c>
      <c r="F171" s="47"/>
      <c r="G171" s="48" t="str">
        <f t="shared" si="10"/>
        <v>-</v>
      </c>
      <c r="H171" s="29" t="str">
        <f>IF(COUNTBLANK(I171)=1,IF(C171&lt;='Config.'!$D$7,"meta","nops"),"")</f>
        <v>nops</v>
      </c>
      <c r="I171" s="55"/>
      <c r="J171" s="65"/>
      <c r="K171" s="15"/>
      <c r="L171" s="15"/>
      <c r="M171" s="51" t="str">
        <f t="shared" si="13"/>
        <v/>
      </c>
      <c r="N171" s="51" t="str">
        <f t="shared" si="11"/>
        <v/>
      </c>
      <c r="O171" s="57" t="str">
        <f t="shared" si="14"/>
        <v/>
      </c>
      <c r="P171" s="6"/>
      <c r="Q171" s="6"/>
      <c r="R171" s="6"/>
      <c r="S171" s="6"/>
      <c r="T171" s="6"/>
      <c r="U171" s="6"/>
      <c r="V171" s="32">
        <f>IF(COUNTBLANK(X170)=1,(V170*'Config.'!$D$9)+V170,(X170*'Config.'!$D$9)+X170)</f>
        <v>834699.3585741506</v>
      </c>
      <c r="W171" s="29" t="str">
        <f>IF(COUNTBLANK(X171)=1,IF(V171&lt;='Config.'!$D$7,"meta","nops"),"")</f>
        <v>nops</v>
      </c>
      <c r="X171" s="54"/>
    </row>
    <row r="172" spans="1:24" ht="19.5" customHeight="1">
      <c r="A172" s="44" t="s">
        <v>31</v>
      </c>
      <c r="B172" s="45">
        <v>169</v>
      </c>
      <c r="C172" s="46">
        <f>IF(COUNTBLANK(I171)=1,(C171*'Config.'!$D$9)+C171,(I171*'Config.'!$D$9)+I171)</f>
        <v>937384.74353213282</v>
      </c>
      <c r="D172" s="46">
        <f>IF(COUNTBLANK(I171)=1,I171*'Config.'!$D$11,I171*'Config.'!$D$11)</f>
        <v>0</v>
      </c>
      <c r="E172" s="46">
        <f t="shared" si="12"/>
        <v>44637.368739625323</v>
      </c>
      <c r="F172" s="47"/>
      <c r="G172" s="48" t="str">
        <f t="shared" si="10"/>
        <v>-</v>
      </c>
      <c r="H172" s="29" t="str">
        <f>IF(COUNTBLANK(I172)=1,IF(C172&lt;='Config.'!$D$7,"meta","nops"),"")</f>
        <v>nops</v>
      </c>
      <c r="I172" s="55"/>
      <c r="J172" s="65"/>
      <c r="K172" s="15"/>
      <c r="L172" s="15"/>
      <c r="M172" s="51" t="str">
        <f t="shared" si="13"/>
        <v/>
      </c>
      <c r="N172" s="51" t="str">
        <f t="shared" si="11"/>
        <v/>
      </c>
      <c r="O172" s="57" t="str">
        <f t="shared" si="14"/>
        <v/>
      </c>
      <c r="P172" s="6"/>
      <c r="Q172" s="6"/>
      <c r="R172" s="6"/>
      <c r="S172" s="6"/>
      <c r="T172" s="6"/>
      <c r="U172" s="6"/>
      <c r="V172" s="32">
        <f>IF(COUNTBLANK(X171)=1,(V171*'Config.'!$D$9)+V171,(X171*'Config.'!$D$9)+X171)</f>
        <v>876434.32650285808</v>
      </c>
      <c r="W172" s="29" t="str">
        <f>IF(COUNTBLANK(X172)=1,IF(V172&lt;='Config.'!$D$7,"meta","nops"),"")</f>
        <v>nops</v>
      </c>
      <c r="X172" s="54"/>
    </row>
    <row r="173" spans="1:24" ht="19.5" customHeight="1">
      <c r="A173" s="44" t="s">
        <v>31</v>
      </c>
      <c r="B173" s="45">
        <v>170</v>
      </c>
      <c r="C173" s="46">
        <f>IF(COUNTBLANK(I172)=1,(C172*'Config.'!$D$9)+C172,(I172*'Config.'!$D$9)+I172)</f>
        <v>984253.98070873949</v>
      </c>
      <c r="D173" s="46">
        <f>IF(COUNTBLANK(I172)=1,I172*'Config.'!$D$11,I172*'Config.'!$D$11)</f>
        <v>0</v>
      </c>
      <c r="E173" s="46">
        <f t="shared" si="12"/>
        <v>46869.237176606664</v>
      </c>
      <c r="F173" s="47"/>
      <c r="G173" s="48" t="str">
        <f t="shared" si="10"/>
        <v>-</v>
      </c>
      <c r="H173" s="29" t="str">
        <f>IF(COUNTBLANK(I173)=1,IF(C173&lt;='Config.'!$D$7,"meta","nops"),"")</f>
        <v>nops</v>
      </c>
      <c r="I173" s="55"/>
      <c r="J173" s="65"/>
      <c r="K173" s="15"/>
      <c r="L173" s="15"/>
      <c r="M173" s="51" t="str">
        <f t="shared" si="13"/>
        <v/>
      </c>
      <c r="N173" s="51" t="str">
        <f t="shared" si="11"/>
        <v/>
      </c>
      <c r="O173" s="57" t="str">
        <f t="shared" si="14"/>
        <v/>
      </c>
      <c r="P173" s="6"/>
      <c r="Q173" s="6"/>
      <c r="R173" s="6"/>
      <c r="S173" s="6"/>
      <c r="T173" s="6"/>
      <c r="U173" s="6"/>
      <c r="V173" s="32">
        <f>IF(COUNTBLANK(X172)=1,(V172*'Config.'!$D$9)+V172,(X172*'Config.'!$D$9)+X172)</f>
        <v>920256.04282800097</v>
      </c>
      <c r="W173" s="29" t="str">
        <f>IF(COUNTBLANK(X173)=1,IF(V173&lt;='Config.'!$D$7,"meta","nops"),"")</f>
        <v>nops</v>
      </c>
      <c r="X173" s="54"/>
    </row>
    <row r="174" spans="1:24" ht="19.5" customHeight="1">
      <c r="A174" s="44" t="s">
        <v>31</v>
      </c>
      <c r="B174" s="45">
        <v>171</v>
      </c>
      <c r="C174" s="46">
        <f>IF(COUNTBLANK(I173)=1,(C173*'Config.'!$D$9)+C173,(I173*'Config.'!$D$9)+I173)</f>
        <v>1033466.6797441765</v>
      </c>
      <c r="D174" s="46">
        <f>IF(COUNTBLANK(I173)=1,I173*'Config.'!$D$11,I173*'Config.'!$D$11)</f>
        <v>0</v>
      </c>
      <c r="E174" s="46">
        <f t="shared" si="12"/>
        <v>49212.699035436963</v>
      </c>
      <c r="F174" s="47"/>
      <c r="G174" s="48" t="str">
        <f t="shared" si="10"/>
        <v>-</v>
      </c>
      <c r="H174" s="29" t="str">
        <f>IF(COUNTBLANK(I174)=1,IF(C174&lt;='Config.'!$D$7,"meta","nops"),"")</f>
        <v>nops</v>
      </c>
      <c r="I174" s="55"/>
      <c r="J174" s="65"/>
      <c r="K174" s="15"/>
      <c r="L174" s="15"/>
      <c r="M174" s="51" t="str">
        <f t="shared" si="13"/>
        <v/>
      </c>
      <c r="N174" s="51" t="str">
        <f t="shared" si="11"/>
        <v/>
      </c>
      <c r="O174" s="57" t="str">
        <f t="shared" si="14"/>
        <v/>
      </c>
      <c r="P174" s="6"/>
      <c r="Q174" s="6"/>
      <c r="R174" s="6"/>
      <c r="S174" s="6"/>
      <c r="T174" s="6"/>
      <c r="U174" s="6"/>
      <c r="V174" s="32">
        <f>IF(COUNTBLANK(X173)=1,(V173*'Config.'!$D$9)+V173,(X173*'Config.'!$D$9)+X173)</f>
        <v>966268.84496940102</v>
      </c>
      <c r="W174" s="29" t="str">
        <f>IF(COUNTBLANK(X174)=1,IF(V174&lt;='Config.'!$D$7,"meta","nops"),"")</f>
        <v>nops</v>
      </c>
      <c r="X174" s="54"/>
    </row>
    <row r="175" spans="1:24" ht="19.5" customHeight="1">
      <c r="A175" s="44" t="s">
        <v>31</v>
      </c>
      <c r="B175" s="45">
        <v>172</v>
      </c>
      <c r="C175" s="46">
        <f>IF(COUNTBLANK(I174)=1,(C174*'Config.'!$D$9)+C174,(I174*'Config.'!$D$9)+I174)</f>
        <v>1085140.0137313853</v>
      </c>
      <c r="D175" s="46">
        <f>IF(COUNTBLANK(I174)=1,I174*'Config.'!$D$11,I174*'Config.'!$D$11)</f>
        <v>0</v>
      </c>
      <c r="E175" s="46">
        <f t="shared" si="12"/>
        <v>51673.333987208898</v>
      </c>
      <c r="F175" s="47"/>
      <c r="G175" s="48" t="str">
        <f t="shared" si="10"/>
        <v>-</v>
      </c>
      <c r="H175" s="29" t="str">
        <f>IF(COUNTBLANK(I175)=1,IF(C175&lt;='Config.'!$D$7,"meta","nops"),"")</f>
        <v>nops</v>
      </c>
      <c r="I175" s="55"/>
      <c r="J175" s="65"/>
      <c r="K175" s="15"/>
      <c r="L175" s="15"/>
      <c r="M175" s="51" t="str">
        <f t="shared" si="13"/>
        <v/>
      </c>
      <c r="N175" s="51" t="str">
        <f t="shared" si="11"/>
        <v/>
      </c>
      <c r="O175" s="57" t="str">
        <f t="shared" si="14"/>
        <v/>
      </c>
      <c r="P175" s="6"/>
      <c r="Q175" s="6"/>
      <c r="R175" s="6"/>
      <c r="S175" s="6"/>
      <c r="T175" s="6"/>
      <c r="U175" s="6"/>
      <c r="V175" s="32">
        <f>IF(COUNTBLANK(X174)=1,(V174*'Config.'!$D$9)+V174,(X174*'Config.'!$D$9)+X174)</f>
        <v>1014582.2872178711</v>
      </c>
      <c r="W175" s="29" t="str">
        <f>IF(COUNTBLANK(X175)=1,IF(V175&lt;='Config.'!$D$7,"meta","nops"),"")</f>
        <v>nops</v>
      </c>
      <c r="X175" s="54"/>
    </row>
    <row r="176" spans="1:24" ht="19.5" customHeight="1">
      <c r="A176" s="44" t="s">
        <v>31</v>
      </c>
      <c r="B176" s="45">
        <v>173</v>
      </c>
      <c r="C176" s="46">
        <f>IF(COUNTBLANK(I175)=1,(C175*'Config.'!$D$9)+C175,(I175*'Config.'!$D$9)+I175)</f>
        <v>1139397.0144179547</v>
      </c>
      <c r="D176" s="46">
        <f>IF(COUNTBLANK(I175)=1,I175*'Config.'!$D$11,I175*'Config.'!$D$11)</f>
        <v>0</v>
      </c>
      <c r="E176" s="46">
        <f t="shared" si="12"/>
        <v>54257.000686569372</v>
      </c>
      <c r="F176" s="47"/>
      <c r="G176" s="48" t="str">
        <f t="shared" si="10"/>
        <v>-</v>
      </c>
      <c r="H176" s="29" t="str">
        <f>IF(COUNTBLANK(I176)=1,IF(C176&lt;='Config.'!$D$7,"meta","nops"),"")</f>
        <v>nops</v>
      </c>
      <c r="I176" s="55"/>
      <c r="J176" s="65"/>
      <c r="K176" s="15"/>
      <c r="L176" s="15"/>
      <c r="M176" s="51" t="str">
        <f t="shared" si="13"/>
        <v/>
      </c>
      <c r="N176" s="51" t="str">
        <f t="shared" si="11"/>
        <v/>
      </c>
      <c r="O176" s="57" t="str">
        <f t="shared" si="14"/>
        <v/>
      </c>
      <c r="P176" s="6"/>
      <c r="Q176" s="6"/>
      <c r="R176" s="6"/>
      <c r="S176" s="6"/>
      <c r="T176" s="6"/>
      <c r="U176" s="6"/>
      <c r="V176" s="32">
        <f>IF(COUNTBLANK(X175)=1,(V175*'Config.'!$D$9)+V175,(X175*'Config.'!$D$9)+X175)</f>
        <v>1065311.4015787647</v>
      </c>
      <c r="W176" s="29" t="str">
        <f>IF(COUNTBLANK(X176)=1,IF(V176&lt;='Config.'!$D$7,"meta","nops"),"")</f>
        <v>nops</v>
      </c>
      <c r="X176" s="54"/>
    </row>
    <row r="177" spans="1:24" ht="19.5" customHeight="1">
      <c r="A177" s="44" t="s">
        <v>31</v>
      </c>
      <c r="B177" s="45">
        <v>174</v>
      </c>
      <c r="C177" s="46">
        <f>IF(COUNTBLANK(I176)=1,(C176*'Config.'!$D$9)+C176,(I176*'Config.'!$D$9)+I176)</f>
        <v>1196366.8651388525</v>
      </c>
      <c r="D177" s="46">
        <f>IF(COUNTBLANK(I176)=1,I176*'Config.'!$D$11,I176*'Config.'!$D$11)</f>
        <v>0</v>
      </c>
      <c r="E177" s="46">
        <f t="shared" si="12"/>
        <v>56969.850720897783</v>
      </c>
      <c r="F177" s="47"/>
      <c r="G177" s="48" t="str">
        <f t="shared" si="10"/>
        <v>-</v>
      </c>
      <c r="H177" s="29" t="str">
        <f>IF(COUNTBLANK(I177)=1,IF(C177&lt;='Config.'!$D$7,"meta","nops"),"")</f>
        <v>nops</v>
      </c>
      <c r="I177" s="55"/>
      <c r="J177" s="65"/>
      <c r="K177" s="15"/>
      <c r="L177" s="15"/>
      <c r="M177" s="51" t="str">
        <f t="shared" si="13"/>
        <v/>
      </c>
      <c r="N177" s="51" t="str">
        <f t="shared" si="11"/>
        <v/>
      </c>
      <c r="O177" s="57" t="str">
        <f t="shared" si="14"/>
        <v/>
      </c>
      <c r="P177" s="6"/>
      <c r="Q177" s="6"/>
      <c r="R177" s="6"/>
      <c r="S177" s="6"/>
      <c r="T177" s="6"/>
      <c r="U177" s="6"/>
      <c r="V177" s="32">
        <f>IF(COUNTBLANK(X176)=1,(V176*'Config.'!$D$9)+V176,(X176*'Config.'!$D$9)+X176)</f>
        <v>1118576.9716577029</v>
      </c>
      <c r="W177" s="29" t="str">
        <f>IF(COUNTBLANK(X177)=1,IF(V177&lt;='Config.'!$D$7,"meta","nops"),"")</f>
        <v>nops</v>
      </c>
      <c r="X177" s="54"/>
    </row>
    <row r="178" spans="1:24" ht="19.5" customHeight="1">
      <c r="A178" s="44" t="s">
        <v>31</v>
      </c>
      <c r="B178" s="45">
        <v>175</v>
      </c>
      <c r="C178" s="46">
        <f>IF(COUNTBLANK(I177)=1,(C177*'Config.'!$D$9)+C177,(I177*'Config.'!$D$9)+I177)</f>
        <v>1256185.2083957952</v>
      </c>
      <c r="D178" s="46">
        <f>IF(COUNTBLANK(I177)=1,I177*'Config.'!$D$11,I177*'Config.'!$D$11)</f>
        <v>0</v>
      </c>
      <c r="E178" s="46">
        <f t="shared" si="12"/>
        <v>59818.343256942695</v>
      </c>
      <c r="F178" s="47"/>
      <c r="G178" s="48" t="str">
        <f t="shared" si="10"/>
        <v>-</v>
      </c>
      <c r="H178" s="29" t="str">
        <f>IF(COUNTBLANK(I178)=1,IF(C178&lt;='Config.'!$D$7,"meta","nops"),"")</f>
        <v>nops</v>
      </c>
      <c r="I178" s="55"/>
      <c r="J178" s="65"/>
      <c r="K178" s="15"/>
      <c r="L178" s="15"/>
      <c r="M178" s="51" t="str">
        <f t="shared" si="13"/>
        <v/>
      </c>
      <c r="N178" s="51" t="str">
        <f t="shared" si="11"/>
        <v/>
      </c>
      <c r="O178" s="57" t="str">
        <f t="shared" si="14"/>
        <v/>
      </c>
      <c r="P178" s="6"/>
      <c r="Q178" s="6"/>
      <c r="R178" s="6"/>
      <c r="S178" s="6"/>
      <c r="T178" s="6"/>
      <c r="U178" s="6"/>
      <c r="V178" s="32">
        <f>IF(COUNTBLANK(X177)=1,(V177*'Config.'!$D$9)+V177,(X177*'Config.'!$D$9)+X177)</f>
        <v>1174505.8202405882</v>
      </c>
      <c r="W178" s="29" t="str">
        <f>IF(COUNTBLANK(X178)=1,IF(V178&lt;='Config.'!$D$7,"meta","nops"),"")</f>
        <v>nops</v>
      </c>
      <c r="X178" s="54"/>
    </row>
    <row r="179" spans="1:24" ht="19.5" customHeight="1">
      <c r="A179" s="44" t="s">
        <v>31</v>
      </c>
      <c r="B179" s="45">
        <v>176</v>
      </c>
      <c r="C179" s="46">
        <f>IF(COUNTBLANK(I178)=1,(C178*'Config.'!$D$9)+C178,(I178*'Config.'!$D$9)+I178)</f>
        <v>1318994.4688155849</v>
      </c>
      <c r="D179" s="46">
        <f>IF(COUNTBLANK(I178)=1,I178*'Config.'!$D$11,I178*'Config.'!$D$11)</f>
        <v>0</v>
      </c>
      <c r="E179" s="46">
        <f t="shared" si="12"/>
        <v>62809.260419789702</v>
      </c>
      <c r="F179" s="47"/>
      <c r="G179" s="48" t="str">
        <f t="shared" si="10"/>
        <v>-</v>
      </c>
      <c r="H179" s="29" t="str">
        <f>IF(COUNTBLANK(I179)=1,IF(C179&lt;='Config.'!$D$7,"meta","nops"),"")</f>
        <v>nops</v>
      </c>
      <c r="I179" s="55"/>
      <c r="J179" s="65"/>
      <c r="K179" s="15"/>
      <c r="L179" s="15"/>
      <c r="M179" s="51" t="str">
        <f t="shared" si="13"/>
        <v/>
      </c>
      <c r="N179" s="51" t="str">
        <f t="shared" si="11"/>
        <v/>
      </c>
      <c r="O179" s="57" t="str">
        <f t="shared" si="14"/>
        <v/>
      </c>
      <c r="P179" s="6"/>
      <c r="Q179" s="6"/>
      <c r="R179" s="6"/>
      <c r="S179" s="6"/>
      <c r="T179" s="6"/>
      <c r="U179" s="6"/>
      <c r="V179" s="32">
        <f>IF(COUNTBLANK(X178)=1,(V178*'Config.'!$D$9)+V178,(X178*'Config.'!$D$9)+X178)</f>
        <v>1233231.1112526176</v>
      </c>
      <c r="W179" s="29" t="str">
        <f>IF(COUNTBLANK(X179)=1,IF(V179&lt;='Config.'!$D$7,"meta","nops"),"")</f>
        <v>nops</v>
      </c>
      <c r="X179" s="54"/>
    </row>
    <row r="180" spans="1:24" ht="19.5" customHeight="1">
      <c r="A180" s="44" t="s">
        <v>31</v>
      </c>
      <c r="B180" s="45">
        <v>177</v>
      </c>
      <c r="C180" s="46">
        <f>IF(COUNTBLANK(I179)=1,(C179*'Config.'!$D$9)+C179,(I179*'Config.'!$D$9)+I179)</f>
        <v>1384944.192256364</v>
      </c>
      <c r="D180" s="46">
        <f>IF(COUNTBLANK(I179)=1,I179*'Config.'!$D$11,I179*'Config.'!$D$11)</f>
        <v>0</v>
      </c>
      <c r="E180" s="46">
        <f t="shared" si="12"/>
        <v>65949.72344077914</v>
      </c>
      <c r="F180" s="47"/>
      <c r="G180" s="48" t="str">
        <f t="shared" si="10"/>
        <v>-</v>
      </c>
      <c r="H180" s="29" t="str">
        <f>IF(COUNTBLANK(I180)=1,IF(C180&lt;='Config.'!$D$7,"meta","nops"),"")</f>
        <v>nops</v>
      </c>
      <c r="I180" s="55"/>
      <c r="J180" s="65"/>
      <c r="K180" s="15"/>
      <c r="L180" s="15"/>
      <c r="M180" s="51" t="str">
        <f t="shared" si="13"/>
        <v/>
      </c>
      <c r="N180" s="51" t="str">
        <f t="shared" si="11"/>
        <v/>
      </c>
      <c r="O180" s="57" t="str">
        <f t="shared" si="14"/>
        <v/>
      </c>
      <c r="P180" s="6"/>
      <c r="Q180" s="6"/>
      <c r="R180" s="6"/>
      <c r="S180" s="6"/>
      <c r="T180" s="6"/>
      <c r="U180" s="6"/>
      <c r="V180" s="32">
        <f>IF(COUNTBLANK(X179)=1,(V179*'Config.'!$D$9)+V179,(X179*'Config.'!$D$9)+X179)</f>
        <v>1294892.6668152483</v>
      </c>
      <c r="W180" s="29" t="str">
        <f>IF(COUNTBLANK(X180)=1,IF(V180&lt;='Config.'!$D$7,"meta","nops"),"")</f>
        <v>nops</v>
      </c>
      <c r="X180" s="54"/>
    </row>
    <row r="181" spans="1:24" ht="19.5" customHeight="1">
      <c r="A181" s="44" t="s">
        <v>31</v>
      </c>
      <c r="B181" s="45">
        <v>178</v>
      </c>
      <c r="C181" s="46">
        <f>IF(COUNTBLANK(I180)=1,(C180*'Config.'!$D$9)+C180,(I180*'Config.'!$D$9)+I180)</f>
        <v>1454191.4018691822</v>
      </c>
      <c r="D181" s="46">
        <f>IF(COUNTBLANK(I180)=1,I180*'Config.'!$D$11,I180*'Config.'!$D$11)</f>
        <v>0</v>
      </c>
      <c r="E181" s="46">
        <f t="shared" si="12"/>
        <v>69247.209612818202</v>
      </c>
      <c r="F181" s="47"/>
      <c r="G181" s="48" t="str">
        <f t="shared" si="10"/>
        <v>-</v>
      </c>
      <c r="H181" s="29" t="str">
        <f>IF(COUNTBLANK(I181)=1,IF(C181&lt;='Config.'!$D$7,"meta","nops"),"")</f>
        <v>nops</v>
      </c>
      <c r="I181" s="55"/>
      <c r="J181" s="65"/>
      <c r="K181" s="15"/>
      <c r="L181" s="15"/>
      <c r="M181" s="51" t="str">
        <f t="shared" si="13"/>
        <v/>
      </c>
      <c r="N181" s="51" t="str">
        <f t="shared" si="11"/>
        <v/>
      </c>
      <c r="O181" s="57" t="str">
        <f t="shared" si="14"/>
        <v/>
      </c>
      <c r="P181" s="6"/>
      <c r="Q181" s="6"/>
      <c r="R181" s="6"/>
      <c r="S181" s="6"/>
      <c r="T181" s="6"/>
      <c r="U181" s="6"/>
      <c r="V181" s="32">
        <f>IF(COUNTBLANK(X180)=1,(V180*'Config.'!$D$9)+V180,(X180*'Config.'!$D$9)+X180)</f>
        <v>1359637.3001560108</v>
      </c>
      <c r="W181" s="29" t="str">
        <f>IF(COUNTBLANK(X181)=1,IF(V181&lt;='Config.'!$D$7,"meta","nops"),"")</f>
        <v>nops</v>
      </c>
      <c r="X181" s="54"/>
    </row>
    <row r="182" spans="1:24" ht="19.5" customHeight="1">
      <c r="A182" s="44" t="s">
        <v>31</v>
      </c>
      <c r="B182" s="45">
        <v>179</v>
      </c>
      <c r="C182" s="46">
        <f>IF(COUNTBLANK(I181)=1,(C181*'Config.'!$D$9)+C181,(I181*'Config.'!$D$9)+I181)</f>
        <v>1526900.9719626415</v>
      </c>
      <c r="D182" s="46">
        <f>IF(COUNTBLANK(I181)=1,I181*'Config.'!$D$11,I181*'Config.'!$D$11)</f>
        <v>0</v>
      </c>
      <c r="E182" s="46">
        <f t="shared" si="12"/>
        <v>72709.570093459217</v>
      </c>
      <c r="F182" s="47"/>
      <c r="G182" s="48" t="str">
        <f t="shared" si="10"/>
        <v>-</v>
      </c>
      <c r="H182" s="29" t="str">
        <f>IF(COUNTBLANK(I182)=1,IF(C182&lt;='Config.'!$D$7,"meta","nops"),"")</f>
        <v>nops</v>
      </c>
      <c r="I182" s="55"/>
      <c r="J182" s="65"/>
      <c r="K182" s="15"/>
      <c r="L182" s="15"/>
      <c r="M182" s="51" t="str">
        <f t="shared" si="13"/>
        <v/>
      </c>
      <c r="N182" s="51" t="str">
        <f t="shared" si="11"/>
        <v/>
      </c>
      <c r="O182" s="57" t="str">
        <f t="shared" si="14"/>
        <v/>
      </c>
      <c r="P182" s="6"/>
      <c r="Q182" s="6"/>
      <c r="R182" s="6"/>
      <c r="S182" s="6"/>
      <c r="T182" s="6"/>
      <c r="U182" s="6"/>
      <c r="V182" s="32">
        <f>IF(COUNTBLANK(X181)=1,(V181*'Config.'!$D$9)+V181,(X181*'Config.'!$D$9)+X181)</f>
        <v>1427619.1651638113</v>
      </c>
      <c r="W182" s="29" t="str">
        <f>IF(COUNTBLANK(X182)=1,IF(V182&lt;='Config.'!$D$7,"meta","nops"),"")</f>
        <v>nops</v>
      </c>
      <c r="X182" s="54"/>
    </row>
    <row r="183" spans="1:24" ht="19.5" customHeight="1">
      <c r="A183" s="44" t="s">
        <v>31</v>
      </c>
      <c r="B183" s="45">
        <v>180</v>
      </c>
      <c r="C183" s="46">
        <f>IF(COUNTBLANK(I182)=1,(C182*'Config.'!$D$9)+C182,(I182*'Config.'!$D$9)+I182)</f>
        <v>1603246.0205607736</v>
      </c>
      <c r="D183" s="46">
        <f>IF(COUNTBLANK(I182)=1,I182*'Config.'!$D$11,I182*'Config.'!$D$11)</f>
        <v>0</v>
      </c>
      <c r="E183" s="46">
        <f t="shared" si="12"/>
        <v>76345.048598132096</v>
      </c>
      <c r="F183" s="47"/>
      <c r="G183" s="48" t="str">
        <f t="shared" si="10"/>
        <v>-</v>
      </c>
      <c r="H183" s="29" t="str">
        <f>IF(COUNTBLANK(I183)=1,IF(C183&lt;='Config.'!$D$7,"meta","nops"),"")</f>
        <v>nops</v>
      </c>
      <c r="I183" s="55"/>
      <c r="J183" s="65"/>
      <c r="K183" s="15"/>
      <c r="L183" s="15"/>
      <c r="M183" s="51" t="str">
        <f t="shared" si="13"/>
        <v/>
      </c>
      <c r="N183" s="51" t="str">
        <f t="shared" si="11"/>
        <v/>
      </c>
      <c r="O183" s="57" t="str">
        <f t="shared" si="14"/>
        <v/>
      </c>
      <c r="P183" s="6"/>
      <c r="Q183" s="6"/>
      <c r="R183" s="6"/>
      <c r="S183" s="6"/>
      <c r="T183" s="6"/>
      <c r="U183" s="6"/>
      <c r="V183" s="32">
        <f>IF(COUNTBLANK(X182)=1,(V182*'Config.'!$D$9)+V182,(X182*'Config.'!$D$9)+X182)</f>
        <v>1499000.123422002</v>
      </c>
      <c r="W183" s="29" t="str">
        <f>IF(COUNTBLANK(X183)=1,IF(V183&lt;='Config.'!$D$7,"meta","nops"),"")</f>
        <v>nops</v>
      </c>
      <c r="X183" s="54"/>
    </row>
    <row r="184" spans="1:24" ht="19.5" customHeight="1">
      <c r="A184" s="44" t="s">
        <v>31</v>
      </c>
      <c r="B184" s="45">
        <v>181</v>
      </c>
      <c r="C184" s="46">
        <f>IF(COUNTBLANK(I183)=1,(C183*'Config.'!$D$9)+C183,(I183*'Config.'!$D$9)+I183)</f>
        <v>1683408.3215888122</v>
      </c>
      <c r="D184" s="46">
        <f>IF(COUNTBLANK(I183)=1,I183*'Config.'!$D$11,I183*'Config.'!$D$11)</f>
        <v>0</v>
      </c>
      <c r="E184" s="46">
        <f t="shared" si="12"/>
        <v>80162.301028038608</v>
      </c>
      <c r="F184" s="47"/>
      <c r="G184" s="48" t="str">
        <f t="shared" si="10"/>
        <v>-</v>
      </c>
      <c r="H184" s="29" t="str">
        <f>IF(COUNTBLANK(I184)=1,IF(C184&lt;='Config.'!$D$7,"meta","nops"),"")</f>
        <v>nops</v>
      </c>
      <c r="I184" s="55"/>
      <c r="J184" s="65"/>
      <c r="K184" s="15"/>
      <c r="L184" s="15"/>
      <c r="M184" s="51" t="str">
        <f t="shared" si="13"/>
        <v/>
      </c>
      <c r="N184" s="51" t="str">
        <f t="shared" si="11"/>
        <v/>
      </c>
      <c r="O184" s="57" t="str">
        <f t="shared" si="14"/>
        <v/>
      </c>
      <c r="P184" s="6"/>
      <c r="Q184" s="6"/>
      <c r="R184" s="6"/>
      <c r="S184" s="6"/>
      <c r="T184" s="6"/>
      <c r="U184" s="6"/>
      <c r="V184" s="32">
        <f>IF(COUNTBLANK(X183)=1,(V183*'Config.'!$D$9)+V183,(X183*'Config.'!$D$9)+X183)</f>
        <v>1573950.129593102</v>
      </c>
      <c r="W184" s="29" t="str">
        <f>IF(COUNTBLANK(X184)=1,IF(V184&lt;='Config.'!$D$7,"meta","nops"),"")</f>
        <v>nops</v>
      </c>
      <c r="X184" s="54"/>
    </row>
    <row r="185" spans="1:24" ht="19.5" customHeight="1">
      <c r="A185" s="44" t="s">
        <v>31</v>
      </c>
      <c r="B185" s="45">
        <v>182</v>
      </c>
      <c r="C185" s="46">
        <f>IF(COUNTBLANK(I184)=1,(C184*'Config.'!$D$9)+C184,(I184*'Config.'!$D$9)+I184)</f>
        <v>1767578.7376682528</v>
      </c>
      <c r="D185" s="46">
        <f>IF(COUNTBLANK(I184)=1,I184*'Config.'!$D$11,I184*'Config.'!$D$11)</f>
        <v>0</v>
      </c>
      <c r="E185" s="46">
        <f t="shared" si="12"/>
        <v>84170.41607944062</v>
      </c>
      <c r="F185" s="47"/>
      <c r="G185" s="48" t="str">
        <f t="shared" si="10"/>
        <v>-</v>
      </c>
      <c r="H185" s="29" t="str">
        <f>IF(COUNTBLANK(I185)=1,IF(C185&lt;='Config.'!$D$7,"meta","nops"),"")</f>
        <v>nops</v>
      </c>
      <c r="I185" s="55"/>
      <c r="J185" s="65"/>
      <c r="K185" s="15"/>
      <c r="L185" s="15"/>
      <c r="M185" s="51" t="str">
        <f t="shared" si="13"/>
        <v/>
      </c>
      <c r="N185" s="51" t="str">
        <f t="shared" si="11"/>
        <v/>
      </c>
      <c r="O185" s="57" t="str">
        <f t="shared" si="14"/>
        <v/>
      </c>
      <c r="P185" s="6"/>
      <c r="Q185" s="6"/>
      <c r="R185" s="6"/>
      <c r="S185" s="6"/>
      <c r="T185" s="6"/>
      <c r="U185" s="6"/>
      <c r="V185" s="32">
        <f>IF(COUNTBLANK(X184)=1,(V184*'Config.'!$D$9)+V184,(X184*'Config.'!$D$9)+X184)</f>
        <v>1652647.6360727572</v>
      </c>
      <c r="W185" s="29" t="str">
        <f>IF(COUNTBLANK(X185)=1,IF(V185&lt;='Config.'!$D$7,"meta","nops"),"")</f>
        <v>nops</v>
      </c>
      <c r="X185" s="54"/>
    </row>
    <row r="186" spans="1:24" ht="19.5" customHeight="1">
      <c r="A186" s="44" t="s">
        <v>31</v>
      </c>
      <c r="B186" s="45">
        <v>183</v>
      </c>
      <c r="C186" s="46">
        <f>IF(COUNTBLANK(I185)=1,(C185*'Config.'!$D$9)+C185,(I185*'Config.'!$D$9)+I185)</f>
        <v>1855957.6745516653</v>
      </c>
      <c r="D186" s="46">
        <f>IF(COUNTBLANK(I185)=1,I185*'Config.'!$D$11,I185*'Config.'!$D$11)</f>
        <v>0</v>
      </c>
      <c r="E186" s="46">
        <f t="shared" si="12"/>
        <v>88378.936883412534</v>
      </c>
      <c r="F186" s="47"/>
      <c r="G186" s="48" t="str">
        <f t="shared" si="10"/>
        <v>-</v>
      </c>
      <c r="H186" s="29" t="str">
        <f>IF(COUNTBLANK(I186)=1,IF(C186&lt;='Config.'!$D$7,"meta","nops"),"")</f>
        <v>nops</v>
      </c>
      <c r="I186" s="55"/>
      <c r="J186" s="65"/>
      <c r="K186" s="15"/>
      <c r="L186" s="15"/>
      <c r="M186" s="51" t="str">
        <f t="shared" si="13"/>
        <v/>
      </c>
      <c r="N186" s="51" t="str">
        <f t="shared" si="11"/>
        <v/>
      </c>
      <c r="O186" s="57" t="str">
        <f t="shared" si="14"/>
        <v/>
      </c>
      <c r="P186" s="6"/>
      <c r="Q186" s="6"/>
      <c r="R186" s="6"/>
      <c r="S186" s="6"/>
      <c r="T186" s="6"/>
      <c r="U186" s="6"/>
      <c r="V186" s="32">
        <f>IF(COUNTBLANK(X185)=1,(V185*'Config.'!$D$9)+V185,(X185*'Config.'!$D$9)+X185)</f>
        <v>1735280.017876395</v>
      </c>
      <c r="W186" s="29" t="str">
        <f>IF(COUNTBLANK(X186)=1,IF(V186&lt;='Config.'!$D$7,"meta","nops"),"")</f>
        <v>nops</v>
      </c>
      <c r="X186" s="54"/>
    </row>
    <row r="187" spans="1:24" ht="19.5" customHeight="1">
      <c r="A187" s="44" t="s">
        <v>31</v>
      </c>
      <c r="B187" s="45">
        <v>184</v>
      </c>
      <c r="C187" s="46">
        <f>IF(COUNTBLANK(I186)=1,(C186*'Config.'!$D$9)+C186,(I186*'Config.'!$D$9)+I186)</f>
        <v>1948755.5582792487</v>
      </c>
      <c r="D187" s="46">
        <f>IF(COUNTBLANK(I186)=1,I186*'Config.'!$D$11,I186*'Config.'!$D$11)</f>
        <v>0</v>
      </c>
      <c r="E187" s="46">
        <f t="shared" si="12"/>
        <v>92797.883727583336</v>
      </c>
      <c r="F187" s="47"/>
      <c r="G187" s="48" t="str">
        <f t="shared" si="10"/>
        <v>-</v>
      </c>
      <c r="H187" s="29" t="str">
        <f>IF(COUNTBLANK(I187)=1,IF(C187&lt;='Config.'!$D$7,"meta","nops"),"")</f>
        <v>nops</v>
      </c>
      <c r="I187" s="55"/>
      <c r="J187" s="65"/>
      <c r="K187" s="15"/>
      <c r="L187" s="15"/>
      <c r="M187" s="51" t="str">
        <f t="shared" si="13"/>
        <v/>
      </c>
      <c r="N187" s="51" t="str">
        <f t="shared" si="11"/>
        <v/>
      </c>
      <c r="O187" s="57" t="str">
        <f t="shared" si="14"/>
        <v/>
      </c>
      <c r="P187" s="6"/>
      <c r="Q187" s="6"/>
      <c r="R187" s="6"/>
      <c r="S187" s="6"/>
      <c r="T187" s="6"/>
      <c r="U187" s="6"/>
      <c r="V187" s="32">
        <f>IF(COUNTBLANK(X186)=1,(V186*'Config.'!$D$9)+V186,(X186*'Config.'!$D$9)+X186)</f>
        <v>1822044.0187702149</v>
      </c>
      <c r="W187" s="29" t="str">
        <f>IF(COUNTBLANK(X187)=1,IF(V187&lt;='Config.'!$D$7,"meta","nops"),"")</f>
        <v>nops</v>
      </c>
      <c r="X187" s="54"/>
    </row>
    <row r="188" spans="1:24" ht="19.5" customHeight="1">
      <c r="A188" s="44" t="s">
        <v>31</v>
      </c>
      <c r="B188" s="45">
        <v>185</v>
      </c>
      <c r="C188" s="46">
        <f>IF(COUNTBLANK(I187)=1,(C187*'Config.'!$D$9)+C187,(I187*'Config.'!$D$9)+I187)</f>
        <v>2046193.3361932111</v>
      </c>
      <c r="D188" s="46">
        <f>IF(COUNTBLANK(I187)=1,I187*'Config.'!$D$11,I187*'Config.'!$D$11)</f>
        <v>0</v>
      </c>
      <c r="E188" s="46">
        <f t="shared" si="12"/>
        <v>97437.777913962491</v>
      </c>
      <c r="F188" s="47"/>
      <c r="G188" s="48" t="str">
        <f t="shared" si="10"/>
        <v>-</v>
      </c>
      <c r="H188" s="29" t="str">
        <f>IF(COUNTBLANK(I188)=1,IF(C188&lt;='Config.'!$D$7,"meta","nops"),"")</f>
        <v>nops</v>
      </c>
      <c r="I188" s="55"/>
      <c r="J188" s="65"/>
      <c r="K188" s="15"/>
      <c r="L188" s="15"/>
      <c r="M188" s="51" t="str">
        <f t="shared" si="13"/>
        <v/>
      </c>
      <c r="N188" s="51" t="str">
        <f t="shared" si="11"/>
        <v/>
      </c>
      <c r="O188" s="57" t="str">
        <f t="shared" si="14"/>
        <v/>
      </c>
      <c r="P188" s="6"/>
      <c r="Q188" s="6"/>
      <c r="R188" s="6"/>
      <c r="S188" s="6"/>
      <c r="T188" s="6"/>
      <c r="U188" s="6"/>
      <c r="V188" s="32">
        <f>IF(COUNTBLANK(X187)=1,(V187*'Config.'!$D$9)+V187,(X187*'Config.'!$D$9)+X187)</f>
        <v>1913146.2197087256</v>
      </c>
      <c r="W188" s="29" t="str">
        <f>IF(COUNTBLANK(X188)=1,IF(V188&lt;='Config.'!$D$7,"meta","nops"),"")</f>
        <v>nops</v>
      </c>
      <c r="X188" s="54"/>
    </row>
    <row r="189" spans="1:24" ht="19.5" customHeight="1">
      <c r="A189" s="44" t="s">
        <v>31</v>
      </c>
      <c r="B189" s="45">
        <v>186</v>
      </c>
      <c r="C189" s="46">
        <f>IF(COUNTBLANK(I188)=1,(C188*'Config.'!$D$9)+C188,(I188*'Config.'!$D$9)+I188)</f>
        <v>2148503.0030028718</v>
      </c>
      <c r="D189" s="46">
        <f>IF(COUNTBLANK(I188)=1,I188*'Config.'!$D$11,I188*'Config.'!$D$11)</f>
        <v>0</v>
      </c>
      <c r="E189" s="46">
        <f t="shared" si="12"/>
        <v>102309.66680966062</v>
      </c>
      <c r="F189" s="47"/>
      <c r="G189" s="48" t="str">
        <f t="shared" si="10"/>
        <v>-</v>
      </c>
      <c r="H189" s="29" t="str">
        <f>IF(COUNTBLANK(I189)=1,IF(C189&lt;='Config.'!$D$7,"meta","nops"),"")</f>
        <v>nops</v>
      </c>
      <c r="I189" s="55"/>
      <c r="J189" s="65"/>
      <c r="K189" s="15"/>
      <c r="L189" s="15"/>
      <c r="M189" s="51" t="str">
        <f t="shared" si="13"/>
        <v/>
      </c>
      <c r="N189" s="51" t="str">
        <f t="shared" si="11"/>
        <v/>
      </c>
      <c r="O189" s="57" t="str">
        <f t="shared" si="14"/>
        <v/>
      </c>
      <c r="P189" s="6"/>
      <c r="Q189" s="6"/>
      <c r="R189" s="6"/>
      <c r="S189" s="6"/>
      <c r="T189" s="6"/>
      <c r="U189" s="6"/>
      <c r="V189" s="32">
        <f>IF(COUNTBLANK(X188)=1,(V188*'Config.'!$D$9)+V188,(X188*'Config.'!$D$9)+X188)</f>
        <v>2008803.5306941618</v>
      </c>
      <c r="W189" s="29" t="str">
        <f>IF(COUNTBLANK(X189)=1,IF(V189&lt;='Config.'!$D$7,"meta","nops"),"")</f>
        <v>nops</v>
      </c>
      <c r="X189" s="54"/>
    </row>
    <row r="190" spans="1:24" ht="19.5" customHeight="1">
      <c r="A190" s="44" t="s">
        <v>31</v>
      </c>
      <c r="B190" s="45">
        <v>187</v>
      </c>
      <c r="C190" s="46">
        <f>IF(COUNTBLANK(I189)=1,(C189*'Config.'!$D$9)+C189,(I189*'Config.'!$D$9)+I189)</f>
        <v>2255928.1531530153</v>
      </c>
      <c r="D190" s="46">
        <f>IF(COUNTBLANK(I189)=1,I189*'Config.'!$D$11,I189*'Config.'!$D$11)</f>
        <v>0</v>
      </c>
      <c r="E190" s="46">
        <f t="shared" si="12"/>
        <v>107425.15015014354</v>
      </c>
      <c r="F190" s="47"/>
      <c r="G190" s="48" t="str">
        <f t="shared" si="10"/>
        <v>-</v>
      </c>
      <c r="H190" s="29" t="str">
        <f>IF(COUNTBLANK(I190)=1,IF(C190&lt;='Config.'!$D$7,"meta","nops"),"")</f>
        <v>nops</v>
      </c>
      <c r="I190" s="55"/>
      <c r="J190" s="65"/>
      <c r="K190" s="15"/>
      <c r="L190" s="15"/>
      <c r="M190" s="51" t="str">
        <f t="shared" si="13"/>
        <v/>
      </c>
      <c r="N190" s="51" t="str">
        <f t="shared" si="11"/>
        <v/>
      </c>
      <c r="O190" s="57" t="str">
        <f t="shared" si="14"/>
        <v/>
      </c>
      <c r="P190" s="6"/>
      <c r="Q190" s="6"/>
      <c r="R190" s="6"/>
      <c r="S190" s="6"/>
      <c r="T190" s="6"/>
      <c r="U190" s="6"/>
      <c r="V190" s="32">
        <f>IF(COUNTBLANK(X189)=1,(V189*'Config.'!$D$9)+V189,(X189*'Config.'!$D$9)+X189)</f>
        <v>2109243.7072288697</v>
      </c>
      <c r="W190" s="29" t="str">
        <f>IF(COUNTBLANK(X190)=1,IF(V190&lt;='Config.'!$D$7,"meta","nops"),"")</f>
        <v>nops</v>
      </c>
      <c r="X190" s="54"/>
    </row>
    <row r="191" spans="1:24" ht="19.5" customHeight="1">
      <c r="A191" s="44" t="s">
        <v>31</v>
      </c>
      <c r="B191" s="45">
        <v>188</v>
      </c>
      <c r="C191" s="46">
        <f>IF(COUNTBLANK(I190)=1,(C190*'Config.'!$D$9)+C190,(I190*'Config.'!$D$9)+I190)</f>
        <v>2368724.5608106661</v>
      </c>
      <c r="D191" s="46">
        <f>IF(COUNTBLANK(I190)=1,I190*'Config.'!$D$11,I190*'Config.'!$D$11)</f>
        <v>0</v>
      </c>
      <c r="E191" s="46">
        <f t="shared" si="12"/>
        <v>112796.40765765077</v>
      </c>
      <c r="F191" s="47"/>
      <c r="G191" s="48" t="str">
        <f t="shared" si="10"/>
        <v>-</v>
      </c>
      <c r="H191" s="29" t="str">
        <f>IF(COUNTBLANK(I191)=1,IF(C191&lt;='Config.'!$D$7,"meta","nops"),"")</f>
        <v>nops</v>
      </c>
      <c r="I191" s="55"/>
      <c r="J191" s="65"/>
      <c r="K191" s="15"/>
      <c r="L191" s="15"/>
      <c r="M191" s="51" t="str">
        <f t="shared" si="13"/>
        <v/>
      </c>
      <c r="N191" s="51" t="str">
        <f t="shared" si="11"/>
        <v/>
      </c>
      <c r="O191" s="57" t="str">
        <f t="shared" si="14"/>
        <v/>
      </c>
      <c r="P191" s="6"/>
      <c r="Q191" s="6"/>
      <c r="R191" s="6"/>
      <c r="S191" s="6"/>
      <c r="T191" s="6"/>
      <c r="U191" s="6"/>
      <c r="V191" s="32">
        <f>IF(COUNTBLANK(X190)=1,(V190*'Config.'!$D$9)+V190,(X190*'Config.'!$D$9)+X190)</f>
        <v>2214705.8925903132</v>
      </c>
      <c r="W191" s="29" t="str">
        <f>IF(COUNTBLANK(X191)=1,IF(V191&lt;='Config.'!$D$7,"meta","nops"),"")</f>
        <v>nops</v>
      </c>
      <c r="X191" s="54"/>
    </row>
    <row r="192" spans="1:24" ht="19.5" customHeight="1">
      <c r="A192" s="44" t="s">
        <v>31</v>
      </c>
      <c r="B192" s="45">
        <v>189</v>
      </c>
      <c r="C192" s="46">
        <f>IF(COUNTBLANK(I191)=1,(C191*'Config.'!$D$9)+C191,(I191*'Config.'!$D$9)+I191)</f>
        <v>2487160.7888511992</v>
      </c>
      <c r="D192" s="46">
        <f>IF(COUNTBLANK(I191)=1,I191*'Config.'!$D$11,I191*'Config.'!$D$11)</f>
        <v>0</v>
      </c>
      <c r="E192" s="46">
        <f t="shared" si="12"/>
        <v>118436.22804053314</v>
      </c>
      <c r="F192" s="47"/>
      <c r="G192" s="48" t="str">
        <f t="shared" si="10"/>
        <v>-</v>
      </c>
      <c r="H192" s="29" t="str">
        <f>IF(COUNTBLANK(I192)=1,IF(C192&lt;='Config.'!$D$7,"meta","nops"),"")</f>
        <v>nops</v>
      </c>
      <c r="I192" s="55"/>
      <c r="J192" s="65"/>
      <c r="K192" s="15"/>
      <c r="L192" s="15"/>
      <c r="M192" s="51" t="str">
        <f t="shared" si="13"/>
        <v/>
      </c>
      <c r="N192" s="51" t="str">
        <f t="shared" si="11"/>
        <v/>
      </c>
      <c r="O192" s="57" t="str">
        <f t="shared" si="14"/>
        <v/>
      </c>
      <c r="P192" s="6"/>
      <c r="Q192" s="6"/>
      <c r="R192" s="6"/>
      <c r="S192" s="6"/>
      <c r="T192" s="6"/>
      <c r="U192" s="6"/>
      <c r="V192" s="32">
        <f>IF(COUNTBLANK(X191)=1,(V191*'Config.'!$D$9)+V191,(X191*'Config.'!$D$9)+X191)</f>
        <v>2325441.1872198288</v>
      </c>
      <c r="W192" s="29" t="str">
        <f>IF(COUNTBLANK(X192)=1,IF(V192&lt;='Config.'!$D$7,"meta","nops"),"")</f>
        <v>nops</v>
      </c>
      <c r="X192" s="54"/>
    </row>
    <row r="193" spans="1:24" ht="19.5" customHeight="1">
      <c r="A193" s="44" t="s">
        <v>31</v>
      </c>
      <c r="B193" s="45">
        <v>190</v>
      </c>
      <c r="C193" s="46">
        <f>IF(COUNTBLANK(I192)=1,(C192*'Config.'!$D$9)+C192,(I192*'Config.'!$D$9)+I192)</f>
        <v>2611518.8282937594</v>
      </c>
      <c r="D193" s="46">
        <f>IF(COUNTBLANK(I192)=1,I192*'Config.'!$D$11,I192*'Config.'!$D$11)</f>
        <v>0</v>
      </c>
      <c r="E193" s="46">
        <f t="shared" si="12"/>
        <v>124358.03944256017</v>
      </c>
      <c r="F193" s="47"/>
      <c r="G193" s="48" t="str">
        <f t="shared" si="10"/>
        <v>-</v>
      </c>
      <c r="H193" s="29" t="str">
        <f>IF(COUNTBLANK(I193)=1,IF(C193&lt;='Config.'!$D$7,"meta","nops"),"")</f>
        <v>nops</v>
      </c>
      <c r="I193" s="55"/>
      <c r="J193" s="65"/>
      <c r="K193" s="15"/>
      <c r="L193" s="15"/>
      <c r="M193" s="51" t="str">
        <f t="shared" si="13"/>
        <v/>
      </c>
      <c r="N193" s="51" t="str">
        <f t="shared" si="11"/>
        <v/>
      </c>
      <c r="O193" s="57" t="str">
        <f t="shared" si="14"/>
        <v/>
      </c>
      <c r="P193" s="6"/>
      <c r="Q193" s="6"/>
      <c r="R193" s="6"/>
      <c r="S193" s="6"/>
      <c r="T193" s="6"/>
      <c r="U193" s="6"/>
      <c r="V193" s="32">
        <f>IF(COUNTBLANK(X192)=1,(V192*'Config.'!$D$9)+V192,(X192*'Config.'!$D$9)+X192)</f>
        <v>2441713.2465808201</v>
      </c>
      <c r="W193" s="29" t="str">
        <f>IF(COUNTBLANK(X193)=1,IF(V193&lt;='Config.'!$D$7,"meta","nops"),"")</f>
        <v>nops</v>
      </c>
      <c r="X193" s="54"/>
    </row>
    <row r="194" spans="1:24" ht="19.5" customHeight="1">
      <c r="A194" s="44" t="s">
        <v>31</v>
      </c>
      <c r="B194" s="45">
        <v>191</v>
      </c>
      <c r="C194" s="46">
        <f>IF(COUNTBLANK(I193)=1,(C193*'Config.'!$D$9)+C193,(I193*'Config.'!$D$9)+I193)</f>
        <v>2742094.7697084472</v>
      </c>
      <c r="D194" s="46">
        <f>IF(COUNTBLANK(I193)=1,I193*'Config.'!$D$11,I193*'Config.'!$D$11)</f>
        <v>0</v>
      </c>
      <c r="E194" s="46">
        <f t="shared" si="12"/>
        <v>130575.94141468778</v>
      </c>
      <c r="F194" s="47"/>
      <c r="G194" s="48" t="str">
        <f t="shared" si="10"/>
        <v>-</v>
      </c>
      <c r="H194" s="29" t="str">
        <f>IF(COUNTBLANK(I194)=1,IF(C194&lt;='Config.'!$D$7,"meta","nops"),"")</f>
        <v>nops</v>
      </c>
      <c r="I194" s="55"/>
      <c r="J194" s="65"/>
      <c r="K194" s="15"/>
      <c r="L194" s="15"/>
      <c r="M194" s="51" t="str">
        <f t="shared" si="13"/>
        <v/>
      </c>
      <c r="N194" s="51" t="str">
        <f t="shared" si="11"/>
        <v/>
      </c>
      <c r="O194" s="57" t="str">
        <f t="shared" si="14"/>
        <v/>
      </c>
      <c r="P194" s="6"/>
      <c r="Q194" s="6"/>
      <c r="R194" s="6"/>
      <c r="S194" s="6"/>
      <c r="T194" s="6"/>
      <c r="U194" s="6"/>
      <c r="V194" s="32">
        <f>IF(COUNTBLANK(X193)=1,(V193*'Config.'!$D$9)+V193,(X193*'Config.'!$D$9)+X193)</f>
        <v>2563798.908909861</v>
      </c>
      <c r="W194" s="29" t="str">
        <f>IF(COUNTBLANK(X194)=1,IF(V194&lt;='Config.'!$D$7,"meta","nops"),"")</f>
        <v>nops</v>
      </c>
      <c r="X194" s="54"/>
    </row>
    <row r="195" spans="1:24" ht="19.5" customHeight="1">
      <c r="A195" s="44" t="s">
        <v>31</v>
      </c>
      <c r="B195" s="45">
        <v>192</v>
      </c>
      <c r="C195" s="46">
        <f>IF(COUNTBLANK(I194)=1,(C194*'Config.'!$D$9)+C194,(I194*'Config.'!$D$9)+I194)</f>
        <v>2879199.5081938696</v>
      </c>
      <c r="D195" s="46">
        <f>IF(COUNTBLANK(I194)=1,I194*'Config.'!$D$11,I194*'Config.'!$D$11)</f>
        <v>0</v>
      </c>
      <c r="E195" s="46">
        <f t="shared" si="12"/>
        <v>137104.73848542245</v>
      </c>
      <c r="F195" s="47"/>
      <c r="G195" s="48" t="str">
        <f t="shared" si="10"/>
        <v>-</v>
      </c>
      <c r="H195" s="29" t="str">
        <f>IF(COUNTBLANK(I195)=1,IF(C195&lt;='Config.'!$D$7,"meta","nops"),"")</f>
        <v>nops</v>
      </c>
      <c r="I195" s="55"/>
      <c r="J195" s="65"/>
      <c r="K195" s="15"/>
      <c r="L195" s="15"/>
      <c r="M195" s="51" t="str">
        <f t="shared" si="13"/>
        <v/>
      </c>
      <c r="N195" s="51" t="str">
        <f t="shared" si="11"/>
        <v/>
      </c>
      <c r="O195" s="57" t="str">
        <f t="shared" si="14"/>
        <v/>
      </c>
      <c r="P195" s="6"/>
      <c r="Q195" s="6"/>
      <c r="R195" s="6"/>
      <c r="S195" s="6"/>
      <c r="T195" s="6"/>
      <c r="U195" s="6"/>
      <c r="V195" s="32">
        <f>IF(COUNTBLANK(X194)=1,(V194*'Config.'!$D$9)+V194,(X194*'Config.'!$D$9)+X194)</f>
        <v>2691988.8543553539</v>
      </c>
      <c r="W195" s="29" t="str">
        <f>IF(COUNTBLANK(X195)=1,IF(V195&lt;='Config.'!$D$7,"meta","nops"),"")</f>
        <v>nops</v>
      </c>
      <c r="X195" s="54"/>
    </row>
    <row r="196" spans="1:24" ht="19.5" customHeight="1">
      <c r="A196" s="44" t="s">
        <v>31</v>
      </c>
      <c r="B196" s="45">
        <v>193</v>
      </c>
      <c r="C196" s="46">
        <f>IF(COUNTBLANK(I195)=1,(C195*'Config.'!$D$9)+C195,(I195*'Config.'!$D$9)+I195)</f>
        <v>3023159.4836035632</v>
      </c>
      <c r="D196" s="46">
        <f>IF(COUNTBLANK(I195)=1,I195*'Config.'!$D$11,I195*'Config.'!$D$11)</f>
        <v>0</v>
      </c>
      <c r="E196" s="46">
        <f t="shared" si="12"/>
        <v>143959.97540969355</v>
      </c>
      <c r="F196" s="47"/>
      <c r="G196" s="48" t="str">
        <f t="shared" ref="G196:G259" si="15">IF(COUNTBLANK(F196)=0,(E196/F196)/$F$3,"-")</f>
        <v>-</v>
      </c>
      <c r="H196" s="29" t="str">
        <f>IF(COUNTBLANK(I196)=1,IF(C196&lt;='Config.'!$D$7,"meta","nops"),"")</f>
        <v>nops</v>
      </c>
      <c r="I196" s="55"/>
      <c r="J196" s="65"/>
      <c r="K196" s="15"/>
      <c r="L196" s="15"/>
      <c r="M196" s="51" t="str">
        <f t="shared" si="13"/>
        <v/>
      </c>
      <c r="N196" s="51" t="str">
        <f t="shared" ref="N196:N259" si="16">IF(M196="","",M196-E196)</f>
        <v/>
      </c>
      <c r="O196" s="57" t="str">
        <f t="shared" si="14"/>
        <v/>
      </c>
      <c r="P196" s="6"/>
      <c r="Q196" s="6"/>
      <c r="R196" s="6"/>
      <c r="S196" s="6"/>
      <c r="T196" s="6"/>
      <c r="U196" s="6"/>
      <c r="V196" s="32">
        <f>IF(COUNTBLANK(X195)=1,(V195*'Config.'!$D$9)+V195,(X195*'Config.'!$D$9)+X195)</f>
        <v>2826588.2970731216</v>
      </c>
      <c r="W196" s="29" t="str">
        <f>IF(COUNTBLANK(X196)=1,IF(V196&lt;='Config.'!$D$7,"meta","nops"),"")</f>
        <v>nops</v>
      </c>
      <c r="X196" s="54"/>
    </row>
    <row r="197" spans="1:24" ht="19.5" customHeight="1">
      <c r="A197" s="44" t="s">
        <v>31</v>
      </c>
      <c r="B197" s="45">
        <v>194</v>
      </c>
      <c r="C197" s="46">
        <f>IF(COUNTBLANK(I196)=1,(C196*'Config.'!$D$9)+C196,(I196*'Config.'!$D$9)+I196)</f>
        <v>3174317.4577837414</v>
      </c>
      <c r="D197" s="46">
        <f>IF(COUNTBLANK(I196)=1,I196*'Config.'!$D$11,I196*'Config.'!$D$11)</f>
        <v>0</v>
      </c>
      <c r="E197" s="46">
        <f t="shared" ref="E197:E260" si="17">IF(COUNTBLANK(I196)=1,C197-C196,C197-I196)</f>
        <v>151157.97418017825</v>
      </c>
      <c r="F197" s="47"/>
      <c r="G197" s="48" t="str">
        <f t="shared" si="15"/>
        <v>-</v>
      </c>
      <c r="H197" s="29" t="str">
        <f>IF(COUNTBLANK(I197)=1,IF(C197&lt;='Config.'!$D$7,"meta","nops"),"")</f>
        <v>nops</v>
      </c>
      <c r="I197" s="55"/>
      <c r="J197" s="65"/>
      <c r="K197" s="15"/>
      <c r="L197" s="15"/>
      <c r="M197" s="51" t="str">
        <f t="shared" si="13"/>
        <v/>
      </c>
      <c r="N197" s="51" t="str">
        <f t="shared" si="16"/>
        <v/>
      </c>
      <c r="O197" s="57" t="str">
        <f t="shared" si="14"/>
        <v/>
      </c>
      <c r="P197" s="6"/>
      <c r="Q197" s="6"/>
      <c r="R197" s="6"/>
      <c r="S197" s="6"/>
      <c r="T197" s="6"/>
      <c r="U197" s="6"/>
      <c r="V197" s="32">
        <f>IF(COUNTBLANK(X196)=1,(V196*'Config.'!$D$9)+V196,(X196*'Config.'!$D$9)+X196)</f>
        <v>2967917.7119267778</v>
      </c>
      <c r="W197" s="29" t="str">
        <f>IF(COUNTBLANK(X197)=1,IF(V197&lt;='Config.'!$D$7,"meta","nops"),"")</f>
        <v>nops</v>
      </c>
      <c r="X197" s="54"/>
    </row>
    <row r="198" spans="1:24" ht="19.5" customHeight="1">
      <c r="A198" s="44" t="s">
        <v>31</v>
      </c>
      <c r="B198" s="45">
        <v>195</v>
      </c>
      <c r="C198" s="46">
        <f>IF(COUNTBLANK(I197)=1,(C197*'Config.'!$D$9)+C197,(I197*'Config.'!$D$9)+I197)</f>
        <v>3333033.3306729286</v>
      </c>
      <c r="D198" s="46">
        <f>IF(COUNTBLANK(I197)=1,I197*'Config.'!$D$11,I197*'Config.'!$D$11)</f>
        <v>0</v>
      </c>
      <c r="E198" s="46">
        <f t="shared" si="17"/>
        <v>158715.87288918719</v>
      </c>
      <c r="F198" s="47"/>
      <c r="G198" s="48" t="str">
        <f t="shared" si="15"/>
        <v>-</v>
      </c>
      <c r="H198" s="29" t="str">
        <f>IF(COUNTBLANK(I198)=1,IF(C198&lt;='Config.'!$D$7,"meta","nops"),"")</f>
        <v>nops</v>
      </c>
      <c r="I198" s="55"/>
      <c r="J198" s="65"/>
      <c r="K198" s="15"/>
      <c r="L198" s="15"/>
      <c r="M198" s="51" t="str">
        <f t="shared" ref="M198:M261" si="18">IF(COUNTBLANK(I198)=1,"",I198-I197)</f>
        <v/>
      </c>
      <c r="N198" s="51" t="str">
        <f t="shared" si="16"/>
        <v/>
      </c>
      <c r="O198" s="57" t="str">
        <f t="shared" ref="O198:O261" si="19">IF(COUNTBLANK(I198)=1,"",(I198-I197)/I197)</f>
        <v/>
      </c>
      <c r="P198" s="6"/>
      <c r="Q198" s="6"/>
      <c r="R198" s="6"/>
      <c r="S198" s="6"/>
      <c r="T198" s="6"/>
      <c r="U198" s="6"/>
      <c r="V198" s="32">
        <f>IF(COUNTBLANK(X197)=1,(V197*'Config.'!$D$9)+V197,(X197*'Config.'!$D$9)+X197)</f>
        <v>3116313.5975231165</v>
      </c>
      <c r="W198" s="29" t="str">
        <f>IF(COUNTBLANK(X198)=1,IF(V198&lt;='Config.'!$D$7,"meta","nops"),"")</f>
        <v>nops</v>
      </c>
      <c r="X198" s="54"/>
    </row>
    <row r="199" spans="1:24" ht="19.5" customHeight="1">
      <c r="A199" s="44" t="s">
        <v>31</v>
      </c>
      <c r="B199" s="45">
        <v>196</v>
      </c>
      <c r="C199" s="46">
        <f>IF(COUNTBLANK(I198)=1,(C198*'Config.'!$D$9)+C198,(I198*'Config.'!$D$9)+I198)</f>
        <v>3499684.9972065752</v>
      </c>
      <c r="D199" s="46">
        <f>IF(COUNTBLANK(I198)=1,I198*'Config.'!$D$11,I198*'Config.'!$D$11)</f>
        <v>0</v>
      </c>
      <c r="E199" s="46">
        <f t="shared" si="17"/>
        <v>166651.66653364664</v>
      </c>
      <c r="F199" s="47"/>
      <c r="G199" s="48" t="str">
        <f t="shared" si="15"/>
        <v>-</v>
      </c>
      <c r="H199" s="29" t="str">
        <f>IF(COUNTBLANK(I199)=1,IF(C199&lt;='Config.'!$D$7,"meta","nops"),"")</f>
        <v>nops</v>
      </c>
      <c r="I199" s="55"/>
      <c r="J199" s="65"/>
      <c r="K199" s="15"/>
      <c r="L199" s="15"/>
      <c r="M199" s="51" t="str">
        <f t="shared" si="18"/>
        <v/>
      </c>
      <c r="N199" s="51" t="str">
        <f t="shared" si="16"/>
        <v/>
      </c>
      <c r="O199" s="57" t="str">
        <f t="shared" si="19"/>
        <v/>
      </c>
      <c r="P199" s="6"/>
      <c r="Q199" s="6"/>
      <c r="R199" s="6"/>
      <c r="S199" s="6"/>
      <c r="T199" s="6"/>
      <c r="U199" s="6"/>
      <c r="V199" s="32">
        <f>IF(COUNTBLANK(X198)=1,(V198*'Config.'!$D$9)+V198,(X198*'Config.'!$D$9)+X198)</f>
        <v>3272129.2773992722</v>
      </c>
      <c r="W199" s="29" t="str">
        <f>IF(COUNTBLANK(X199)=1,IF(V199&lt;='Config.'!$D$7,"meta","nops"),"")</f>
        <v>nops</v>
      </c>
      <c r="X199" s="54"/>
    </row>
    <row r="200" spans="1:24" ht="19.5" customHeight="1">
      <c r="A200" s="44" t="s">
        <v>31</v>
      </c>
      <c r="B200" s="45">
        <v>197</v>
      </c>
      <c r="C200" s="46">
        <f>IF(COUNTBLANK(I199)=1,(C199*'Config.'!$D$9)+C199,(I199*'Config.'!$D$9)+I199)</f>
        <v>3674669.2470669039</v>
      </c>
      <c r="D200" s="46">
        <f>IF(COUNTBLANK(I199)=1,I199*'Config.'!$D$11,I199*'Config.'!$D$11)</f>
        <v>0</v>
      </c>
      <c r="E200" s="46">
        <f t="shared" si="17"/>
        <v>174984.24986032862</v>
      </c>
      <c r="F200" s="47"/>
      <c r="G200" s="48" t="str">
        <f t="shared" si="15"/>
        <v>-</v>
      </c>
      <c r="H200" s="29" t="str">
        <f>IF(COUNTBLANK(I200)=1,IF(C200&lt;='Config.'!$D$7,"meta","nops"),"")</f>
        <v>nops</v>
      </c>
      <c r="I200" s="55"/>
      <c r="J200" s="65"/>
      <c r="K200" s="15"/>
      <c r="L200" s="15"/>
      <c r="M200" s="51" t="str">
        <f t="shared" si="18"/>
        <v/>
      </c>
      <c r="N200" s="51" t="str">
        <f t="shared" si="16"/>
        <v/>
      </c>
      <c r="O200" s="57" t="str">
        <f t="shared" si="19"/>
        <v/>
      </c>
      <c r="P200" s="6"/>
      <c r="Q200" s="6"/>
      <c r="R200" s="6"/>
      <c r="S200" s="6"/>
      <c r="T200" s="6"/>
      <c r="U200" s="6"/>
      <c r="V200" s="32">
        <f>IF(COUNTBLANK(X199)=1,(V199*'Config.'!$D$9)+V199,(X199*'Config.'!$D$9)+X199)</f>
        <v>3435735.741269236</v>
      </c>
      <c r="W200" s="29" t="str">
        <f>IF(COUNTBLANK(X200)=1,IF(V200&lt;='Config.'!$D$7,"meta","nops"),"")</f>
        <v>nops</v>
      </c>
      <c r="X200" s="54"/>
    </row>
    <row r="201" spans="1:24" ht="19.5" customHeight="1">
      <c r="A201" s="44" t="s">
        <v>31</v>
      </c>
      <c r="B201" s="45">
        <v>198</v>
      </c>
      <c r="C201" s="46">
        <f>IF(COUNTBLANK(I200)=1,(C200*'Config.'!$D$9)+C200,(I200*'Config.'!$D$9)+I200)</f>
        <v>3858402.7094202489</v>
      </c>
      <c r="D201" s="46">
        <f>IF(COUNTBLANK(I200)=1,I200*'Config.'!$D$11,I200*'Config.'!$D$11)</f>
        <v>0</v>
      </c>
      <c r="E201" s="46">
        <f t="shared" si="17"/>
        <v>183733.46235334501</v>
      </c>
      <c r="F201" s="47"/>
      <c r="G201" s="48" t="str">
        <f t="shared" si="15"/>
        <v>-</v>
      </c>
      <c r="H201" s="29" t="str">
        <f>IF(COUNTBLANK(I201)=1,IF(C201&lt;='Config.'!$D$7,"meta","nops"),"")</f>
        <v>nops</v>
      </c>
      <c r="I201" s="55"/>
      <c r="J201" s="65"/>
      <c r="K201" s="15"/>
      <c r="L201" s="15"/>
      <c r="M201" s="51" t="str">
        <f t="shared" si="18"/>
        <v/>
      </c>
      <c r="N201" s="51" t="str">
        <f t="shared" si="16"/>
        <v/>
      </c>
      <c r="O201" s="57" t="str">
        <f t="shared" si="19"/>
        <v/>
      </c>
      <c r="P201" s="6"/>
      <c r="Q201" s="6"/>
      <c r="R201" s="6"/>
      <c r="S201" s="6"/>
      <c r="T201" s="6"/>
      <c r="U201" s="6"/>
      <c r="V201" s="32">
        <f>IF(COUNTBLANK(X200)=1,(V200*'Config.'!$D$9)+V200,(X200*'Config.'!$D$9)+X200)</f>
        <v>3607522.5283326977</v>
      </c>
      <c r="W201" s="29" t="str">
        <f>IF(COUNTBLANK(X201)=1,IF(V201&lt;='Config.'!$D$7,"meta","nops"),"")</f>
        <v>nops</v>
      </c>
      <c r="X201" s="54"/>
    </row>
    <row r="202" spans="1:24" ht="19.5" customHeight="1">
      <c r="A202" s="44" t="s">
        <v>31</v>
      </c>
      <c r="B202" s="45">
        <v>199</v>
      </c>
      <c r="C202" s="46">
        <f>IF(COUNTBLANK(I201)=1,(C201*'Config.'!$D$9)+C201,(I201*'Config.'!$D$9)+I201)</f>
        <v>4051322.8448912613</v>
      </c>
      <c r="D202" s="46">
        <f>IF(COUNTBLANK(I201)=1,I201*'Config.'!$D$11,I201*'Config.'!$D$11)</f>
        <v>0</v>
      </c>
      <c r="E202" s="46">
        <f t="shared" si="17"/>
        <v>192920.13547101244</v>
      </c>
      <c r="F202" s="47"/>
      <c r="G202" s="48" t="str">
        <f t="shared" si="15"/>
        <v>-</v>
      </c>
      <c r="H202" s="29" t="str">
        <f>IF(COUNTBLANK(I202)=1,IF(C202&lt;='Config.'!$D$7,"meta","nops"),"")</f>
        <v>nops</v>
      </c>
      <c r="I202" s="55"/>
      <c r="J202" s="65"/>
      <c r="K202" s="15"/>
      <c r="L202" s="15"/>
      <c r="M202" s="51" t="str">
        <f t="shared" si="18"/>
        <v/>
      </c>
      <c r="N202" s="51" t="str">
        <f t="shared" si="16"/>
        <v/>
      </c>
      <c r="O202" s="57" t="str">
        <f t="shared" si="19"/>
        <v/>
      </c>
      <c r="P202" s="6"/>
      <c r="Q202" s="6"/>
      <c r="R202" s="6"/>
      <c r="S202" s="6"/>
      <c r="T202" s="6"/>
      <c r="U202" s="6"/>
      <c r="V202" s="32">
        <f>IF(COUNTBLANK(X201)=1,(V201*'Config.'!$D$9)+V201,(X201*'Config.'!$D$9)+X201)</f>
        <v>3787898.6547493325</v>
      </c>
      <c r="W202" s="29" t="str">
        <f>IF(COUNTBLANK(X202)=1,IF(V202&lt;='Config.'!$D$7,"meta","nops"),"")</f>
        <v>nops</v>
      </c>
      <c r="X202" s="54"/>
    </row>
    <row r="203" spans="1:24" ht="19.5" customHeight="1">
      <c r="A203" s="44" t="s">
        <v>31</v>
      </c>
      <c r="B203" s="45">
        <v>200</v>
      </c>
      <c r="C203" s="46">
        <f>IF(COUNTBLANK(I202)=1,(C202*'Config.'!$D$9)+C202,(I202*'Config.'!$D$9)+I202)</f>
        <v>4253888.9871358247</v>
      </c>
      <c r="D203" s="46">
        <f>IF(COUNTBLANK(I202)=1,I202*'Config.'!$D$11,I202*'Config.'!$D$11)</f>
        <v>0</v>
      </c>
      <c r="E203" s="46">
        <f t="shared" si="17"/>
        <v>202566.14224456344</v>
      </c>
      <c r="F203" s="47"/>
      <c r="G203" s="48" t="str">
        <f t="shared" si="15"/>
        <v>-</v>
      </c>
      <c r="H203" s="29" t="str">
        <f>IF(COUNTBLANK(I203)=1,IF(C203&lt;='Config.'!$D$7,"meta","nops"),"")</f>
        <v>nops</v>
      </c>
      <c r="I203" s="55"/>
      <c r="J203" s="65"/>
      <c r="K203" s="15"/>
      <c r="L203" s="15"/>
      <c r="M203" s="51" t="str">
        <f t="shared" si="18"/>
        <v/>
      </c>
      <c r="N203" s="51" t="str">
        <f t="shared" si="16"/>
        <v/>
      </c>
      <c r="O203" s="57" t="str">
        <f t="shared" si="19"/>
        <v/>
      </c>
      <c r="P203" s="6"/>
      <c r="Q203" s="6"/>
      <c r="R203" s="6"/>
      <c r="S203" s="6"/>
      <c r="T203" s="6"/>
      <c r="U203" s="6"/>
      <c r="V203" s="32">
        <f>IF(COUNTBLANK(X202)=1,(V202*'Config.'!$D$9)+V202,(X202*'Config.'!$D$9)+X202)</f>
        <v>3977293.5874867989</v>
      </c>
      <c r="W203" s="29" t="str">
        <f>IF(COUNTBLANK(X203)=1,IF(V203&lt;='Config.'!$D$7,"meta","nops"),"")</f>
        <v>nops</v>
      </c>
      <c r="X203" s="54"/>
    </row>
    <row r="204" spans="1:24" ht="19.5" customHeight="1">
      <c r="A204" s="44" t="s">
        <v>31</v>
      </c>
      <c r="B204" s="45">
        <v>201</v>
      </c>
      <c r="C204" s="46">
        <f>IF(COUNTBLANK(I203)=1,(C203*'Config.'!$D$9)+C203,(I203*'Config.'!$D$9)+I203)</f>
        <v>4466583.4364926163</v>
      </c>
      <c r="D204" s="46">
        <f>IF(COUNTBLANK(I203)=1,I203*'Config.'!$D$11,I203*'Config.'!$D$11)</f>
        <v>0</v>
      </c>
      <c r="E204" s="46">
        <f t="shared" si="17"/>
        <v>212694.44935679156</v>
      </c>
      <c r="F204" s="47"/>
      <c r="G204" s="48" t="str">
        <f t="shared" si="15"/>
        <v>-</v>
      </c>
      <c r="H204" s="29" t="str">
        <f>IF(COUNTBLANK(I204)=1,IF(C204&lt;='Config.'!$D$7,"meta","nops"),"")</f>
        <v>nops</v>
      </c>
      <c r="I204" s="55"/>
      <c r="J204" s="65"/>
      <c r="K204" s="15"/>
      <c r="L204" s="15"/>
      <c r="M204" s="51" t="str">
        <f t="shared" si="18"/>
        <v/>
      </c>
      <c r="N204" s="51" t="str">
        <f t="shared" si="16"/>
        <v/>
      </c>
      <c r="O204" s="57" t="str">
        <f t="shared" si="19"/>
        <v/>
      </c>
      <c r="P204" s="6"/>
      <c r="Q204" s="6"/>
      <c r="R204" s="6"/>
      <c r="S204" s="6"/>
      <c r="T204" s="6"/>
      <c r="U204" s="6"/>
      <c r="V204" s="32">
        <f>IF(COUNTBLANK(X203)=1,(V203*'Config.'!$D$9)+V203,(X203*'Config.'!$D$9)+X203)</f>
        <v>4176158.2668611389</v>
      </c>
      <c r="W204" s="29" t="str">
        <f>IF(COUNTBLANK(X204)=1,IF(V204&lt;='Config.'!$D$7,"meta","nops"),"")</f>
        <v>nops</v>
      </c>
      <c r="X204" s="54"/>
    </row>
    <row r="205" spans="1:24" ht="19.5" customHeight="1">
      <c r="A205" s="44" t="s">
        <v>31</v>
      </c>
      <c r="B205" s="45">
        <v>202</v>
      </c>
      <c r="C205" s="46">
        <f>IF(COUNTBLANK(I204)=1,(C204*'Config.'!$D$9)+C204,(I204*'Config.'!$D$9)+I204)</f>
        <v>4689912.6083172467</v>
      </c>
      <c r="D205" s="46">
        <f>IF(COUNTBLANK(I204)=1,I204*'Config.'!$D$11,I204*'Config.'!$D$11)</f>
        <v>0</v>
      </c>
      <c r="E205" s="46">
        <f t="shared" si="17"/>
        <v>223329.17182463035</v>
      </c>
      <c r="F205" s="47"/>
      <c r="G205" s="48" t="str">
        <f t="shared" si="15"/>
        <v>-</v>
      </c>
      <c r="H205" s="29" t="str">
        <f>IF(COUNTBLANK(I205)=1,IF(C205&lt;='Config.'!$D$7,"meta","nops"),"")</f>
        <v>nops</v>
      </c>
      <c r="I205" s="55"/>
      <c r="J205" s="65"/>
      <c r="K205" s="15"/>
      <c r="L205" s="15"/>
      <c r="M205" s="51" t="str">
        <f t="shared" si="18"/>
        <v/>
      </c>
      <c r="N205" s="51" t="str">
        <f t="shared" si="16"/>
        <v/>
      </c>
      <c r="O205" s="57" t="str">
        <f t="shared" si="19"/>
        <v/>
      </c>
      <c r="P205" s="6"/>
      <c r="Q205" s="6"/>
      <c r="R205" s="6"/>
      <c r="S205" s="6"/>
      <c r="T205" s="6"/>
      <c r="U205" s="6"/>
      <c r="V205" s="32">
        <f>IF(COUNTBLANK(X204)=1,(V204*'Config.'!$D$9)+V204,(X204*'Config.'!$D$9)+X204)</f>
        <v>4384966.1802041959</v>
      </c>
      <c r="W205" s="29" t="str">
        <f>IF(COUNTBLANK(X205)=1,IF(V205&lt;='Config.'!$D$7,"meta","nops"),"")</f>
        <v>nops</v>
      </c>
      <c r="X205" s="54"/>
    </row>
    <row r="206" spans="1:24" ht="19.5" customHeight="1">
      <c r="A206" s="44" t="s">
        <v>31</v>
      </c>
      <c r="B206" s="45">
        <v>203</v>
      </c>
      <c r="C206" s="46">
        <f>IF(COUNTBLANK(I205)=1,(C205*'Config.'!$D$9)+C205,(I205*'Config.'!$D$9)+I205)</f>
        <v>4924408.2387331091</v>
      </c>
      <c r="D206" s="46">
        <f>IF(COUNTBLANK(I205)=1,I205*'Config.'!$D$11,I205*'Config.'!$D$11)</f>
        <v>0</v>
      </c>
      <c r="E206" s="46">
        <f t="shared" si="17"/>
        <v>234495.63041586243</v>
      </c>
      <c r="F206" s="47"/>
      <c r="G206" s="48" t="str">
        <f t="shared" si="15"/>
        <v>-</v>
      </c>
      <c r="H206" s="29" t="str">
        <f>IF(COUNTBLANK(I206)=1,IF(C206&lt;='Config.'!$D$7,"meta","nops"),"")</f>
        <v>nops</v>
      </c>
      <c r="I206" s="55"/>
      <c r="J206" s="65"/>
      <c r="K206" s="15"/>
      <c r="L206" s="15"/>
      <c r="M206" s="51" t="str">
        <f t="shared" si="18"/>
        <v/>
      </c>
      <c r="N206" s="51" t="str">
        <f t="shared" si="16"/>
        <v/>
      </c>
      <c r="O206" s="57" t="str">
        <f t="shared" si="19"/>
        <v/>
      </c>
      <c r="P206" s="6"/>
      <c r="Q206" s="6"/>
      <c r="R206" s="6"/>
      <c r="S206" s="6"/>
      <c r="T206" s="6"/>
      <c r="U206" s="6"/>
      <c r="V206" s="32">
        <f>IF(COUNTBLANK(X205)=1,(V205*'Config.'!$D$9)+V205,(X205*'Config.'!$D$9)+X205)</f>
        <v>4604214.4892144054</v>
      </c>
      <c r="W206" s="29" t="str">
        <f>IF(COUNTBLANK(X206)=1,IF(V206&lt;='Config.'!$D$7,"meta","nops"),"")</f>
        <v>nops</v>
      </c>
      <c r="X206" s="54"/>
    </row>
    <row r="207" spans="1:24" ht="19.5" customHeight="1">
      <c r="A207" s="44" t="s">
        <v>31</v>
      </c>
      <c r="B207" s="45">
        <v>204</v>
      </c>
      <c r="C207" s="46">
        <f>IF(COUNTBLANK(I206)=1,(C206*'Config.'!$D$9)+C206,(I206*'Config.'!$D$9)+I206)</f>
        <v>5170628.6506697647</v>
      </c>
      <c r="D207" s="46">
        <f>IF(COUNTBLANK(I206)=1,I206*'Config.'!$D$11,I206*'Config.'!$D$11)</f>
        <v>0</v>
      </c>
      <c r="E207" s="46">
        <f t="shared" si="17"/>
        <v>246220.41193665564</v>
      </c>
      <c r="F207" s="47"/>
      <c r="G207" s="48" t="str">
        <f t="shared" si="15"/>
        <v>-</v>
      </c>
      <c r="H207" s="29" t="str">
        <f>IF(COUNTBLANK(I207)=1,IF(C207&lt;='Config.'!$D$7,"meta","nops"),"")</f>
        <v>nops</v>
      </c>
      <c r="I207" s="55"/>
      <c r="J207" s="65"/>
      <c r="K207" s="15"/>
      <c r="L207" s="15"/>
      <c r="M207" s="51" t="str">
        <f t="shared" si="18"/>
        <v/>
      </c>
      <c r="N207" s="51" t="str">
        <f t="shared" si="16"/>
        <v/>
      </c>
      <c r="O207" s="57" t="str">
        <f t="shared" si="19"/>
        <v/>
      </c>
      <c r="P207" s="6"/>
      <c r="Q207" s="6"/>
      <c r="R207" s="6"/>
      <c r="S207" s="6"/>
      <c r="T207" s="6"/>
      <c r="U207" s="6"/>
      <c r="V207" s="32">
        <f>IF(COUNTBLANK(X206)=1,(V206*'Config.'!$D$9)+V206,(X206*'Config.'!$D$9)+X206)</f>
        <v>4834425.2136751255</v>
      </c>
      <c r="W207" s="29" t="str">
        <f>IF(COUNTBLANK(X207)=1,IF(V207&lt;='Config.'!$D$7,"meta","nops"),"")</f>
        <v>nops</v>
      </c>
      <c r="X207" s="54"/>
    </row>
    <row r="208" spans="1:24" ht="19.5" customHeight="1">
      <c r="A208" s="44" t="s">
        <v>31</v>
      </c>
      <c r="B208" s="45">
        <v>205</v>
      </c>
      <c r="C208" s="46">
        <f>IF(COUNTBLANK(I207)=1,(C207*'Config.'!$D$9)+C207,(I207*'Config.'!$D$9)+I207)</f>
        <v>5429160.0832032533</v>
      </c>
      <c r="D208" s="46">
        <f>IF(COUNTBLANK(I207)=1,I207*'Config.'!$D$11,I207*'Config.'!$D$11)</f>
        <v>0</v>
      </c>
      <c r="E208" s="46">
        <f t="shared" si="17"/>
        <v>258531.43253348861</v>
      </c>
      <c r="F208" s="47"/>
      <c r="G208" s="48" t="str">
        <f t="shared" si="15"/>
        <v>-</v>
      </c>
      <c r="H208" s="29" t="str">
        <f>IF(COUNTBLANK(I208)=1,IF(C208&lt;='Config.'!$D$7,"meta","nops"),"")</f>
        <v>nops</v>
      </c>
      <c r="I208" s="55"/>
      <c r="J208" s="65"/>
      <c r="K208" s="15"/>
      <c r="L208" s="15"/>
      <c r="M208" s="51" t="str">
        <f t="shared" si="18"/>
        <v/>
      </c>
      <c r="N208" s="51" t="str">
        <f t="shared" si="16"/>
        <v/>
      </c>
      <c r="O208" s="57" t="str">
        <f t="shared" si="19"/>
        <v/>
      </c>
      <c r="P208" s="6"/>
      <c r="Q208" s="6"/>
      <c r="R208" s="6"/>
      <c r="S208" s="6"/>
      <c r="T208" s="6"/>
      <c r="U208" s="6"/>
      <c r="V208" s="32">
        <f>IF(COUNTBLANK(X207)=1,(V207*'Config.'!$D$9)+V207,(X207*'Config.'!$D$9)+X207)</f>
        <v>5076146.4743588818</v>
      </c>
      <c r="W208" s="29" t="str">
        <f>IF(COUNTBLANK(X208)=1,IF(V208&lt;='Config.'!$D$7,"meta","nops"),"")</f>
        <v>nops</v>
      </c>
      <c r="X208" s="54"/>
    </row>
    <row r="209" spans="1:24" ht="19.5" customHeight="1">
      <c r="A209" s="44" t="s">
        <v>31</v>
      </c>
      <c r="B209" s="45">
        <v>206</v>
      </c>
      <c r="C209" s="46">
        <f>IF(COUNTBLANK(I208)=1,(C208*'Config.'!$D$9)+C208,(I208*'Config.'!$D$9)+I208)</f>
        <v>5700618.0873634163</v>
      </c>
      <c r="D209" s="46">
        <f>IF(COUNTBLANK(I208)=1,I208*'Config.'!$D$11,I208*'Config.'!$D$11)</f>
        <v>0</v>
      </c>
      <c r="E209" s="46">
        <f t="shared" si="17"/>
        <v>271458.00416016299</v>
      </c>
      <c r="F209" s="47"/>
      <c r="G209" s="48" t="str">
        <f t="shared" si="15"/>
        <v>-</v>
      </c>
      <c r="H209" s="29" t="str">
        <f>IF(COUNTBLANK(I209)=1,IF(C209&lt;='Config.'!$D$7,"meta","nops"),"")</f>
        <v>nops</v>
      </c>
      <c r="I209" s="55"/>
      <c r="J209" s="65"/>
      <c r="K209" s="15"/>
      <c r="L209" s="15"/>
      <c r="M209" s="51" t="str">
        <f t="shared" si="18"/>
        <v/>
      </c>
      <c r="N209" s="51" t="str">
        <f t="shared" si="16"/>
        <v/>
      </c>
      <c r="O209" s="57" t="str">
        <f t="shared" si="19"/>
        <v/>
      </c>
      <c r="P209" s="6"/>
      <c r="Q209" s="6"/>
      <c r="R209" s="6"/>
      <c r="S209" s="6"/>
      <c r="T209" s="6"/>
      <c r="U209" s="6"/>
      <c r="V209" s="32">
        <f>IF(COUNTBLANK(X208)=1,(V208*'Config.'!$D$9)+V208,(X208*'Config.'!$D$9)+X208)</f>
        <v>5329953.7980768261</v>
      </c>
      <c r="W209" s="29" t="str">
        <f>IF(COUNTBLANK(X209)=1,IF(V209&lt;='Config.'!$D$7,"meta","nops"),"")</f>
        <v>nops</v>
      </c>
      <c r="X209" s="54"/>
    </row>
    <row r="210" spans="1:24" ht="19.5" customHeight="1">
      <c r="A210" s="44" t="s">
        <v>31</v>
      </c>
      <c r="B210" s="45">
        <v>207</v>
      </c>
      <c r="C210" s="46">
        <f>IF(COUNTBLANK(I209)=1,(C209*'Config.'!$D$9)+C209,(I209*'Config.'!$D$9)+I209)</f>
        <v>5985648.9917315869</v>
      </c>
      <c r="D210" s="46">
        <f>IF(COUNTBLANK(I209)=1,I209*'Config.'!$D$11,I209*'Config.'!$D$11)</f>
        <v>0</v>
      </c>
      <c r="E210" s="46">
        <f t="shared" si="17"/>
        <v>285030.90436817054</v>
      </c>
      <c r="F210" s="47"/>
      <c r="G210" s="48" t="str">
        <f t="shared" si="15"/>
        <v>-</v>
      </c>
      <c r="H210" s="29" t="str">
        <f>IF(COUNTBLANK(I210)=1,IF(C210&lt;='Config.'!$D$7,"meta","nops"),"")</f>
        <v>nops</v>
      </c>
      <c r="I210" s="55"/>
      <c r="J210" s="65"/>
      <c r="K210" s="15"/>
      <c r="L210" s="15"/>
      <c r="M210" s="51" t="str">
        <f t="shared" si="18"/>
        <v/>
      </c>
      <c r="N210" s="51" t="str">
        <f t="shared" si="16"/>
        <v/>
      </c>
      <c r="O210" s="57" t="str">
        <f t="shared" si="19"/>
        <v/>
      </c>
      <c r="P210" s="6"/>
      <c r="Q210" s="6"/>
      <c r="R210" s="6"/>
      <c r="S210" s="6"/>
      <c r="T210" s="6"/>
      <c r="U210" s="6"/>
      <c r="V210" s="32">
        <f>IF(COUNTBLANK(X209)=1,(V209*'Config.'!$D$9)+V209,(X209*'Config.'!$D$9)+X209)</f>
        <v>5596451.4879806675</v>
      </c>
      <c r="W210" s="29" t="str">
        <f>IF(COUNTBLANK(X210)=1,IF(V210&lt;='Config.'!$D$7,"meta","nops"),"")</f>
        <v>nops</v>
      </c>
      <c r="X210" s="54"/>
    </row>
    <row r="211" spans="1:24" ht="19.5" customHeight="1">
      <c r="A211" s="44" t="s">
        <v>31</v>
      </c>
      <c r="B211" s="45">
        <v>208</v>
      </c>
      <c r="C211" s="46">
        <f>IF(COUNTBLANK(I210)=1,(C210*'Config.'!$D$9)+C210,(I210*'Config.'!$D$9)+I210)</f>
        <v>6284931.4413181664</v>
      </c>
      <c r="D211" s="46">
        <f>IF(COUNTBLANK(I210)=1,I210*'Config.'!$D$11,I210*'Config.'!$D$11)</f>
        <v>0</v>
      </c>
      <c r="E211" s="46">
        <f t="shared" si="17"/>
        <v>299282.44958657958</v>
      </c>
      <c r="F211" s="47"/>
      <c r="G211" s="48" t="str">
        <f t="shared" si="15"/>
        <v>-</v>
      </c>
      <c r="H211" s="29" t="str">
        <f>IF(COUNTBLANK(I211)=1,IF(C211&lt;='Config.'!$D$7,"meta","nops"),"")</f>
        <v>nops</v>
      </c>
      <c r="I211" s="55"/>
      <c r="J211" s="65"/>
      <c r="K211" s="15"/>
      <c r="L211" s="15"/>
      <c r="M211" s="51" t="str">
        <f t="shared" si="18"/>
        <v/>
      </c>
      <c r="N211" s="51" t="str">
        <f t="shared" si="16"/>
        <v/>
      </c>
      <c r="O211" s="57" t="str">
        <f t="shared" si="19"/>
        <v/>
      </c>
      <c r="P211" s="6"/>
      <c r="Q211" s="6"/>
      <c r="R211" s="6"/>
      <c r="S211" s="6"/>
      <c r="T211" s="6"/>
      <c r="U211" s="6"/>
      <c r="V211" s="32">
        <f>IF(COUNTBLANK(X210)=1,(V210*'Config.'!$D$9)+V210,(X210*'Config.'!$D$9)+X210)</f>
        <v>5876274.0623797011</v>
      </c>
      <c r="W211" s="29" t="str">
        <f>IF(COUNTBLANK(X211)=1,IF(V211&lt;='Config.'!$D$7,"meta","nops"),"")</f>
        <v>nops</v>
      </c>
      <c r="X211" s="54"/>
    </row>
    <row r="212" spans="1:24" ht="19.5" customHeight="1">
      <c r="A212" s="44" t="s">
        <v>31</v>
      </c>
      <c r="B212" s="45">
        <v>209</v>
      </c>
      <c r="C212" s="46">
        <f>IF(COUNTBLANK(I211)=1,(C211*'Config.'!$D$9)+C211,(I211*'Config.'!$D$9)+I211)</f>
        <v>6599178.0133840749</v>
      </c>
      <c r="D212" s="46">
        <f>IF(COUNTBLANK(I211)=1,I211*'Config.'!$D$11,I211*'Config.'!$D$11)</f>
        <v>0</v>
      </c>
      <c r="E212" s="46">
        <f t="shared" si="17"/>
        <v>314246.57206590846</v>
      </c>
      <c r="F212" s="47"/>
      <c r="G212" s="48" t="str">
        <f t="shared" si="15"/>
        <v>-</v>
      </c>
      <c r="H212" s="29" t="str">
        <f>IF(COUNTBLANK(I212)=1,IF(C212&lt;='Config.'!$D$7,"meta","nops"),"")</f>
        <v>nops</v>
      </c>
      <c r="I212" s="55"/>
      <c r="J212" s="65"/>
      <c r="K212" s="15"/>
      <c r="L212" s="15"/>
      <c r="M212" s="51" t="str">
        <f t="shared" si="18"/>
        <v/>
      </c>
      <c r="N212" s="51" t="str">
        <f t="shared" si="16"/>
        <v/>
      </c>
      <c r="O212" s="57" t="str">
        <f t="shared" si="19"/>
        <v/>
      </c>
      <c r="P212" s="6"/>
      <c r="Q212" s="6"/>
      <c r="R212" s="6"/>
      <c r="S212" s="6"/>
      <c r="T212" s="6"/>
      <c r="U212" s="6"/>
      <c r="V212" s="32">
        <f>IF(COUNTBLANK(X211)=1,(V211*'Config.'!$D$9)+V211,(X211*'Config.'!$D$9)+X211)</f>
        <v>6170087.7654986866</v>
      </c>
      <c r="W212" s="29" t="str">
        <f>IF(COUNTBLANK(X212)=1,IF(V212&lt;='Config.'!$D$7,"meta","nops"),"")</f>
        <v>nops</v>
      </c>
      <c r="X212" s="54"/>
    </row>
    <row r="213" spans="1:24" ht="19.5" customHeight="1">
      <c r="A213" s="44" t="s">
        <v>31</v>
      </c>
      <c r="B213" s="45">
        <v>210</v>
      </c>
      <c r="C213" s="46">
        <f>IF(COUNTBLANK(I212)=1,(C212*'Config.'!$D$9)+C212,(I212*'Config.'!$D$9)+I212)</f>
        <v>6929136.914053279</v>
      </c>
      <c r="D213" s="46">
        <f>IF(COUNTBLANK(I212)=1,I212*'Config.'!$D$11,I212*'Config.'!$D$11)</f>
        <v>0</v>
      </c>
      <c r="E213" s="46">
        <f t="shared" si="17"/>
        <v>329958.90066920407</v>
      </c>
      <c r="F213" s="47"/>
      <c r="G213" s="48" t="str">
        <f t="shared" si="15"/>
        <v>-</v>
      </c>
      <c r="H213" s="29" t="str">
        <f>IF(COUNTBLANK(I213)=1,IF(C213&lt;='Config.'!$D$7,"meta","nops"),"")</f>
        <v>nops</v>
      </c>
      <c r="I213" s="55"/>
      <c r="J213" s="65"/>
      <c r="K213" s="15"/>
      <c r="L213" s="15"/>
      <c r="M213" s="51" t="str">
        <f t="shared" si="18"/>
        <v/>
      </c>
      <c r="N213" s="51" t="str">
        <f t="shared" si="16"/>
        <v/>
      </c>
      <c r="O213" s="57" t="str">
        <f t="shared" si="19"/>
        <v/>
      </c>
      <c r="P213" s="6"/>
      <c r="Q213" s="6"/>
      <c r="R213" s="6"/>
      <c r="S213" s="6"/>
      <c r="T213" s="6"/>
      <c r="U213" s="6"/>
      <c r="V213" s="32">
        <f>IF(COUNTBLANK(X212)=1,(V212*'Config.'!$D$9)+V212,(X212*'Config.'!$D$9)+X212)</f>
        <v>6478592.1537736207</v>
      </c>
      <c r="W213" s="29" t="str">
        <f>IF(COUNTBLANK(X213)=1,IF(V213&lt;='Config.'!$D$7,"meta","nops"),"")</f>
        <v>nops</v>
      </c>
      <c r="X213" s="54"/>
    </row>
    <row r="214" spans="1:24" ht="19.5" customHeight="1">
      <c r="A214" s="44" t="s">
        <v>31</v>
      </c>
      <c r="B214" s="45">
        <v>211</v>
      </c>
      <c r="C214" s="46">
        <f>IF(COUNTBLANK(I213)=1,(C213*'Config.'!$D$9)+C213,(I213*'Config.'!$D$9)+I213)</f>
        <v>7275593.759755943</v>
      </c>
      <c r="D214" s="46">
        <f>IF(COUNTBLANK(I213)=1,I213*'Config.'!$D$11,I213*'Config.'!$D$11)</f>
        <v>0</v>
      </c>
      <c r="E214" s="46">
        <f t="shared" si="17"/>
        <v>346456.845702664</v>
      </c>
      <c r="F214" s="47"/>
      <c r="G214" s="48" t="str">
        <f t="shared" si="15"/>
        <v>-</v>
      </c>
      <c r="H214" s="29" t="str">
        <f>IF(COUNTBLANK(I214)=1,IF(C214&lt;='Config.'!$D$7,"meta","nops"),"")</f>
        <v>nops</v>
      </c>
      <c r="I214" s="55"/>
      <c r="J214" s="65"/>
      <c r="K214" s="15"/>
      <c r="L214" s="15"/>
      <c r="M214" s="51" t="str">
        <f t="shared" si="18"/>
        <v/>
      </c>
      <c r="N214" s="51" t="str">
        <f t="shared" si="16"/>
        <v/>
      </c>
      <c r="O214" s="57" t="str">
        <f t="shared" si="19"/>
        <v/>
      </c>
      <c r="P214" s="6"/>
      <c r="Q214" s="6"/>
      <c r="R214" s="6"/>
      <c r="S214" s="6"/>
      <c r="T214" s="6"/>
      <c r="U214" s="6"/>
      <c r="V214" s="32">
        <f>IF(COUNTBLANK(X213)=1,(V213*'Config.'!$D$9)+V213,(X213*'Config.'!$D$9)+X213)</f>
        <v>6802521.7614623019</v>
      </c>
      <c r="W214" s="29" t="str">
        <f>IF(COUNTBLANK(X214)=1,IF(V214&lt;='Config.'!$D$7,"meta","nops"),"")</f>
        <v>nops</v>
      </c>
      <c r="X214" s="54"/>
    </row>
    <row r="215" spans="1:24" ht="19.5" customHeight="1">
      <c r="A215" s="44" t="s">
        <v>31</v>
      </c>
      <c r="B215" s="45">
        <v>212</v>
      </c>
      <c r="C215" s="46">
        <f>IF(COUNTBLANK(I214)=1,(C214*'Config.'!$D$9)+C214,(I214*'Config.'!$D$9)+I214)</f>
        <v>7639373.4477437399</v>
      </c>
      <c r="D215" s="46">
        <f>IF(COUNTBLANK(I214)=1,I214*'Config.'!$D$11,I214*'Config.'!$D$11)</f>
        <v>0</v>
      </c>
      <c r="E215" s="46">
        <f t="shared" si="17"/>
        <v>363779.68798779696</v>
      </c>
      <c r="F215" s="47"/>
      <c r="G215" s="48" t="str">
        <f t="shared" si="15"/>
        <v>-</v>
      </c>
      <c r="H215" s="29" t="str">
        <f>IF(COUNTBLANK(I215)=1,IF(C215&lt;='Config.'!$D$7,"meta","nops"),"")</f>
        <v>nops</v>
      </c>
      <c r="I215" s="55"/>
      <c r="J215" s="65"/>
      <c r="K215" s="15"/>
      <c r="L215" s="15"/>
      <c r="M215" s="51" t="str">
        <f t="shared" si="18"/>
        <v/>
      </c>
      <c r="N215" s="51" t="str">
        <f t="shared" si="16"/>
        <v/>
      </c>
      <c r="O215" s="57" t="str">
        <f t="shared" si="19"/>
        <v/>
      </c>
      <c r="P215" s="6"/>
      <c r="Q215" s="6"/>
      <c r="R215" s="6"/>
      <c r="S215" s="6"/>
      <c r="T215" s="6"/>
      <c r="U215" s="6"/>
      <c r="V215" s="32">
        <f>IF(COUNTBLANK(X214)=1,(V214*'Config.'!$D$9)+V214,(X214*'Config.'!$D$9)+X214)</f>
        <v>7142647.8495354168</v>
      </c>
      <c r="W215" s="29" t="str">
        <f>IF(COUNTBLANK(X215)=1,IF(V215&lt;='Config.'!$D$7,"meta","nops"),"")</f>
        <v>nops</v>
      </c>
      <c r="X215" s="54"/>
    </row>
    <row r="216" spans="1:24" ht="19.5" customHeight="1">
      <c r="A216" s="44" t="s">
        <v>31</v>
      </c>
      <c r="B216" s="45">
        <v>213</v>
      </c>
      <c r="C216" s="46">
        <f>IF(COUNTBLANK(I215)=1,(C215*'Config.'!$D$9)+C215,(I215*'Config.'!$D$9)+I215)</f>
        <v>8021342.1201309273</v>
      </c>
      <c r="D216" s="46">
        <f>IF(COUNTBLANK(I215)=1,I215*'Config.'!$D$11,I215*'Config.'!$D$11)</f>
        <v>0</v>
      </c>
      <c r="E216" s="46">
        <f t="shared" si="17"/>
        <v>381968.67238718737</v>
      </c>
      <c r="F216" s="47"/>
      <c r="G216" s="48" t="str">
        <f t="shared" si="15"/>
        <v>-</v>
      </c>
      <c r="H216" s="29" t="str">
        <f>IF(COUNTBLANK(I216)=1,IF(C216&lt;='Config.'!$D$7,"meta","nops"),"")</f>
        <v>nops</v>
      </c>
      <c r="I216" s="55"/>
      <c r="J216" s="65"/>
      <c r="K216" s="15"/>
      <c r="L216" s="15"/>
      <c r="M216" s="51" t="str">
        <f t="shared" si="18"/>
        <v/>
      </c>
      <c r="N216" s="51" t="str">
        <f t="shared" si="16"/>
        <v/>
      </c>
      <c r="O216" s="57" t="str">
        <f t="shared" si="19"/>
        <v/>
      </c>
      <c r="P216" s="6"/>
      <c r="Q216" s="6"/>
      <c r="R216" s="6"/>
      <c r="S216" s="6"/>
      <c r="T216" s="6"/>
      <c r="U216" s="6"/>
      <c r="V216" s="32">
        <f>IF(COUNTBLANK(X215)=1,(V215*'Config.'!$D$9)+V215,(X215*'Config.'!$D$9)+X215)</f>
        <v>7499780.2420121878</v>
      </c>
      <c r="W216" s="29" t="str">
        <f>IF(COUNTBLANK(X216)=1,IF(V216&lt;='Config.'!$D$7,"meta","nops"),"")</f>
        <v>nops</v>
      </c>
      <c r="X216" s="54"/>
    </row>
    <row r="217" spans="1:24" ht="19.5" customHeight="1">
      <c r="A217" s="44" t="s">
        <v>31</v>
      </c>
      <c r="B217" s="45">
        <v>214</v>
      </c>
      <c r="C217" s="46">
        <f>IF(COUNTBLANK(I216)=1,(C216*'Config.'!$D$9)+C216,(I216*'Config.'!$D$9)+I216)</f>
        <v>8422409.2261374742</v>
      </c>
      <c r="D217" s="46">
        <f>IF(COUNTBLANK(I216)=1,I216*'Config.'!$D$11,I216*'Config.'!$D$11)</f>
        <v>0</v>
      </c>
      <c r="E217" s="46">
        <f t="shared" si="17"/>
        <v>401067.10600654688</v>
      </c>
      <c r="F217" s="47"/>
      <c r="G217" s="48" t="str">
        <f t="shared" si="15"/>
        <v>-</v>
      </c>
      <c r="H217" s="29" t="str">
        <f>IF(COUNTBLANK(I217)=1,IF(C217&lt;='Config.'!$D$7,"meta","nops"),"")</f>
        <v>nops</v>
      </c>
      <c r="I217" s="55"/>
      <c r="J217" s="65"/>
      <c r="K217" s="15"/>
      <c r="L217" s="15"/>
      <c r="M217" s="51" t="str">
        <f t="shared" si="18"/>
        <v/>
      </c>
      <c r="N217" s="51" t="str">
        <f t="shared" si="16"/>
        <v/>
      </c>
      <c r="O217" s="57" t="str">
        <f t="shared" si="19"/>
        <v/>
      </c>
      <c r="P217" s="6"/>
      <c r="Q217" s="6"/>
      <c r="R217" s="6"/>
      <c r="S217" s="6"/>
      <c r="T217" s="6"/>
      <c r="U217" s="6"/>
      <c r="V217" s="32">
        <f>IF(COUNTBLANK(X216)=1,(V216*'Config.'!$D$9)+V216,(X216*'Config.'!$D$9)+X216)</f>
        <v>7874769.2541127969</v>
      </c>
      <c r="W217" s="29" t="str">
        <f>IF(COUNTBLANK(X217)=1,IF(V217&lt;='Config.'!$D$7,"meta","nops"),"")</f>
        <v>nops</v>
      </c>
      <c r="X217" s="54"/>
    </row>
    <row r="218" spans="1:24" ht="19.5" customHeight="1">
      <c r="A218" s="44" t="s">
        <v>31</v>
      </c>
      <c r="B218" s="45">
        <v>215</v>
      </c>
      <c r="C218" s="46">
        <f>IF(COUNTBLANK(I217)=1,(C217*'Config.'!$D$9)+C217,(I217*'Config.'!$D$9)+I217)</f>
        <v>8843529.6874443479</v>
      </c>
      <c r="D218" s="46">
        <f>IF(COUNTBLANK(I217)=1,I217*'Config.'!$D$11,I217*'Config.'!$D$11)</f>
        <v>0</v>
      </c>
      <c r="E218" s="46">
        <f t="shared" si="17"/>
        <v>421120.46130687371</v>
      </c>
      <c r="F218" s="47"/>
      <c r="G218" s="48" t="str">
        <f t="shared" si="15"/>
        <v>-</v>
      </c>
      <c r="H218" s="29" t="str">
        <f>IF(COUNTBLANK(I218)=1,IF(C218&lt;='Config.'!$D$7,"meta","nops"),"")</f>
        <v>nops</v>
      </c>
      <c r="I218" s="55"/>
      <c r="J218" s="65"/>
      <c r="K218" s="15"/>
      <c r="L218" s="15"/>
      <c r="M218" s="51" t="str">
        <f t="shared" si="18"/>
        <v/>
      </c>
      <c r="N218" s="51" t="str">
        <f t="shared" si="16"/>
        <v/>
      </c>
      <c r="O218" s="57" t="str">
        <f t="shared" si="19"/>
        <v/>
      </c>
      <c r="P218" s="6"/>
      <c r="Q218" s="6"/>
      <c r="R218" s="6"/>
      <c r="S218" s="6"/>
      <c r="T218" s="6"/>
      <c r="U218" s="6"/>
      <c r="V218" s="32">
        <f>IF(COUNTBLANK(X217)=1,(V217*'Config.'!$D$9)+V217,(X217*'Config.'!$D$9)+X217)</f>
        <v>8268507.716818437</v>
      </c>
      <c r="W218" s="29" t="str">
        <f>IF(COUNTBLANK(X218)=1,IF(V218&lt;='Config.'!$D$7,"meta","nops"),"")</f>
        <v>nops</v>
      </c>
      <c r="X218" s="54"/>
    </row>
    <row r="219" spans="1:24" ht="19.5" customHeight="1">
      <c r="A219" s="44" t="s">
        <v>31</v>
      </c>
      <c r="B219" s="45">
        <v>216</v>
      </c>
      <c r="C219" s="46">
        <f>IF(COUNTBLANK(I218)=1,(C218*'Config.'!$D$9)+C218,(I218*'Config.'!$D$9)+I218)</f>
        <v>9285706.1718165651</v>
      </c>
      <c r="D219" s="46">
        <f>IF(COUNTBLANK(I218)=1,I218*'Config.'!$D$11,I218*'Config.'!$D$11)</f>
        <v>0</v>
      </c>
      <c r="E219" s="46">
        <f t="shared" si="17"/>
        <v>442176.48437221721</v>
      </c>
      <c r="F219" s="47"/>
      <c r="G219" s="48" t="str">
        <f t="shared" si="15"/>
        <v>-</v>
      </c>
      <c r="H219" s="29" t="str">
        <f>IF(COUNTBLANK(I219)=1,IF(C219&lt;='Config.'!$D$7,"meta","nops"),"")</f>
        <v>nops</v>
      </c>
      <c r="I219" s="55"/>
      <c r="J219" s="65"/>
      <c r="K219" s="15"/>
      <c r="L219" s="15"/>
      <c r="M219" s="51" t="str">
        <f t="shared" si="18"/>
        <v/>
      </c>
      <c r="N219" s="51" t="str">
        <f t="shared" si="16"/>
        <v/>
      </c>
      <c r="O219" s="57" t="str">
        <f t="shared" si="19"/>
        <v/>
      </c>
      <c r="P219" s="6"/>
      <c r="Q219" s="6"/>
      <c r="R219" s="6"/>
      <c r="S219" s="6"/>
      <c r="T219" s="6"/>
      <c r="U219" s="6"/>
      <c r="V219" s="32">
        <f>IF(COUNTBLANK(X218)=1,(V218*'Config.'!$D$9)+V218,(X218*'Config.'!$D$9)+X218)</f>
        <v>8681933.1026593596</v>
      </c>
      <c r="W219" s="29" t="str">
        <f>IF(COUNTBLANK(X219)=1,IF(V219&lt;='Config.'!$D$7,"meta","nops"),"")</f>
        <v>nops</v>
      </c>
      <c r="X219" s="54"/>
    </row>
    <row r="220" spans="1:24" ht="19.5" customHeight="1">
      <c r="A220" s="44" t="s">
        <v>31</v>
      </c>
      <c r="B220" s="45">
        <v>217</v>
      </c>
      <c r="C220" s="46">
        <f>IF(COUNTBLANK(I219)=1,(C219*'Config.'!$D$9)+C219,(I219*'Config.'!$D$9)+I219)</f>
        <v>9749991.4804073926</v>
      </c>
      <c r="D220" s="46">
        <f>IF(COUNTBLANK(I219)=1,I219*'Config.'!$D$11,I219*'Config.'!$D$11)</f>
        <v>0</v>
      </c>
      <c r="E220" s="46">
        <f t="shared" si="17"/>
        <v>464285.30859082751</v>
      </c>
      <c r="F220" s="47"/>
      <c r="G220" s="48" t="str">
        <f t="shared" si="15"/>
        <v>-</v>
      </c>
      <c r="H220" s="29" t="str">
        <f>IF(COUNTBLANK(I220)=1,IF(C220&lt;='Config.'!$D$7,"meta","nops"),"")</f>
        <v>nops</v>
      </c>
      <c r="I220" s="55"/>
      <c r="J220" s="65"/>
      <c r="K220" s="15"/>
      <c r="L220" s="15"/>
      <c r="M220" s="51" t="str">
        <f t="shared" si="18"/>
        <v/>
      </c>
      <c r="N220" s="51" t="str">
        <f t="shared" si="16"/>
        <v/>
      </c>
      <c r="O220" s="57" t="str">
        <f t="shared" si="19"/>
        <v/>
      </c>
      <c r="P220" s="6"/>
      <c r="Q220" s="6"/>
      <c r="R220" s="6"/>
      <c r="S220" s="6"/>
      <c r="T220" s="6"/>
      <c r="U220" s="6"/>
      <c r="V220" s="32">
        <f>IF(COUNTBLANK(X219)=1,(V219*'Config.'!$D$9)+V219,(X219*'Config.'!$D$9)+X219)</f>
        <v>9116029.7577923276</v>
      </c>
      <c r="W220" s="29" t="str">
        <f>IF(COUNTBLANK(X220)=1,IF(V220&lt;='Config.'!$D$7,"meta","nops"),"")</f>
        <v>nops</v>
      </c>
      <c r="X220" s="54"/>
    </row>
    <row r="221" spans="1:24" ht="19.5" customHeight="1">
      <c r="A221" s="44" t="s">
        <v>31</v>
      </c>
      <c r="B221" s="45">
        <v>218</v>
      </c>
      <c r="C221" s="46">
        <f>IF(COUNTBLANK(I220)=1,(C220*'Config.'!$D$9)+C220,(I220*'Config.'!$D$9)+I220)</f>
        <v>10237491.054427762</v>
      </c>
      <c r="D221" s="46">
        <f>IF(COUNTBLANK(I220)=1,I220*'Config.'!$D$11,I220*'Config.'!$D$11)</f>
        <v>0</v>
      </c>
      <c r="E221" s="46">
        <f t="shared" si="17"/>
        <v>487499.57402036898</v>
      </c>
      <c r="F221" s="47"/>
      <c r="G221" s="48" t="str">
        <f t="shared" si="15"/>
        <v>-</v>
      </c>
      <c r="H221" s="29" t="str">
        <f>IF(COUNTBLANK(I221)=1,IF(C221&lt;='Config.'!$D$7,"meta","nops"),"")</f>
        <v>nops</v>
      </c>
      <c r="I221" s="55"/>
      <c r="J221" s="65"/>
      <c r="K221" s="15"/>
      <c r="L221" s="15"/>
      <c r="M221" s="51" t="str">
        <f t="shared" si="18"/>
        <v/>
      </c>
      <c r="N221" s="51" t="str">
        <f t="shared" si="16"/>
        <v/>
      </c>
      <c r="O221" s="57" t="str">
        <f t="shared" si="19"/>
        <v/>
      </c>
      <c r="P221" s="6"/>
      <c r="Q221" s="6"/>
      <c r="R221" s="6"/>
      <c r="S221" s="6"/>
      <c r="T221" s="6"/>
      <c r="U221" s="6"/>
      <c r="V221" s="32">
        <f>IF(COUNTBLANK(X220)=1,(V220*'Config.'!$D$9)+V220,(X220*'Config.'!$D$9)+X220)</f>
        <v>9571831.2456819434</v>
      </c>
      <c r="W221" s="29" t="str">
        <f>IF(COUNTBLANK(X221)=1,IF(V221&lt;='Config.'!$D$7,"meta","nops"),"")</f>
        <v>nops</v>
      </c>
      <c r="X221" s="54"/>
    </row>
    <row r="222" spans="1:24" ht="19.5" customHeight="1">
      <c r="A222" s="44" t="s">
        <v>31</v>
      </c>
      <c r="B222" s="45">
        <v>219</v>
      </c>
      <c r="C222" s="46">
        <f>IF(COUNTBLANK(I221)=1,(C221*'Config.'!$D$9)+C221,(I221*'Config.'!$D$9)+I221)</f>
        <v>10749365.60714915</v>
      </c>
      <c r="D222" s="46">
        <f>IF(COUNTBLANK(I221)=1,I221*'Config.'!$D$11,I221*'Config.'!$D$11)</f>
        <v>0</v>
      </c>
      <c r="E222" s="46">
        <f t="shared" si="17"/>
        <v>511874.55272138864</v>
      </c>
      <c r="F222" s="47"/>
      <c r="G222" s="48" t="str">
        <f t="shared" si="15"/>
        <v>-</v>
      </c>
      <c r="H222" s="29" t="str">
        <f>IF(COUNTBLANK(I222)=1,IF(C222&lt;='Config.'!$D$7,"meta","nops"),"")</f>
        <v>nops</v>
      </c>
      <c r="I222" s="55"/>
      <c r="J222" s="65"/>
      <c r="K222" s="15"/>
      <c r="L222" s="15"/>
      <c r="M222" s="51" t="str">
        <f t="shared" si="18"/>
        <v/>
      </c>
      <c r="N222" s="51" t="str">
        <f t="shared" si="16"/>
        <v/>
      </c>
      <c r="O222" s="57" t="str">
        <f t="shared" si="19"/>
        <v/>
      </c>
      <c r="P222" s="6"/>
      <c r="Q222" s="6"/>
      <c r="R222" s="6"/>
      <c r="S222" s="6"/>
      <c r="T222" s="6"/>
      <c r="U222" s="6"/>
      <c r="V222" s="32">
        <f>IF(COUNTBLANK(X221)=1,(V221*'Config.'!$D$9)+V221,(X221*'Config.'!$D$9)+X221)</f>
        <v>10050422.80796604</v>
      </c>
      <c r="W222" s="29" t="str">
        <f>IF(COUNTBLANK(X222)=1,IF(V222&lt;='Config.'!$D$7,"meta","nops"),"")</f>
        <v>nops</v>
      </c>
      <c r="X222" s="54"/>
    </row>
    <row r="223" spans="1:24" ht="19.5" customHeight="1">
      <c r="A223" s="44" t="s">
        <v>31</v>
      </c>
      <c r="B223" s="45">
        <v>220</v>
      </c>
      <c r="C223" s="46">
        <f>IF(COUNTBLANK(I222)=1,(C222*'Config.'!$D$9)+C222,(I222*'Config.'!$D$9)+I222)</f>
        <v>11286833.887506608</v>
      </c>
      <c r="D223" s="46">
        <f>IF(COUNTBLANK(I222)=1,I222*'Config.'!$D$11,I222*'Config.'!$D$11)</f>
        <v>0</v>
      </c>
      <c r="E223" s="46">
        <f t="shared" si="17"/>
        <v>537468.2803574577</v>
      </c>
      <c r="F223" s="47"/>
      <c r="G223" s="48" t="str">
        <f t="shared" si="15"/>
        <v>-</v>
      </c>
      <c r="H223" s="29" t="str">
        <f>IF(COUNTBLANK(I223)=1,IF(C223&lt;='Config.'!$D$7,"meta","nops"),"")</f>
        <v>nops</v>
      </c>
      <c r="I223" s="55"/>
      <c r="J223" s="65"/>
      <c r="K223" s="15"/>
      <c r="L223" s="15"/>
      <c r="M223" s="51" t="str">
        <f t="shared" si="18"/>
        <v/>
      </c>
      <c r="N223" s="51" t="str">
        <f t="shared" si="16"/>
        <v/>
      </c>
      <c r="O223" s="57" t="str">
        <f t="shared" si="19"/>
        <v/>
      </c>
      <c r="P223" s="6"/>
      <c r="Q223" s="6"/>
      <c r="R223" s="6"/>
      <c r="S223" s="6"/>
      <c r="T223" s="6"/>
      <c r="U223" s="6"/>
      <c r="V223" s="32">
        <f>IF(COUNTBLANK(X222)=1,(V222*'Config.'!$D$9)+V222,(X222*'Config.'!$D$9)+X222)</f>
        <v>10552943.948364342</v>
      </c>
      <c r="W223" s="29" t="str">
        <f>IF(COUNTBLANK(X223)=1,IF(V223&lt;='Config.'!$D$7,"meta","nops"),"")</f>
        <v>nops</v>
      </c>
      <c r="X223" s="54"/>
    </row>
    <row r="224" spans="1:24" ht="19.5" customHeight="1">
      <c r="A224" s="44" t="s">
        <v>31</v>
      </c>
      <c r="B224" s="45">
        <v>221</v>
      </c>
      <c r="C224" s="46">
        <f>IF(COUNTBLANK(I223)=1,(C223*'Config.'!$D$9)+C223,(I223*'Config.'!$D$9)+I223)</f>
        <v>11851175.581881939</v>
      </c>
      <c r="D224" s="46">
        <f>IF(COUNTBLANK(I223)=1,I223*'Config.'!$D$11,I223*'Config.'!$D$11)</f>
        <v>0</v>
      </c>
      <c r="E224" s="46">
        <f t="shared" si="17"/>
        <v>564341.69437533058</v>
      </c>
      <c r="F224" s="47"/>
      <c r="G224" s="48" t="str">
        <f t="shared" si="15"/>
        <v>-</v>
      </c>
      <c r="H224" s="29" t="str">
        <f>IF(COUNTBLANK(I224)=1,IF(C224&lt;='Config.'!$D$7,"meta","nops"),"")</f>
        <v>nops</v>
      </c>
      <c r="I224" s="55"/>
      <c r="J224" s="65"/>
      <c r="K224" s="15"/>
      <c r="L224" s="15"/>
      <c r="M224" s="51" t="str">
        <f t="shared" si="18"/>
        <v/>
      </c>
      <c r="N224" s="51" t="str">
        <f t="shared" si="16"/>
        <v/>
      </c>
      <c r="O224" s="57" t="str">
        <f t="shared" si="19"/>
        <v/>
      </c>
      <c r="P224" s="6"/>
      <c r="Q224" s="6"/>
      <c r="R224" s="6"/>
      <c r="S224" s="6"/>
      <c r="T224" s="6"/>
      <c r="U224" s="6"/>
      <c r="V224" s="32">
        <f>IF(COUNTBLANK(X223)=1,(V223*'Config.'!$D$9)+V223,(X223*'Config.'!$D$9)+X223)</f>
        <v>11080591.145782558</v>
      </c>
      <c r="W224" s="29" t="str">
        <f>IF(COUNTBLANK(X224)=1,IF(V224&lt;='Config.'!$D$7,"meta","nops"),"")</f>
        <v>nops</v>
      </c>
      <c r="X224" s="54"/>
    </row>
    <row r="225" spans="1:24" ht="19.5" customHeight="1">
      <c r="A225" s="44" t="s">
        <v>31</v>
      </c>
      <c r="B225" s="45">
        <v>222</v>
      </c>
      <c r="C225" s="46">
        <f>IF(COUNTBLANK(I224)=1,(C224*'Config.'!$D$9)+C224,(I224*'Config.'!$D$9)+I224)</f>
        <v>12443734.360976035</v>
      </c>
      <c r="D225" s="46">
        <f>IF(COUNTBLANK(I224)=1,I224*'Config.'!$D$11,I224*'Config.'!$D$11)</f>
        <v>0</v>
      </c>
      <c r="E225" s="46">
        <f t="shared" si="17"/>
        <v>592558.77909409627</v>
      </c>
      <c r="F225" s="47"/>
      <c r="G225" s="48" t="str">
        <f t="shared" si="15"/>
        <v>-</v>
      </c>
      <c r="H225" s="29" t="str">
        <f>IF(COUNTBLANK(I225)=1,IF(C225&lt;='Config.'!$D$7,"meta","nops"),"")</f>
        <v>nops</v>
      </c>
      <c r="I225" s="55"/>
      <c r="J225" s="65"/>
      <c r="K225" s="15"/>
      <c r="L225" s="15"/>
      <c r="M225" s="51" t="str">
        <f t="shared" si="18"/>
        <v/>
      </c>
      <c r="N225" s="51" t="str">
        <f t="shared" si="16"/>
        <v/>
      </c>
      <c r="O225" s="57" t="str">
        <f t="shared" si="19"/>
        <v/>
      </c>
      <c r="P225" s="6"/>
      <c r="Q225" s="6"/>
      <c r="R225" s="6"/>
      <c r="S225" s="6"/>
      <c r="T225" s="6"/>
      <c r="U225" s="6"/>
      <c r="V225" s="32">
        <f>IF(COUNTBLANK(X224)=1,(V224*'Config.'!$D$9)+V224,(X224*'Config.'!$D$9)+X224)</f>
        <v>11634620.703071686</v>
      </c>
      <c r="W225" s="29" t="str">
        <f>IF(COUNTBLANK(X225)=1,IF(V225&lt;='Config.'!$D$7,"meta","nops"),"")</f>
        <v>nops</v>
      </c>
      <c r="X225" s="54"/>
    </row>
    <row r="226" spans="1:24" ht="19.5" customHeight="1">
      <c r="A226" s="44" t="s">
        <v>31</v>
      </c>
      <c r="B226" s="45">
        <v>223</v>
      </c>
      <c r="C226" s="46">
        <f>IF(COUNTBLANK(I225)=1,(C225*'Config.'!$D$9)+C225,(I225*'Config.'!$D$9)+I225)</f>
        <v>13065921.079024836</v>
      </c>
      <c r="D226" s="46">
        <f>IF(COUNTBLANK(I225)=1,I225*'Config.'!$D$11,I225*'Config.'!$D$11)</f>
        <v>0</v>
      </c>
      <c r="E226" s="46">
        <f t="shared" si="17"/>
        <v>622186.71804880165</v>
      </c>
      <c r="F226" s="47"/>
      <c r="G226" s="48" t="str">
        <f t="shared" si="15"/>
        <v>-</v>
      </c>
      <c r="H226" s="29" t="str">
        <f>IF(COUNTBLANK(I226)=1,IF(C226&lt;='Config.'!$D$7,"meta","nops"),"")</f>
        <v>nops</v>
      </c>
      <c r="I226" s="55"/>
      <c r="J226" s="65"/>
      <c r="K226" s="15"/>
      <c r="L226" s="15"/>
      <c r="M226" s="51" t="str">
        <f t="shared" si="18"/>
        <v/>
      </c>
      <c r="N226" s="51" t="str">
        <f t="shared" si="16"/>
        <v/>
      </c>
      <c r="O226" s="57" t="str">
        <f t="shared" si="19"/>
        <v/>
      </c>
      <c r="P226" s="6"/>
      <c r="Q226" s="6"/>
      <c r="R226" s="6"/>
      <c r="S226" s="6"/>
      <c r="T226" s="6"/>
      <c r="U226" s="6"/>
      <c r="V226" s="32">
        <f>IF(COUNTBLANK(X225)=1,(V225*'Config.'!$D$9)+V225,(X225*'Config.'!$D$9)+X225)</f>
        <v>12216351.73822527</v>
      </c>
      <c r="W226" s="29" t="str">
        <f>IF(COUNTBLANK(X226)=1,IF(V226&lt;='Config.'!$D$7,"meta","nops"),"")</f>
        <v>nops</v>
      </c>
      <c r="X226" s="54"/>
    </row>
    <row r="227" spans="1:24" ht="19.5" customHeight="1">
      <c r="A227" s="44" t="s">
        <v>31</v>
      </c>
      <c r="B227" s="45">
        <v>224</v>
      </c>
      <c r="C227" s="46">
        <f>IF(COUNTBLANK(I226)=1,(C226*'Config.'!$D$9)+C226,(I226*'Config.'!$D$9)+I226)</f>
        <v>13719217.132976077</v>
      </c>
      <c r="D227" s="46">
        <f>IF(COUNTBLANK(I226)=1,I226*'Config.'!$D$11,I226*'Config.'!$D$11)</f>
        <v>0</v>
      </c>
      <c r="E227" s="46">
        <f t="shared" si="17"/>
        <v>653296.05395124108</v>
      </c>
      <c r="F227" s="47"/>
      <c r="G227" s="48" t="str">
        <f t="shared" si="15"/>
        <v>-</v>
      </c>
      <c r="H227" s="29" t="str">
        <f>IF(COUNTBLANK(I227)=1,IF(C227&lt;='Config.'!$D$7,"meta","nops"),"")</f>
        <v>nops</v>
      </c>
      <c r="I227" s="55"/>
      <c r="J227" s="65"/>
      <c r="K227" s="15"/>
      <c r="L227" s="15"/>
      <c r="M227" s="51" t="str">
        <f t="shared" si="18"/>
        <v/>
      </c>
      <c r="N227" s="51" t="str">
        <f t="shared" si="16"/>
        <v/>
      </c>
      <c r="O227" s="57" t="str">
        <f t="shared" si="19"/>
        <v/>
      </c>
      <c r="P227" s="6"/>
      <c r="Q227" s="6"/>
      <c r="R227" s="6"/>
      <c r="S227" s="6"/>
      <c r="T227" s="6"/>
      <c r="U227" s="6"/>
      <c r="V227" s="32">
        <f>IF(COUNTBLANK(X226)=1,(V226*'Config.'!$D$9)+V226,(X226*'Config.'!$D$9)+X226)</f>
        <v>12827169.325136533</v>
      </c>
      <c r="W227" s="29" t="str">
        <f>IF(COUNTBLANK(X227)=1,IF(V227&lt;='Config.'!$D$7,"meta","nops"),"")</f>
        <v>nops</v>
      </c>
      <c r="X227" s="54"/>
    </row>
    <row r="228" spans="1:24" ht="19.5" customHeight="1">
      <c r="A228" s="44" t="s">
        <v>31</v>
      </c>
      <c r="B228" s="45">
        <v>225</v>
      </c>
      <c r="C228" s="46">
        <f>IF(COUNTBLANK(I227)=1,(C227*'Config.'!$D$9)+C227,(I227*'Config.'!$D$9)+I227)</f>
        <v>14405177.989624882</v>
      </c>
      <c r="D228" s="46">
        <f>IF(COUNTBLANK(I227)=1,I227*'Config.'!$D$11,I227*'Config.'!$D$11)</f>
        <v>0</v>
      </c>
      <c r="E228" s="46">
        <f t="shared" si="17"/>
        <v>685960.85664880462</v>
      </c>
      <c r="F228" s="47"/>
      <c r="G228" s="48" t="str">
        <f t="shared" si="15"/>
        <v>-</v>
      </c>
      <c r="H228" s="29" t="str">
        <f>IF(COUNTBLANK(I228)=1,IF(C228&lt;='Config.'!$D$7,"meta","nops"),"")</f>
        <v>nops</v>
      </c>
      <c r="I228" s="55"/>
      <c r="J228" s="65"/>
      <c r="K228" s="15"/>
      <c r="L228" s="15"/>
      <c r="M228" s="51" t="str">
        <f t="shared" si="18"/>
        <v/>
      </c>
      <c r="N228" s="51" t="str">
        <f t="shared" si="16"/>
        <v/>
      </c>
      <c r="O228" s="57" t="str">
        <f t="shared" si="19"/>
        <v/>
      </c>
      <c r="P228" s="6"/>
      <c r="Q228" s="6"/>
      <c r="R228" s="6"/>
      <c r="S228" s="6"/>
      <c r="T228" s="6"/>
      <c r="U228" s="6"/>
      <c r="V228" s="32">
        <f>IF(COUNTBLANK(X227)=1,(V227*'Config.'!$D$9)+V227,(X227*'Config.'!$D$9)+X227)</f>
        <v>13468527.79139336</v>
      </c>
      <c r="W228" s="29" t="str">
        <f>IF(COUNTBLANK(X228)=1,IF(V228&lt;='Config.'!$D$7,"meta","nops"),"")</f>
        <v>nops</v>
      </c>
      <c r="X228" s="54"/>
    </row>
    <row r="229" spans="1:24" ht="19.5" customHeight="1">
      <c r="A229" s="44" t="s">
        <v>31</v>
      </c>
      <c r="B229" s="45">
        <v>226</v>
      </c>
      <c r="C229" s="46">
        <f>IF(COUNTBLANK(I228)=1,(C228*'Config.'!$D$9)+C228,(I228*'Config.'!$D$9)+I228)</f>
        <v>15125436.889106127</v>
      </c>
      <c r="D229" s="46">
        <f>IF(COUNTBLANK(I228)=1,I228*'Config.'!$D$11,I228*'Config.'!$D$11)</f>
        <v>0</v>
      </c>
      <c r="E229" s="46">
        <f t="shared" si="17"/>
        <v>720258.89948124439</v>
      </c>
      <c r="F229" s="47"/>
      <c r="G229" s="48" t="str">
        <f t="shared" si="15"/>
        <v>-</v>
      </c>
      <c r="H229" s="29" t="str">
        <f>IF(COUNTBLANK(I229)=1,IF(C229&lt;='Config.'!$D$7,"meta","nops"),"")</f>
        <v>nops</v>
      </c>
      <c r="I229" s="55"/>
      <c r="J229" s="65"/>
      <c r="K229" s="15"/>
      <c r="L229" s="15"/>
      <c r="M229" s="51" t="str">
        <f t="shared" si="18"/>
        <v/>
      </c>
      <c r="N229" s="51" t="str">
        <f t="shared" si="16"/>
        <v/>
      </c>
      <c r="O229" s="57" t="str">
        <f t="shared" si="19"/>
        <v/>
      </c>
      <c r="P229" s="6"/>
      <c r="Q229" s="6"/>
      <c r="R229" s="6"/>
      <c r="S229" s="6"/>
      <c r="T229" s="6"/>
      <c r="U229" s="6"/>
      <c r="V229" s="32">
        <f>IF(COUNTBLANK(X228)=1,(V228*'Config.'!$D$9)+V228,(X228*'Config.'!$D$9)+X228)</f>
        <v>14141954.180963028</v>
      </c>
      <c r="W229" s="29" t="str">
        <f>IF(COUNTBLANK(X229)=1,IF(V229&lt;='Config.'!$D$7,"meta","nops"),"")</f>
        <v>nops</v>
      </c>
      <c r="X229" s="54"/>
    </row>
    <row r="230" spans="1:24" ht="19.5" customHeight="1">
      <c r="A230" s="44" t="s">
        <v>31</v>
      </c>
      <c r="B230" s="45">
        <v>227</v>
      </c>
      <c r="C230" s="46">
        <f>IF(COUNTBLANK(I229)=1,(C229*'Config.'!$D$9)+C229,(I229*'Config.'!$D$9)+I229)</f>
        <v>15881708.733561434</v>
      </c>
      <c r="D230" s="46">
        <f>IF(COUNTBLANK(I229)=1,I229*'Config.'!$D$11,I229*'Config.'!$D$11)</f>
        <v>0</v>
      </c>
      <c r="E230" s="46">
        <f t="shared" si="17"/>
        <v>756271.84445530735</v>
      </c>
      <c r="F230" s="47"/>
      <c r="G230" s="48" t="str">
        <f t="shared" si="15"/>
        <v>-</v>
      </c>
      <c r="H230" s="29" t="str">
        <f>IF(COUNTBLANK(I230)=1,IF(C230&lt;='Config.'!$D$7,"meta","nops"),"")</f>
        <v>nops</v>
      </c>
      <c r="I230" s="55"/>
      <c r="J230" s="65"/>
      <c r="K230" s="15"/>
      <c r="L230" s="15"/>
      <c r="M230" s="51" t="str">
        <f t="shared" si="18"/>
        <v/>
      </c>
      <c r="N230" s="51" t="str">
        <f t="shared" si="16"/>
        <v/>
      </c>
      <c r="O230" s="57" t="str">
        <f t="shared" si="19"/>
        <v/>
      </c>
      <c r="P230" s="6"/>
      <c r="Q230" s="6"/>
      <c r="R230" s="6"/>
      <c r="S230" s="6"/>
      <c r="T230" s="6"/>
      <c r="U230" s="6"/>
      <c r="V230" s="32">
        <f>IF(COUNTBLANK(X229)=1,(V229*'Config.'!$D$9)+V229,(X229*'Config.'!$D$9)+X229)</f>
        <v>14849051.89001118</v>
      </c>
      <c r="W230" s="29" t="str">
        <f>IF(COUNTBLANK(X230)=1,IF(V230&lt;='Config.'!$D$7,"meta","nops"),"")</f>
        <v>nops</v>
      </c>
      <c r="X230" s="54"/>
    </row>
    <row r="231" spans="1:24" ht="19.5" customHeight="1">
      <c r="A231" s="44" t="s">
        <v>31</v>
      </c>
      <c r="B231" s="45">
        <v>228</v>
      </c>
      <c r="C231" s="46">
        <f>IF(COUNTBLANK(I230)=1,(C230*'Config.'!$D$9)+C230,(I230*'Config.'!$D$9)+I230)</f>
        <v>16675794.170239506</v>
      </c>
      <c r="D231" s="46">
        <f>IF(COUNTBLANK(I230)=1,I230*'Config.'!$D$11,I230*'Config.'!$D$11)</f>
        <v>0</v>
      </c>
      <c r="E231" s="46">
        <f t="shared" si="17"/>
        <v>794085.43667807244</v>
      </c>
      <c r="F231" s="47"/>
      <c r="G231" s="48" t="str">
        <f t="shared" si="15"/>
        <v>-</v>
      </c>
      <c r="H231" s="29" t="str">
        <f>IF(COUNTBLANK(I231)=1,IF(C231&lt;='Config.'!$D$7,"meta","nops"),"")</f>
        <v>nops</v>
      </c>
      <c r="I231" s="55"/>
      <c r="J231" s="65"/>
      <c r="K231" s="15"/>
      <c r="L231" s="15"/>
      <c r="M231" s="51" t="str">
        <f t="shared" si="18"/>
        <v/>
      </c>
      <c r="N231" s="51" t="str">
        <f t="shared" si="16"/>
        <v/>
      </c>
      <c r="O231" s="57" t="str">
        <f t="shared" si="19"/>
        <v/>
      </c>
      <c r="P231" s="6"/>
      <c r="Q231" s="6"/>
      <c r="R231" s="6"/>
      <c r="S231" s="6"/>
      <c r="T231" s="6"/>
      <c r="U231" s="6"/>
      <c r="V231" s="32">
        <f>IF(COUNTBLANK(X230)=1,(V230*'Config.'!$D$9)+V230,(X230*'Config.'!$D$9)+X230)</f>
        <v>15591504.484511739</v>
      </c>
      <c r="W231" s="29" t="str">
        <f>IF(COUNTBLANK(X231)=1,IF(V231&lt;='Config.'!$D$7,"meta","nops"),"")</f>
        <v>nops</v>
      </c>
      <c r="X231" s="54"/>
    </row>
    <row r="232" spans="1:24" ht="19.5" customHeight="1">
      <c r="A232" s="44" t="s">
        <v>31</v>
      </c>
      <c r="B232" s="45">
        <v>229</v>
      </c>
      <c r="C232" s="46">
        <f>IF(COUNTBLANK(I231)=1,(C231*'Config.'!$D$9)+C231,(I231*'Config.'!$D$9)+I231)</f>
        <v>17509583.878751483</v>
      </c>
      <c r="D232" s="46">
        <f>IF(COUNTBLANK(I231)=1,I231*'Config.'!$D$11,I231*'Config.'!$D$11)</f>
        <v>0</v>
      </c>
      <c r="E232" s="46">
        <f t="shared" si="17"/>
        <v>833789.70851197653</v>
      </c>
      <c r="F232" s="47"/>
      <c r="G232" s="48" t="str">
        <f t="shared" si="15"/>
        <v>-</v>
      </c>
      <c r="H232" s="29" t="str">
        <f>IF(COUNTBLANK(I232)=1,IF(C232&lt;='Config.'!$D$7,"meta","nops"),"")</f>
        <v>nops</v>
      </c>
      <c r="I232" s="55"/>
      <c r="J232" s="65"/>
      <c r="K232" s="15"/>
      <c r="L232" s="15"/>
      <c r="M232" s="51" t="str">
        <f t="shared" si="18"/>
        <v/>
      </c>
      <c r="N232" s="51" t="str">
        <f t="shared" si="16"/>
        <v/>
      </c>
      <c r="O232" s="57" t="str">
        <f t="shared" si="19"/>
        <v/>
      </c>
      <c r="P232" s="6"/>
      <c r="Q232" s="6"/>
      <c r="R232" s="6"/>
      <c r="S232" s="6"/>
      <c r="T232" s="6"/>
      <c r="U232" s="6"/>
      <c r="V232" s="32">
        <f>IF(COUNTBLANK(X231)=1,(V231*'Config.'!$D$9)+V231,(X231*'Config.'!$D$9)+X231)</f>
        <v>16371079.708737325</v>
      </c>
      <c r="W232" s="29" t="str">
        <f>IF(COUNTBLANK(X232)=1,IF(V232&lt;='Config.'!$D$7,"meta","nops"),"")</f>
        <v>nops</v>
      </c>
      <c r="X232" s="54"/>
    </row>
    <row r="233" spans="1:24" ht="19.5" customHeight="1">
      <c r="A233" s="44" t="s">
        <v>31</v>
      </c>
      <c r="B233" s="45">
        <v>230</v>
      </c>
      <c r="C233" s="46">
        <f>IF(COUNTBLANK(I232)=1,(C232*'Config.'!$D$9)+C232,(I232*'Config.'!$D$9)+I232)</f>
        <v>18385063.072689056</v>
      </c>
      <c r="D233" s="46">
        <f>IF(COUNTBLANK(I232)=1,I232*'Config.'!$D$11,I232*'Config.'!$D$11)</f>
        <v>0</v>
      </c>
      <c r="E233" s="46">
        <f t="shared" si="17"/>
        <v>875479.19393757358</v>
      </c>
      <c r="F233" s="47"/>
      <c r="G233" s="48" t="str">
        <f t="shared" si="15"/>
        <v>-</v>
      </c>
      <c r="H233" s="29" t="str">
        <f>IF(COUNTBLANK(I233)=1,IF(C233&lt;='Config.'!$D$7,"meta","nops"),"")</f>
        <v>nops</v>
      </c>
      <c r="I233" s="55"/>
      <c r="J233" s="65"/>
      <c r="K233" s="15"/>
      <c r="L233" s="15"/>
      <c r="M233" s="51" t="str">
        <f t="shared" si="18"/>
        <v/>
      </c>
      <c r="N233" s="51" t="str">
        <f t="shared" si="16"/>
        <v/>
      </c>
      <c r="O233" s="57" t="str">
        <f t="shared" si="19"/>
        <v/>
      </c>
      <c r="P233" s="6"/>
      <c r="Q233" s="6"/>
      <c r="R233" s="6"/>
      <c r="S233" s="6"/>
      <c r="T233" s="6"/>
      <c r="U233" s="6"/>
      <c r="V233" s="32">
        <f>IF(COUNTBLANK(X232)=1,(V232*'Config.'!$D$9)+V232,(X232*'Config.'!$D$9)+X232)</f>
        <v>17189633.694174193</v>
      </c>
      <c r="W233" s="29" t="str">
        <f>IF(COUNTBLANK(X233)=1,IF(V233&lt;='Config.'!$D$7,"meta","nops"),"")</f>
        <v>nops</v>
      </c>
      <c r="X233" s="54"/>
    </row>
    <row r="234" spans="1:24" ht="19.5" customHeight="1">
      <c r="A234" s="44" t="s">
        <v>31</v>
      </c>
      <c r="B234" s="45">
        <v>231</v>
      </c>
      <c r="C234" s="46">
        <f>IF(COUNTBLANK(I233)=1,(C233*'Config.'!$D$9)+C233,(I233*'Config.'!$D$9)+I233)</f>
        <v>19304316.226323508</v>
      </c>
      <c r="D234" s="46">
        <f>IF(COUNTBLANK(I233)=1,I233*'Config.'!$D$11,I233*'Config.'!$D$11)</f>
        <v>0</v>
      </c>
      <c r="E234" s="46">
        <f t="shared" si="17"/>
        <v>919253.15363445133</v>
      </c>
      <c r="F234" s="47"/>
      <c r="G234" s="48" t="str">
        <f t="shared" si="15"/>
        <v>-</v>
      </c>
      <c r="H234" s="29" t="str">
        <f>IF(COUNTBLANK(I234)=1,IF(C234&lt;='Config.'!$D$7,"meta","nops"),"")</f>
        <v>nops</v>
      </c>
      <c r="I234" s="55"/>
      <c r="J234" s="65"/>
      <c r="K234" s="15"/>
      <c r="L234" s="15"/>
      <c r="M234" s="51" t="str">
        <f t="shared" si="18"/>
        <v/>
      </c>
      <c r="N234" s="51" t="str">
        <f t="shared" si="16"/>
        <v/>
      </c>
      <c r="O234" s="57" t="str">
        <f t="shared" si="19"/>
        <v/>
      </c>
      <c r="P234" s="6"/>
      <c r="Q234" s="6"/>
      <c r="R234" s="6"/>
      <c r="S234" s="6"/>
      <c r="T234" s="6"/>
      <c r="U234" s="6"/>
      <c r="V234" s="32">
        <f>IF(COUNTBLANK(X233)=1,(V233*'Config.'!$D$9)+V233,(X233*'Config.'!$D$9)+X233)</f>
        <v>18049115.378882904</v>
      </c>
      <c r="W234" s="29" t="str">
        <f>IF(COUNTBLANK(X234)=1,IF(V234&lt;='Config.'!$D$7,"meta","nops"),"")</f>
        <v>nops</v>
      </c>
      <c r="X234" s="54"/>
    </row>
    <row r="235" spans="1:24" ht="19.5" customHeight="1">
      <c r="A235" s="44" t="s">
        <v>31</v>
      </c>
      <c r="B235" s="45">
        <v>232</v>
      </c>
      <c r="C235" s="46">
        <f>IF(COUNTBLANK(I234)=1,(C234*'Config.'!$D$9)+C234,(I234*'Config.'!$D$9)+I234)</f>
        <v>20269532.037639685</v>
      </c>
      <c r="D235" s="46">
        <f>IF(COUNTBLANK(I234)=1,I234*'Config.'!$D$11,I234*'Config.'!$D$11)</f>
        <v>0</v>
      </c>
      <c r="E235" s="46">
        <f t="shared" si="17"/>
        <v>965215.81131617725</v>
      </c>
      <c r="F235" s="47"/>
      <c r="G235" s="48" t="str">
        <f t="shared" si="15"/>
        <v>-</v>
      </c>
      <c r="H235" s="29" t="str">
        <f>IF(COUNTBLANK(I235)=1,IF(C235&lt;='Config.'!$D$7,"meta","nops"),"")</f>
        <v>nops</v>
      </c>
      <c r="I235" s="55"/>
      <c r="J235" s="65"/>
      <c r="K235" s="15"/>
      <c r="L235" s="15"/>
      <c r="M235" s="51" t="str">
        <f t="shared" si="18"/>
        <v/>
      </c>
      <c r="N235" s="51" t="str">
        <f t="shared" si="16"/>
        <v/>
      </c>
      <c r="O235" s="57" t="str">
        <f t="shared" si="19"/>
        <v/>
      </c>
      <c r="P235" s="6"/>
      <c r="Q235" s="6"/>
      <c r="R235" s="6"/>
      <c r="S235" s="6"/>
      <c r="T235" s="6"/>
      <c r="U235" s="6"/>
      <c r="V235" s="32">
        <f>IF(COUNTBLANK(X234)=1,(V234*'Config.'!$D$9)+V234,(X234*'Config.'!$D$9)+X234)</f>
        <v>18951571.147827048</v>
      </c>
      <c r="W235" s="29" t="str">
        <f>IF(COUNTBLANK(X235)=1,IF(V235&lt;='Config.'!$D$7,"meta","nops"),"")</f>
        <v>nops</v>
      </c>
      <c r="X235" s="54"/>
    </row>
    <row r="236" spans="1:24" ht="19.5" customHeight="1">
      <c r="A236" s="44" t="s">
        <v>31</v>
      </c>
      <c r="B236" s="45">
        <v>233</v>
      </c>
      <c r="C236" s="46">
        <f>IF(COUNTBLANK(I235)=1,(C235*'Config.'!$D$9)+C235,(I235*'Config.'!$D$9)+I235)</f>
        <v>21283008.63952167</v>
      </c>
      <c r="D236" s="46">
        <f>IF(COUNTBLANK(I235)=1,I235*'Config.'!$D$11,I235*'Config.'!$D$11)</f>
        <v>0</v>
      </c>
      <c r="E236" s="46">
        <f t="shared" si="17"/>
        <v>1013476.6018819846</v>
      </c>
      <c r="F236" s="47"/>
      <c r="G236" s="48" t="str">
        <f t="shared" si="15"/>
        <v>-</v>
      </c>
      <c r="H236" s="29" t="str">
        <f>IF(COUNTBLANK(I236)=1,IF(C236&lt;='Config.'!$D$7,"meta","nops"),"")</f>
        <v>nops</v>
      </c>
      <c r="I236" s="55"/>
      <c r="J236" s="65"/>
      <c r="K236" s="15"/>
      <c r="L236" s="15"/>
      <c r="M236" s="51" t="str">
        <f t="shared" si="18"/>
        <v/>
      </c>
      <c r="N236" s="51" t="str">
        <f t="shared" si="16"/>
        <v/>
      </c>
      <c r="O236" s="57" t="str">
        <f t="shared" si="19"/>
        <v/>
      </c>
      <c r="P236" s="6"/>
      <c r="Q236" s="6"/>
      <c r="R236" s="6"/>
      <c r="S236" s="6"/>
      <c r="T236" s="6"/>
      <c r="U236" s="6"/>
      <c r="V236" s="32">
        <f>IF(COUNTBLANK(X235)=1,(V235*'Config.'!$D$9)+V235,(X235*'Config.'!$D$9)+X235)</f>
        <v>19899149.705218401</v>
      </c>
      <c r="W236" s="29" t="str">
        <f>IF(COUNTBLANK(X236)=1,IF(V236&lt;='Config.'!$D$7,"meta","nops"),"")</f>
        <v>nops</v>
      </c>
      <c r="X236" s="54"/>
    </row>
    <row r="237" spans="1:24" ht="19.5" customHeight="1">
      <c r="A237" s="44" t="s">
        <v>31</v>
      </c>
      <c r="B237" s="45">
        <v>234</v>
      </c>
      <c r="C237" s="46">
        <f>IF(COUNTBLANK(I236)=1,(C236*'Config.'!$D$9)+C236,(I236*'Config.'!$D$9)+I236)</f>
        <v>22347159.071497753</v>
      </c>
      <c r="D237" s="46">
        <f>IF(COUNTBLANK(I236)=1,I236*'Config.'!$D$11,I236*'Config.'!$D$11)</f>
        <v>0</v>
      </c>
      <c r="E237" s="46">
        <f t="shared" si="17"/>
        <v>1064150.4319760837</v>
      </c>
      <c r="F237" s="47"/>
      <c r="G237" s="48" t="str">
        <f t="shared" si="15"/>
        <v>-</v>
      </c>
      <c r="H237" s="29" t="str">
        <f>IF(COUNTBLANK(I237)=1,IF(C237&lt;='Config.'!$D$7,"meta","nops"),"")</f>
        <v>nops</v>
      </c>
      <c r="I237" s="55"/>
      <c r="J237" s="65"/>
      <c r="K237" s="15"/>
      <c r="L237" s="15"/>
      <c r="M237" s="51" t="str">
        <f t="shared" si="18"/>
        <v/>
      </c>
      <c r="N237" s="51" t="str">
        <f t="shared" si="16"/>
        <v/>
      </c>
      <c r="O237" s="57" t="str">
        <f t="shared" si="19"/>
        <v/>
      </c>
      <c r="P237" s="6"/>
      <c r="Q237" s="6"/>
      <c r="R237" s="6"/>
      <c r="S237" s="6"/>
      <c r="T237" s="6"/>
      <c r="U237" s="6"/>
      <c r="V237" s="32">
        <f>IF(COUNTBLANK(X236)=1,(V236*'Config.'!$D$9)+V236,(X236*'Config.'!$D$9)+X236)</f>
        <v>20894107.19047932</v>
      </c>
      <c r="W237" s="29" t="str">
        <f>IF(COUNTBLANK(X237)=1,IF(V237&lt;='Config.'!$D$7,"meta","nops"),"")</f>
        <v>nops</v>
      </c>
      <c r="X237" s="54"/>
    </row>
    <row r="238" spans="1:24" ht="19.5" customHeight="1">
      <c r="A238" s="44" t="s">
        <v>31</v>
      </c>
      <c r="B238" s="45">
        <v>235</v>
      </c>
      <c r="C238" s="46">
        <f>IF(COUNTBLANK(I237)=1,(C237*'Config.'!$D$9)+C237,(I237*'Config.'!$D$9)+I237)</f>
        <v>23464517.025072642</v>
      </c>
      <c r="D238" s="46">
        <f>IF(COUNTBLANK(I237)=1,I237*'Config.'!$D$11,I237*'Config.'!$D$11)</f>
        <v>0</v>
      </c>
      <c r="E238" s="46">
        <f t="shared" si="17"/>
        <v>1117357.9535748884</v>
      </c>
      <c r="F238" s="47"/>
      <c r="G238" s="48" t="str">
        <f t="shared" si="15"/>
        <v>-</v>
      </c>
      <c r="H238" s="29" t="str">
        <f>IF(COUNTBLANK(I238)=1,IF(C238&lt;='Config.'!$D$7,"meta","nops"),"")</f>
        <v>nops</v>
      </c>
      <c r="I238" s="55"/>
      <c r="J238" s="65"/>
      <c r="K238" s="15"/>
      <c r="L238" s="15"/>
      <c r="M238" s="51" t="str">
        <f t="shared" si="18"/>
        <v/>
      </c>
      <c r="N238" s="51" t="str">
        <f t="shared" si="16"/>
        <v/>
      </c>
      <c r="O238" s="57" t="str">
        <f t="shared" si="19"/>
        <v/>
      </c>
      <c r="P238" s="6"/>
      <c r="Q238" s="6"/>
      <c r="R238" s="6"/>
      <c r="S238" s="6"/>
      <c r="T238" s="6"/>
      <c r="U238" s="6"/>
      <c r="V238" s="32">
        <f>IF(COUNTBLANK(X237)=1,(V237*'Config.'!$D$9)+V237,(X237*'Config.'!$D$9)+X237)</f>
        <v>21938812.550003286</v>
      </c>
      <c r="W238" s="29" t="str">
        <f>IF(COUNTBLANK(X238)=1,IF(V238&lt;='Config.'!$D$7,"meta","nops"),"")</f>
        <v>nops</v>
      </c>
      <c r="X238" s="54"/>
    </row>
    <row r="239" spans="1:24" ht="19.5" customHeight="1">
      <c r="A239" s="44" t="s">
        <v>31</v>
      </c>
      <c r="B239" s="45">
        <v>236</v>
      </c>
      <c r="C239" s="46">
        <f>IF(COUNTBLANK(I238)=1,(C238*'Config.'!$D$9)+C238,(I238*'Config.'!$D$9)+I238)</f>
        <v>24637742.876326274</v>
      </c>
      <c r="D239" s="46">
        <f>IF(COUNTBLANK(I238)=1,I238*'Config.'!$D$11,I238*'Config.'!$D$11)</f>
        <v>0</v>
      </c>
      <c r="E239" s="46">
        <f t="shared" si="17"/>
        <v>1173225.8512536325</v>
      </c>
      <c r="F239" s="47"/>
      <c r="G239" s="48" t="str">
        <f t="shared" si="15"/>
        <v>-</v>
      </c>
      <c r="H239" s="29" t="str">
        <f>IF(COUNTBLANK(I239)=1,IF(C239&lt;='Config.'!$D$7,"meta","nops"),"")</f>
        <v>nops</v>
      </c>
      <c r="I239" s="55"/>
      <c r="J239" s="65"/>
      <c r="K239" s="15"/>
      <c r="L239" s="15"/>
      <c r="M239" s="51" t="str">
        <f t="shared" si="18"/>
        <v/>
      </c>
      <c r="N239" s="51" t="str">
        <f t="shared" si="16"/>
        <v/>
      </c>
      <c r="O239" s="57" t="str">
        <f t="shared" si="19"/>
        <v/>
      </c>
      <c r="P239" s="6"/>
      <c r="Q239" s="6"/>
      <c r="R239" s="6"/>
      <c r="S239" s="6"/>
      <c r="T239" s="6"/>
      <c r="U239" s="6"/>
      <c r="V239" s="32">
        <f>IF(COUNTBLANK(X238)=1,(V238*'Config.'!$D$9)+V238,(X238*'Config.'!$D$9)+X238)</f>
        <v>23035753.177503452</v>
      </c>
      <c r="W239" s="29" t="str">
        <f>IF(COUNTBLANK(X239)=1,IF(V239&lt;='Config.'!$D$7,"meta","nops"),"")</f>
        <v>nops</v>
      </c>
      <c r="X239" s="54"/>
    </row>
    <row r="240" spans="1:24" ht="19.5" customHeight="1">
      <c r="A240" s="44" t="s">
        <v>31</v>
      </c>
      <c r="B240" s="45">
        <v>237</v>
      </c>
      <c r="C240" s="46">
        <f>IF(COUNTBLANK(I239)=1,(C239*'Config.'!$D$9)+C239,(I239*'Config.'!$D$9)+I239)</f>
        <v>25869630.020142589</v>
      </c>
      <c r="D240" s="46">
        <f>IF(COUNTBLANK(I239)=1,I239*'Config.'!$D$11,I239*'Config.'!$D$11)</f>
        <v>0</v>
      </c>
      <c r="E240" s="46">
        <f t="shared" si="17"/>
        <v>1231887.1438163146</v>
      </c>
      <c r="F240" s="47"/>
      <c r="G240" s="48" t="str">
        <f t="shared" si="15"/>
        <v>-</v>
      </c>
      <c r="H240" s="29" t="str">
        <f>IF(COUNTBLANK(I240)=1,IF(C240&lt;='Config.'!$D$7,"meta","nops"),"")</f>
        <v>nops</v>
      </c>
      <c r="I240" s="55"/>
      <c r="J240" s="65"/>
      <c r="K240" s="15"/>
      <c r="L240" s="15"/>
      <c r="M240" s="51" t="str">
        <f t="shared" si="18"/>
        <v/>
      </c>
      <c r="N240" s="51" t="str">
        <f t="shared" si="16"/>
        <v/>
      </c>
      <c r="O240" s="57" t="str">
        <f t="shared" si="19"/>
        <v/>
      </c>
      <c r="P240" s="6"/>
      <c r="Q240" s="6"/>
      <c r="R240" s="6"/>
      <c r="S240" s="6"/>
      <c r="T240" s="6"/>
      <c r="U240" s="6"/>
      <c r="V240" s="32">
        <f>IF(COUNTBLANK(X239)=1,(V239*'Config.'!$D$9)+V239,(X239*'Config.'!$D$9)+X239)</f>
        <v>24187540.836378623</v>
      </c>
      <c r="W240" s="29" t="str">
        <f>IF(COUNTBLANK(X240)=1,IF(V240&lt;='Config.'!$D$7,"meta","nops"),"")</f>
        <v>nops</v>
      </c>
      <c r="X240" s="54"/>
    </row>
    <row r="241" spans="1:24" ht="19.5" customHeight="1">
      <c r="A241" s="44" t="s">
        <v>31</v>
      </c>
      <c r="B241" s="45">
        <v>238</v>
      </c>
      <c r="C241" s="46">
        <f>IF(COUNTBLANK(I240)=1,(C240*'Config.'!$D$9)+C240,(I240*'Config.'!$D$9)+I240)</f>
        <v>27163111.521149717</v>
      </c>
      <c r="D241" s="46">
        <f>IF(COUNTBLANK(I240)=1,I240*'Config.'!$D$11,I240*'Config.'!$D$11)</f>
        <v>0</v>
      </c>
      <c r="E241" s="46">
        <f t="shared" si="17"/>
        <v>1293481.5010071285</v>
      </c>
      <c r="F241" s="47"/>
      <c r="G241" s="48" t="str">
        <f t="shared" si="15"/>
        <v>-</v>
      </c>
      <c r="H241" s="29" t="str">
        <f>IF(COUNTBLANK(I241)=1,IF(C241&lt;='Config.'!$D$7,"meta","nops"),"")</f>
        <v>nops</v>
      </c>
      <c r="I241" s="55"/>
      <c r="J241" s="65"/>
      <c r="K241" s="15"/>
      <c r="L241" s="15"/>
      <c r="M241" s="51" t="str">
        <f t="shared" si="18"/>
        <v/>
      </c>
      <c r="N241" s="51" t="str">
        <f t="shared" si="16"/>
        <v/>
      </c>
      <c r="O241" s="57" t="str">
        <f t="shared" si="19"/>
        <v/>
      </c>
      <c r="P241" s="6"/>
      <c r="Q241" s="6"/>
      <c r="R241" s="6"/>
      <c r="S241" s="6"/>
      <c r="T241" s="6"/>
      <c r="U241" s="6"/>
      <c r="V241" s="32">
        <f>IF(COUNTBLANK(X240)=1,(V240*'Config.'!$D$9)+V240,(X240*'Config.'!$D$9)+X240)</f>
        <v>25396917.878197554</v>
      </c>
      <c r="W241" s="29" t="str">
        <f>IF(COUNTBLANK(X241)=1,IF(V241&lt;='Config.'!$D$7,"meta","nops"),"")</f>
        <v>nops</v>
      </c>
      <c r="X241" s="54"/>
    </row>
    <row r="242" spans="1:24" ht="19.5" customHeight="1">
      <c r="A242" s="44" t="s">
        <v>31</v>
      </c>
      <c r="B242" s="45">
        <v>239</v>
      </c>
      <c r="C242" s="46">
        <f>IF(COUNTBLANK(I241)=1,(C241*'Config.'!$D$9)+C241,(I241*'Config.'!$D$9)+I241)</f>
        <v>28521267.097207204</v>
      </c>
      <c r="D242" s="46">
        <f>IF(COUNTBLANK(I241)=1,I241*'Config.'!$D$11,I241*'Config.'!$D$11)</f>
        <v>0</v>
      </c>
      <c r="E242" s="46">
        <f t="shared" si="17"/>
        <v>1358155.5760574862</v>
      </c>
      <c r="F242" s="47"/>
      <c r="G242" s="48" t="str">
        <f t="shared" si="15"/>
        <v>-</v>
      </c>
      <c r="H242" s="29" t="str">
        <f>IF(COUNTBLANK(I242)=1,IF(C242&lt;='Config.'!$D$7,"meta","nops"),"")</f>
        <v>nops</v>
      </c>
      <c r="I242" s="55"/>
      <c r="J242" s="65"/>
      <c r="K242" s="15"/>
      <c r="L242" s="15"/>
      <c r="M242" s="51" t="str">
        <f t="shared" si="18"/>
        <v/>
      </c>
      <c r="N242" s="51" t="str">
        <f t="shared" si="16"/>
        <v/>
      </c>
      <c r="O242" s="57" t="str">
        <f t="shared" si="19"/>
        <v/>
      </c>
      <c r="P242" s="6"/>
      <c r="Q242" s="6"/>
      <c r="R242" s="6"/>
      <c r="S242" s="6"/>
      <c r="T242" s="6"/>
      <c r="U242" s="6"/>
      <c r="V242" s="32">
        <f>IF(COUNTBLANK(X241)=1,(V241*'Config.'!$D$9)+V241,(X241*'Config.'!$D$9)+X241)</f>
        <v>26666763.772107434</v>
      </c>
      <c r="W242" s="29" t="str">
        <f>IF(COUNTBLANK(X242)=1,IF(V242&lt;='Config.'!$D$7,"meta","nops"),"")</f>
        <v>nops</v>
      </c>
      <c r="X242" s="54"/>
    </row>
    <row r="243" spans="1:24" ht="19.5" customHeight="1">
      <c r="A243" s="44" t="s">
        <v>31</v>
      </c>
      <c r="B243" s="45">
        <v>240</v>
      </c>
      <c r="C243" s="46">
        <f>IF(COUNTBLANK(I242)=1,(C242*'Config.'!$D$9)+C242,(I242*'Config.'!$D$9)+I242)</f>
        <v>29947330.452067565</v>
      </c>
      <c r="D243" s="46">
        <f>IF(COUNTBLANK(I242)=1,I242*'Config.'!$D$11,I242*'Config.'!$D$11)</f>
        <v>0</v>
      </c>
      <c r="E243" s="46">
        <f t="shared" si="17"/>
        <v>1426063.3548603617</v>
      </c>
      <c r="F243" s="47"/>
      <c r="G243" s="48" t="str">
        <f t="shared" si="15"/>
        <v>-</v>
      </c>
      <c r="H243" s="29" t="str">
        <f>IF(COUNTBLANK(I243)=1,IF(C243&lt;='Config.'!$D$7,"meta","nops"),"")</f>
        <v>nops</v>
      </c>
      <c r="I243" s="55"/>
      <c r="J243" s="65"/>
      <c r="K243" s="15"/>
      <c r="L243" s="15"/>
      <c r="M243" s="51" t="str">
        <f t="shared" si="18"/>
        <v/>
      </c>
      <c r="N243" s="51" t="str">
        <f t="shared" si="16"/>
        <v/>
      </c>
      <c r="O243" s="57" t="str">
        <f t="shared" si="19"/>
        <v/>
      </c>
      <c r="P243" s="6"/>
      <c r="Q243" s="6"/>
      <c r="R243" s="6"/>
      <c r="S243" s="6"/>
      <c r="T243" s="6"/>
      <c r="U243" s="6"/>
      <c r="V243" s="32">
        <f>IF(COUNTBLANK(X242)=1,(V242*'Config.'!$D$9)+V242,(X242*'Config.'!$D$9)+X242)</f>
        <v>28000101.960712805</v>
      </c>
      <c r="W243" s="29" t="str">
        <f>IF(COUNTBLANK(X243)=1,IF(V243&lt;='Config.'!$D$7,"meta","nops"),"")</f>
        <v>nops</v>
      </c>
      <c r="X243" s="54"/>
    </row>
    <row r="244" spans="1:24" ht="19.5" customHeight="1">
      <c r="A244" s="44" t="s">
        <v>31</v>
      </c>
      <c r="B244" s="45">
        <v>241</v>
      </c>
      <c r="C244" s="46">
        <f>IF(COUNTBLANK(I243)=1,(C243*'Config.'!$D$9)+C243,(I243*'Config.'!$D$9)+I243)</f>
        <v>31444696.974670943</v>
      </c>
      <c r="D244" s="46">
        <f>IF(COUNTBLANK(I243)=1,I243*'Config.'!$D$11,I243*'Config.'!$D$11)</f>
        <v>0</v>
      </c>
      <c r="E244" s="46">
        <f t="shared" si="17"/>
        <v>1497366.5226033777</v>
      </c>
      <c r="F244" s="47"/>
      <c r="G244" s="48" t="str">
        <f t="shared" si="15"/>
        <v>-</v>
      </c>
      <c r="H244" s="29" t="str">
        <f>IF(COUNTBLANK(I244)=1,IF(C244&lt;='Config.'!$D$7,"meta","nops"),"")</f>
        <v>nops</v>
      </c>
      <c r="I244" s="55"/>
      <c r="J244" s="65"/>
      <c r="K244" s="15"/>
      <c r="L244" s="15"/>
      <c r="M244" s="51" t="str">
        <f t="shared" si="18"/>
        <v/>
      </c>
      <c r="N244" s="51" t="str">
        <f t="shared" si="16"/>
        <v/>
      </c>
      <c r="O244" s="57" t="str">
        <f t="shared" si="19"/>
        <v/>
      </c>
      <c r="P244" s="6"/>
      <c r="Q244" s="6"/>
      <c r="R244" s="6"/>
      <c r="S244" s="6"/>
      <c r="T244" s="6"/>
      <c r="U244" s="6"/>
      <c r="V244" s="32">
        <f>IF(COUNTBLANK(X243)=1,(V243*'Config.'!$D$9)+V243,(X243*'Config.'!$D$9)+X243)</f>
        <v>29400107.058748446</v>
      </c>
      <c r="W244" s="29" t="str">
        <f>IF(COUNTBLANK(X244)=1,IF(V244&lt;='Config.'!$D$7,"meta","nops"),"")</f>
        <v>nops</v>
      </c>
      <c r="X244" s="54"/>
    </row>
    <row r="245" spans="1:24" ht="19.5" customHeight="1">
      <c r="A245" s="44" t="s">
        <v>31</v>
      </c>
      <c r="B245" s="45">
        <v>242</v>
      </c>
      <c r="C245" s="46">
        <f>IF(COUNTBLANK(I244)=1,(C244*'Config.'!$D$9)+C244,(I244*'Config.'!$D$9)+I244)</f>
        <v>33016931.823404491</v>
      </c>
      <c r="D245" s="46">
        <f>IF(COUNTBLANK(I244)=1,I244*'Config.'!$D$11,I244*'Config.'!$D$11)</f>
        <v>0</v>
      </c>
      <c r="E245" s="46">
        <f t="shared" si="17"/>
        <v>1572234.8487335481</v>
      </c>
      <c r="F245" s="47"/>
      <c r="G245" s="48" t="str">
        <f t="shared" si="15"/>
        <v>-</v>
      </c>
      <c r="H245" s="29" t="str">
        <f>IF(COUNTBLANK(I245)=1,IF(C245&lt;='Config.'!$D$7,"meta","nops"),"")</f>
        <v>nops</v>
      </c>
      <c r="I245" s="55"/>
      <c r="J245" s="65"/>
      <c r="K245" s="15"/>
      <c r="L245" s="15"/>
      <c r="M245" s="51" t="str">
        <f t="shared" si="18"/>
        <v/>
      </c>
      <c r="N245" s="51" t="str">
        <f t="shared" si="16"/>
        <v/>
      </c>
      <c r="O245" s="57" t="str">
        <f t="shared" si="19"/>
        <v/>
      </c>
      <c r="P245" s="6"/>
      <c r="Q245" s="6"/>
      <c r="R245" s="6"/>
      <c r="S245" s="6"/>
      <c r="T245" s="6"/>
      <c r="U245" s="6"/>
      <c r="V245" s="32">
        <f>IF(COUNTBLANK(X244)=1,(V244*'Config.'!$D$9)+V244,(X244*'Config.'!$D$9)+X244)</f>
        <v>30870112.411685869</v>
      </c>
      <c r="W245" s="29" t="str">
        <f>IF(COUNTBLANK(X245)=1,IF(V245&lt;='Config.'!$D$7,"meta","nops"),"")</f>
        <v>nops</v>
      </c>
      <c r="X245" s="54"/>
    </row>
    <row r="246" spans="1:24" ht="19.5" customHeight="1">
      <c r="A246" s="44" t="s">
        <v>31</v>
      </c>
      <c r="B246" s="45">
        <v>243</v>
      </c>
      <c r="C246" s="46">
        <f>IF(COUNTBLANK(I245)=1,(C245*'Config.'!$D$9)+C245,(I245*'Config.'!$D$9)+I245)</f>
        <v>34667778.414574713</v>
      </c>
      <c r="D246" s="46">
        <f>IF(COUNTBLANK(I245)=1,I245*'Config.'!$D$11,I245*'Config.'!$D$11)</f>
        <v>0</v>
      </c>
      <c r="E246" s="46">
        <f t="shared" si="17"/>
        <v>1650846.5911702216</v>
      </c>
      <c r="F246" s="47"/>
      <c r="G246" s="48" t="str">
        <f t="shared" si="15"/>
        <v>-</v>
      </c>
      <c r="H246" s="29" t="str">
        <f>IF(COUNTBLANK(I246)=1,IF(C246&lt;='Config.'!$D$7,"meta","nops"),"")</f>
        <v>nops</v>
      </c>
      <c r="I246" s="55"/>
      <c r="J246" s="65"/>
      <c r="K246" s="15"/>
      <c r="L246" s="15"/>
      <c r="M246" s="51" t="str">
        <f t="shared" si="18"/>
        <v/>
      </c>
      <c r="N246" s="51" t="str">
        <f t="shared" si="16"/>
        <v/>
      </c>
      <c r="O246" s="57" t="str">
        <f t="shared" si="19"/>
        <v/>
      </c>
      <c r="P246" s="6"/>
      <c r="Q246" s="6"/>
      <c r="R246" s="6"/>
      <c r="S246" s="6"/>
      <c r="T246" s="6"/>
      <c r="U246" s="6"/>
      <c r="V246" s="32">
        <f>IF(COUNTBLANK(X245)=1,(V245*'Config.'!$D$9)+V245,(X245*'Config.'!$D$9)+X245)</f>
        <v>32413618.032270163</v>
      </c>
      <c r="W246" s="29" t="str">
        <f>IF(COUNTBLANK(X246)=1,IF(V246&lt;='Config.'!$D$7,"meta","nops"),"")</f>
        <v>nops</v>
      </c>
      <c r="X246" s="54"/>
    </row>
    <row r="247" spans="1:24" ht="19.5" customHeight="1">
      <c r="A247" s="44" t="s">
        <v>31</v>
      </c>
      <c r="B247" s="45">
        <v>244</v>
      </c>
      <c r="C247" s="46">
        <f>IF(COUNTBLANK(I246)=1,(C246*'Config.'!$D$9)+C246,(I246*'Config.'!$D$9)+I246)</f>
        <v>36401167.335303448</v>
      </c>
      <c r="D247" s="46">
        <f>IF(COUNTBLANK(I246)=1,I246*'Config.'!$D$11,I246*'Config.'!$D$11)</f>
        <v>0</v>
      </c>
      <c r="E247" s="46">
        <f t="shared" si="17"/>
        <v>1733388.9207287356</v>
      </c>
      <c r="F247" s="47"/>
      <c r="G247" s="48" t="str">
        <f t="shared" si="15"/>
        <v>-</v>
      </c>
      <c r="H247" s="29" t="str">
        <f>IF(COUNTBLANK(I247)=1,IF(C247&lt;='Config.'!$D$7,"meta","nops"),"")</f>
        <v>nops</v>
      </c>
      <c r="I247" s="55"/>
      <c r="J247" s="65"/>
      <c r="K247" s="15"/>
      <c r="L247" s="15"/>
      <c r="M247" s="51" t="str">
        <f t="shared" si="18"/>
        <v/>
      </c>
      <c r="N247" s="51" t="str">
        <f t="shared" si="16"/>
        <v/>
      </c>
      <c r="O247" s="57" t="str">
        <f t="shared" si="19"/>
        <v/>
      </c>
      <c r="P247" s="6"/>
      <c r="Q247" s="6"/>
      <c r="R247" s="6"/>
      <c r="S247" s="6"/>
      <c r="T247" s="6"/>
      <c r="U247" s="6"/>
      <c r="V247" s="32">
        <f>IF(COUNTBLANK(X246)=1,(V246*'Config.'!$D$9)+V246,(X246*'Config.'!$D$9)+X246)</f>
        <v>34034298.933883674</v>
      </c>
      <c r="W247" s="29" t="str">
        <f>IF(COUNTBLANK(X247)=1,IF(V247&lt;='Config.'!$D$7,"meta","nops"),"")</f>
        <v>nops</v>
      </c>
      <c r="X247" s="54"/>
    </row>
    <row r="248" spans="1:24" ht="19.5" customHeight="1">
      <c r="A248" s="44" t="s">
        <v>31</v>
      </c>
      <c r="B248" s="45">
        <v>245</v>
      </c>
      <c r="C248" s="46">
        <f>IF(COUNTBLANK(I247)=1,(C247*'Config.'!$D$9)+C247,(I247*'Config.'!$D$9)+I247)</f>
        <v>38221225.702068619</v>
      </c>
      <c r="D248" s="46">
        <f>IF(COUNTBLANK(I247)=1,I247*'Config.'!$D$11,I247*'Config.'!$D$11)</f>
        <v>0</v>
      </c>
      <c r="E248" s="46">
        <f t="shared" si="17"/>
        <v>1820058.3667651713</v>
      </c>
      <c r="F248" s="47"/>
      <c r="G248" s="48" t="str">
        <f t="shared" si="15"/>
        <v>-</v>
      </c>
      <c r="H248" s="29" t="str">
        <f>IF(COUNTBLANK(I248)=1,IF(C248&lt;='Config.'!$D$7,"meta","nops"),"")</f>
        <v>nops</v>
      </c>
      <c r="I248" s="55"/>
      <c r="J248" s="65"/>
      <c r="K248" s="15"/>
      <c r="L248" s="15"/>
      <c r="M248" s="51" t="str">
        <f t="shared" si="18"/>
        <v/>
      </c>
      <c r="N248" s="51" t="str">
        <f t="shared" si="16"/>
        <v/>
      </c>
      <c r="O248" s="57" t="str">
        <f t="shared" si="19"/>
        <v/>
      </c>
      <c r="P248" s="6"/>
      <c r="Q248" s="6"/>
      <c r="R248" s="6"/>
      <c r="S248" s="6"/>
      <c r="T248" s="6"/>
      <c r="U248" s="6"/>
      <c r="V248" s="32">
        <f>IF(COUNTBLANK(X247)=1,(V247*'Config.'!$D$9)+V247,(X247*'Config.'!$D$9)+X247)</f>
        <v>35736013.880577855</v>
      </c>
      <c r="W248" s="29" t="str">
        <f>IF(COUNTBLANK(X248)=1,IF(V248&lt;='Config.'!$D$7,"meta","nops"),"")</f>
        <v>nops</v>
      </c>
      <c r="X248" s="54"/>
    </row>
    <row r="249" spans="1:24" ht="19.5" customHeight="1">
      <c r="A249" s="44" t="s">
        <v>31</v>
      </c>
      <c r="B249" s="45">
        <v>246</v>
      </c>
      <c r="C249" s="46">
        <f>IF(COUNTBLANK(I248)=1,(C248*'Config.'!$D$9)+C248,(I248*'Config.'!$D$9)+I248)</f>
        <v>40132286.987172052</v>
      </c>
      <c r="D249" s="46">
        <f>IF(COUNTBLANK(I248)=1,I248*'Config.'!$D$11,I248*'Config.'!$D$11)</f>
        <v>0</v>
      </c>
      <c r="E249" s="46">
        <f t="shared" si="17"/>
        <v>1911061.2851034328</v>
      </c>
      <c r="F249" s="47"/>
      <c r="G249" s="48" t="str">
        <f t="shared" si="15"/>
        <v>-</v>
      </c>
      <c r="H249" s="29" t="str">
        <f>IF(COUNTBLANK(I249)=1,IF(C249&lt;='Config.'!$D$7,"meta","nops"),"")</f>
        <v>nops</v>
      </c>
      <c r="I249" s="55"/>
      <c r="J249" s="65"/>
      <c r="K249" s="15"/>
      <c r="L249" s="15"/>
      <c r="M249" s="51" t="str">
        <f t="shared" si="18"/>
        <v/>
      </c>
      <c r="N249" s="51" t="str">
        <f t="shared" si="16"/>
        <v/>
      </c>
      <c r="O249" s="57" t="str">
        <f t="shared" si="19"/>
        <v/>
      </c>
      <c r="P249" s="6"/>
      <c r="Q249" s="6"/>
      <c r="R249" s="6"/>
      <c r="S249" s="6"/>
      <c r="T249" s="6"/>
      <c r="U249" s="6"/>
      <c r="V249" s="32">
        <f>IF(COUNTBLANK(X248)=1,(V248*'Config.'!$D$9)+V248,(X248*'Config.'!$D$9)+X248)</f>
        <v>37522814.574606746</v>
      </c>
      <c r="W249" s="29" t="str">
        <f>IF(COUNTBLANK(X249)=1,IF(V249&lt;='Config.'!$D$7,"meta","nops"),"")</f>
        <v>nops</v>
      </c>
      <c r="X249" s="54"/>
    </row>
    <row r="250" spans="1:24" ht="19.5" customHeight="1">
      <c r="A250" s="44" t="s">
        <v>31</v>
      </c>
      <c r="B250" s="45">
        <v>247</v>
      </c>
      <c r="C250" s="46">
        <f>IF(COUNTBLANK(I249)=1,(C249*'Config.'!$D$9)+C249,(I249*'Config.'!$D$9)+I249)</f>
        <v>42138901.336530656</v>
      </c>
      <c r="D250" s="46">
        <f>IF(COUNTBLANK(I249)=1,I249*'Config.'!$D$11,I249*'Config.'!$D$11)</f>
        <v>0</v>
      </c>
      <c r="E250" s="46">
        <f t="shared" si="17"/>
        <v>2006614.3493586034</v>
      </c>
      <c r="F250" s="47"/>
      <c r="G250" s="48" t="str">
        <f t="shared" si="15"/>
        <v>-</v>
      </c>
      <c r="H250" s="29" t="str">
        <f>IF(COUNTBLANK(I250)=1,IF(C250&lt;='Config.'!$D$7,"meta","nops"),"")</f>
        <v>nops</v>
      </c>
      <c r="I250" s="55"/>
      <c r="J250" s="65"/>
      <c r="K250" s="15"/>
      <c r="L250" s="15"/>
      <c r="M250" s="51" t="str">
        <f t="shared" si="18"/>
        <v/>
      </c>
      <c r="N250" s="51" t="str">
        <f t="shared" si="16"/>
        <v/>
      </c>
      <c r="O250" s="57" t="str">
        <f t="shared" si="19"/>
        <v/>
      </c>
      <c r="P250" s="6"/>
      <c r="Q250" s="6"/>
      <c r="R250" s="6"/>
      <c r="S250" s="6"/>
      <c r="T250" s="6"/>
      <c r="U250" s="6"/>
      <c r="V250" s="32">
        <f>IF(COUNTBLANK(X249)=1,(V249*'Config.'!$D$9)+V249,(X249*'Config.'!$D$9)+X249)</f>
        <v>39398955.303337082</v>
      </c>
      <c r="W250" s="29" t="str">
        <f>IF(COUNTBLANK(X250)=1,IF(V250&lt;='Config.'!$D$7,"meta","nops"),"")</f>
        <v>nops</v>
      </c>
      <c r="X250" s="54"/>
    </row>
    <row r="251" spans="1:24" ht="19.5" customHeight="1">
      <c r="A251" s="44" t="s">
        <v>31</v>
      </c>
      <c r="B251" s="45">
        <v>248</v>
      </c>
      <c r="C251" s="46">
        <f>IF(COUNTBLANK(I250)=1,(C250*'Config.'!$D$9)+C250,(I250*'Config.'!$D$9)+I250)</f>
        <v>44245846.403357185</v>
      </c>
      <c r="D251" s="46">
        <f>IF(COUNTBLANK(I250)=1,I250*'Config.'!$D$11,I250*'Config.'!$D$11)</f>
        <v>0</v>
      </c>
      <c r="E251" s="46">
        <f t="shared" si="17"/>
        <v>2106945.0668265298</v>
      </c>
      <c r="F251" s="47"/>
      <c r="G251" s="48" t="str">
        <f t="shared" si="15"/>
        <v>-</v>
      </c>
      <c r="H251" s="29" t="str">
        <f>IF(COUNTBLANK(I251)=1,IF(C251&lt;='Config.'!$D$7,"meta","nops"),"")</f>
        <v>nops</v>
      </c>
      <c r="I251" s="55"/>
      <c r="J251" s="65"/>
      <c r="K251" s="15"/>
      <c r="L251" s="15"/>
      <c r="M251" s="51" t="str">
        <f t="shared" si="18"/>
        <v/>
      </c>
      <c r="N251" s="51" t="str">
        <f t="shared" si="16"/>
        <v/>
      </c>
      <c r="O251" s="57" t="str">
        <f t="shared" si="19"/>
        <v/>
      </c>
      <c r="P251" s="6"/>
      <c r="Q251" s="6"/>
      <c r="R251" s="6"/>
      <c r="S251" s="6"/>
      <c r="T251" s="6"/>
      <c r="U251" s="6"/>
      <c r="V251" s="32">
        <f>IF(COUNTBLANK(X250)=1,(V250*'Config.'!$D$9)+V250,(X250*'Config.'!$D$9)+X250)</f>
        <v>41368903.068503939</v>
      </c>
      <c r="W251" s="29" t="str">
        <f>IF(COUNTBLANK(X251)=1,IF(V251&lt;='Config.'!$D$7,"meta","nops"),"")</f>
        <v>nops</v>
      </c>
      <c r="X251" s="54"/>
    </row>
    <row r="252" spans="1:24" ht="19.5" customHeight="1">
      <c r="A252" s="44" t="s">
        <v>31</v>
      </c>
      <c r="B252" s="45">
        <v>249</v>
      </c>
      <c r="C252" s="46">
        <f>IF(COUNTBLANK(I251)=1,(C251*'Config.'!$D$9)+C251,(I251*'Config.'!$D$9)+I251)</f>
        <v>46458138.723525047</v>
      </c>
      <c r="D252" s="46">
        <f>IF(COUNTBLANK(I251)=1,I251*'Config.'!$D$11,I251*'Config.'!$D$11)</f>
        <v>0</v>
      </c>
      <c r="E252" s="46">
        <f t="shared" si="17"/>
        <v>2212292.3201678619</v>
      </c>
      <c r="F252" s="47"/>
      <c r="G252" s="48" t="str">
        <f t="shared" si="15"/>
        <v>-</v>
      </c>
      <c r="H252" s="29" t="str">
        <f>IF(COUNTBLANK(I252)=1,IF(C252&lt;='Config.'!$D$7,"meta","nops"),"")</f>
        <v>nops</v>
      </c>
      <c r="I252" s="55"/>
      <c r="J252" s="65"/>
      <c r="K252" s="15"/>
      <c r="L252" s="15"/>
      <c r="M252" s="51" t="str">
        <f t="shared" si="18"/>
        <v/>
      </c>
      <c r="N252" s="51" t="str">
        <f t="shared" si="16"/>
        <v/>
      </c>
      <c r="O252" s="57" t="str">
        <f t="shared" si="19"/>
        <v/>
      </c>
      <c r="P252" s="6"/>
      <c r="Q252" s="6"/>
      <c r="R252" s="6"/>
      <c r="S252" s="6"/>
      <c r="T252" s="6"/>
      <c r="U252" s="6"/>
      <c r="V252" s="32">
        <f>IF(COUNTBLANK(X251)=1,(V251*'Config.'!$D$9)+V251,(X251*'Config.'!$D$9)+X251)</f>
        <v>43437348.221929133</v>
      </c>
      <c r="W252" s="29" t="str">
        <f>IF(COUNTBLANK(X252)=1,IF(V252&lt;='Config.'!$D$7,"meta","nops"),"")</f>
        <v>nops</v>
      </c>
      <c r="X252" s="54"/>
    </row>
    <row r="253" spans="1:24" ht="19.5" customHeight="1">
      <c r="A253" s="44" t="s">
        <v>31</v>
      </c>
      <c r="B253" s="45">
        <v>250</v>
      </c>
      <c r="C253" s="46">
        <f>IF(COUNTBLANK(I252)=1,(C252*'Config.'!$D$9)+C252,(I252*'Config.'!$D$9)+I252)</f>
        <v>48781045.659701303</v>
      </c>
      <c r="D253" s="46">
        <f>IF(COUNTBLANK(I252)=1,I252*'Config.'!$D$11,I252*'Config.'!$D$11)</f>
        <v>0</v>
      </c>
      <c r="E253" s="46">
        <f t="shared" si="17"/>
        <v>2322906.9361762553</v>
      </c>
      <c r="F253" s="47"/>
      <c r="G253" s="48" t="str">
        <f t="shared" si="15"/>
        <v>-</v>
      </c>
      <c r="H253" s="29" t="str">
        <f>IF(COUNTBLANK(I253)=1,IF(C253&lt;='Config.'!$D$7,"meta","nops"),"")</f>
        <v>nops</v>
      </c>
      <c r="I253" s="55"/>
      <c r="J253" s="65"/>
      <c r="K253" s="15"/>
      <c r="L253" s="15"/>
      <c r="M253" s="51" t="str">
        <f t="shared" si="18"/>
        <v/>
      </c>
      <c r="N253" s="51" t="str">
        <f t="shared" si="16"/>
        <v/>
      </c>
      <c r="O253" s="57" t="str">
        <f t="shared" si="19"/>
        <v/>
      </c>
      <c r="P253" s="6"/>
      <c r="Q253" s="6"/>
      <c r="R253" s="6"/>
      <c r="S253" s="6"/>
      <c r="T253" s="6"/>
      <c r="U253" s="6"/>
      <c r="V253" s="32">
        <f>IF(COUNTBLANK(X252)=1,(V252*'Config.'!$D$9)+V252,(X252*'Config.'!$D$9)+X252)</f>
        <v>45609215.633025587</v>
      </c>
      <c r="W253" s="29" t="str">
        <f>IF(COUNTBLANK(X253)=1,IF(V253&lt;='Config.'!$D$7,"meta","nops"),"")</f>
        <v>nops</v>
      </c>
      <c r="X253" s="54"/>
    </row>
    <row r="254" spans="1:24" ht="19.5" customHeight="1">
      <c r="A254" s="44" t="s">
        <v>31</v>
      </c>
      <c r="B254" s="45">
        <v>251</v>
      </c>
      <c r="C254" s="46">
        <f>IF(COUNTBLANK(I253)=1,(C253*'Config.'!$D$9)+C253,(I253*'Config.'!$D$9)+I253)</f>
        <v>51220097.942686364</v>
      </c>
      <c r="D254" s="46">
        <f>IF(COUNTBLANK(I253)=1,I253*'Config.'!$D$11,I253*'Config.'!$D$11)</f>
        <v>0</v>
      </c>
      <c r="E254" s="46">
        <f t="shared" si="17"/>
        <v>2439052.2829850614</v>
      </c>
      <c r="F254" s="47"/>
      <c r="G254" s="48" t="str">
        <f t="shared" si="15"/>
        <v>-</v>
      </c>
      <c r="H254" s="29" t="str">
        <f>IF(COUNTBLANK(I254)=1,IF(C254&lt;='Config.'!$D$7,"meta","nops"),"")</f>
        <v>nops</v>
      </c>
      <c r="I254" s="55"/>
      <c r="J254" s="65"/>
      <c r="K254" s="15"/>
      <c r="L254" s="15"/>
      <c r="M254" s="51" t="str">
        <f t="shared" si="18"/>
        <v/>
      </c>
      <c r="N254" s="51" t="str">
        <f t="shared" si="16"/>
        <v/>
      </c>
      <c r="O254" s="57" t="str">
        <f t="shared" si="19"/>
        <v/>
      </c>
      <c r="P254" s="6"/>
      <c r="Q254" s="6"/>
      <c r="R254" s="6"/>
      <c r="S254" s="6"/>
      <c r="T254" s="6"/>
      <c r="U254" s="6"/>
      <c r="V254" s="32">
        <f>IF(COUNTBLANK(X253)=1,(V253*'Config.'!$D$9)+V253,(X253*'Config.'!$D$9)+X253)</f>
        <v>47889676.414676867</v>
      </c>
      <c r="W254" s="29" t="str">
        <f>IF(COUNTBLANK(X254)=1,IF(V254&lt;='Config.'!$D$7,"meta","nops"),"")</f>
        <v>nops</v>
      </c>
      <c r="X254" s="54"/>
    </row>
    <row r="255" spans="1:24" ht="19.5" customHeight="1">
      <c r="A255" s="44" t="s">
        <v>31</v>
      </c>
      <c r="B255" s="45">
        <v>252</v>
      </c>
      <c r="C255" s="46">
        <f>IF(COUNTBLANK(I254)=1,(C254*'Config.'!$D$9)+C254,(I254*'Config.'!$D$9)+I254)</f>
        <v>53781102.839820683</v>
      </c>
      <c r="D255" s="46">
        <f>IF(COUNTBLANK(I254)=1,I254*'Config.'!$D$11,I254*'Config.'!$D$11)</f>
        <v>0</v>
      </c>
      <c r="E255" s="46">
        <f t="shared" si="17"/>
        <v>2561004.8971343189</v>
      </c>
      <c r="F255" s="47"/>
      <c r="G255" s="48" t="str">
        <f t="shared" si="15"/>
        <v>-</v>
      </c>
      <c r="H255" s="29" t="str">
        <f>IF(COUNTBLANK(I255)=1,IF(C255&lt;='Config.'!$D$7,"meta","nops"),"")</f>
        <v>nops</v>
      </c>
      <c r="I255" s="55"/>
      <c r="J255" s="65"/>
      <c r="K255" s="15"/>
      <c r="L255" s="15"/>
      <c r="M255" s="51" t="str">
        <f t="shared" si="18"/>
        <v/>
      </c>
      <c r="N255" s="51" t="str">
        <f t="shared" si="16"/>
        <v/>
      </c>
      <c r="O255" s="57" t="str">
        <f t="shared" si="19"/>
        <v/>
      </c>
      <c r="P255" s="6"/>
      <c r="Q255" s="6"/>
      <c r="R255" s="6"/>
      <c r="S255" s="6"/>
      <c r="T255" s="6"/>
      <c r="U255" s="6"/>
      <c r="V255" s="32">
        <f>IF(COUNTBLANK(X254)=1,(V254*'Config.'!$D$9)+V254,(X254*'Config.'!$D$9)+X254)</f>
        <v>50284160.235410713</v>
      </c>
      <c r="W255" s="29" t="str">
        <f>IF(COUNTBLANK(X255)=1,IF(V255&lt;='Config.'!$D$7,"meta","nops"),"")</f>
        <v>nops</v>
      </c>
      <c r="X255" s="54"/>
    </row>
    <row r="256" spans="1:24" ht="19.5" customHeight="1">
      <c r="A256" s="44" t="s">
        <v>31</v>
      </c>
      <c r="B256" s="45">
        <v>253</v>
      </c>
      <c r="C256" s="46">
        <f>IF(COUNTBLANK(I255)=1,(C255*'Config.'!$D$9)+C255,(I255*'Config.'!$D$9)+I255)</f>
        <v>56470157.981811717</v>
      </c>
      <c r="D256" s="46">
        <f>IF(COUNTBLANK(I255)=1,I255*'Config.'!$D$11,I255*'Config.'!$D$11)</f>
        <v>0</v>
      </c>
      <c r="E256" s="46">
        <f t="shared" si="17"/>
        <v>2689055.1419910342</v>
      </c>
      <c r="F256" s="47"/>
      <c r="G256" s="48" t="str">
        <f t="shared" si="15"/>
        <v>-</v>
      </c>
      <c r="H256" s="29" t="str">
        <f>IF(COUNTBLANK(I256)=1,IF(C256&lt;='Config.'!$D$7,"meta","nops"),"")</f>
        <v>nops</v>
      </c>
      <c r="I256" s="55"/>
      <c r="J256" s="65"/>
      <c r="K256" s="15"/>
      <c r="L256" s="15"/>
      <c r="M256" s="51" t="str">
        <f t="shared" si="18"/>
        <v/>
      </c>
      <c r="N256" s="51" t="str">
        <f t="shared" si="16"/>
        <v/>
      </c>
      <c r="O256" s="57" t="str">
        <f t="shared" si="19"/>
        <v/>
      </c>
      <c r="P256" s="6"/>
      <c r="Q256" s="6"/>
      <c r="R256" s="6"/>
      <c r="S256" s="6"/>
      <c r="T256" s="6"/>
      <c r="U256" s="6"/>
      <c r="V256" s="32">
        <f>IF(COUNTBLANK(X255)=1,(V255*'Config.'!$D$9)+V255,(X255*'Config.'!$D$9)+X255)</f>
        <v>52798368.247181252</v>
      </c>
      <c r="W256" s="29" t="str">
        <f>IF(COUNTBLANK(X256)=1,IF(V256&lt;='Config.'!$D$7,"meta","nops"),"")</f>
        <v>nops</v>
      </c>
      <c r="X256" s="54"/>
    </row>
    <row r="257" spans="1:24" ht="19.5" customHeight="1">
      <c r="A257" s="44" t="s">
        <v>31</v>
      </c>
      <c r="B257" s="45">
        <v>254</v>
      </c>
      <c r="C257" s="46">
        <f>IF(COUNTBLANK(I256)=1,(C256*'Config.'!$D$9)+C256,(I256*'Config.'!$D$9)+I256)</f>
        <v>59293665.880902305</v>
      </c>
      <c r="D257" s="46">
        <f>IF(COUNTBLANK(I256)=1,I256*'Config.'!$D$11,I256*'Config.'!$D$11)</f>
        <v>0</v>
      </c>
      <c r="E257" s="46">
        <f t="shared" si="17"/>
        <v>2823507.8990905881</v>
      </c>
      <c r="F257" s="47"/>
      <c r="G257" s="48" t="str">
        <f t="shared" si="15"/>
        <v>-</v>
      </c>
      <c r="H257" s="29" t="str">
        <f>IF(COUNTBLANK(I257)=1,IF(C257&lt;='Config.'!$D$7,"meta","nops"),"")</f>
        <v>nops</v>
      </c>
      <c r="I257" s="55"/>
      <c r="J257" s="65"/>
      <c r="K257" s="15"/>
      <c r="L257" s="15"/>
      <c r="M257" s="51" t="str">
        <f t="shared" si="18"/>
        <v/>
      </c>
      <c r="N257" s="51" t="str">
        <f t="shared" si="16"/>
        <v/>
      </c>
      <c r="O257" s="57" t="str">
        <f t="shared" si="19"/>
        <v/>
      </c>
      <c r="P257" s="6"/>
      <c r="Q257" s="6"/>
      <c r="R257" s="6"/>
      <c r="S257" s="6"/>
      <c r="T257" s="6"/>
      <c r="U257" s="6"/>
      <c r="V257" s="32">
        <f>IF(COUNTBLANK(X256)=1,(V256*'Config.'!$D$9)+V256,(X256*'Config.'!$D$9)+X256)</f>
        <v>55438286.659540311</v>
      </c>
      <c r="W257" s="29" t="str">
        <f>IF(COUNTBLANK(X257)=1,IF(V257&lt;='Config.'!$D$7,"meta","nops"),"")</f>
        <v>nops</v>
      </c>
      <c r="X257" s="54"/>
    </row>
    <row r="258" spans="1:24" ht="19.5" customHeight="1">
      <c r="A258" s="44" t="s">
        <v>31</v>
      </c>
      <c r="B258" s="45">
        <v>255</v>
      </c>
      <c r="C258" s="46">
        <f>IF(COUNTBLANK(I257)=1,(C257*'Config.'!$D$9)+C257,(I257*'Config.'!$D$9)+I257)</f>
        <v>62258349.174947418</v>
      </c>
      <c r="D258" s="46">
        <f>IF(COUNTBLANK(I257)=1,I257*'Config.'!$D$11,I257*'Config.'!$D$11)</f>
        <v>0</v>
      </c>
      <c r="E258" s="46">
        <f t="shared" si="17"/>
        <v>2964683.294045113</v>
      </c>
      <c r="F258" s="47"/>
      <c r="G258" s="48" t="str">
        <f t="shared" si="15"/>
        <v>-</v>
      </c>
      <c r="H258" s="29" t="str">
        <f>IF(COUNTBLANK(I258)=1,IF(C258&lt;='Config.'!$D$7,"meta","nops"),"")</f>
        <v>nops</v>
      </c>
      <c r="I258" s="55"/>
      <c r="J258" s="65"/>
      <c r="K258" s="15"/>
      <c r="L258" s="15"/>
      <c r="M258" s="51" t="str">
        <f t="shared" si="18"/>
        <v/>
      </c>
      <c r="N258" s="51" t="str">
        <f t="shared" si="16"/>
        <v/>
      </c>
      <c r="O258" s="57" t="str">
        <f t="shared" si="19"/>
        <v/>
      </c>
      <c r="P258" s="6"/>
      <c r="Q258" s="6"/>
      <c r="R258" s="6"/>
      <c r="S258" s="6"/>
      <c r="T258" s="6"/>
      <c r="U258" s="6"/>
      <c r="V258" s="32">
        <f>IF(COUNTBLANK(X257)=1,(V257*'Config.'!$D$9)+V257,(X257*'Config.'!$D$9)+X257)</f>
        <v>58210200.992517322</v>
      </c>
      <c r="W258" s="29" t="str">
        <f>IF(COUNTBLANK(X258)=1,IF(V258&lt;='Config.'!$D$7,"meta","nops"),"")</f>
        <v>nops</v>
      </c>
      <c r="X258" s="54"/>
    </row>
    <row r="259" spans="1:24" ht="19.5" customHeight="1">
      <c r="A259" s="44" t="s">
        <v>31</v>
      </c>
      <c r="B259" s="45">
        <v>256</v>
      </c>
      <c r="C259" s="46">
        <f>IF(COUNTBLANK(I258)=1,(C258*'Config.'!$D$9)+C258,(I258*'Config.'!$D$9)+I258)</f>
        <v>65371266.63369479</v>
      </c>
      <c r="D259" s="46">
        <f>IF(COUNTBLANK(I258)=1,I258*'Config.'!$D$11,I258*'Config.'!$D$11)</f>
        <v>0</v>
      </c>
      <c r="E259" s="46">
        <f t="shared" si="17"/>
        <v>3112917.458747372</v>
      </c>
      <c r="F259" s="47"/>
      <c r="G259" s="48" t="str">
        <f t="shared" si="15"/>
        <v>-</v>
      </c>
      <c r="H259" s="29" t="str">
        <f>IF(COUNTBLANK(I259)=1,IF(C259&lt;='Config.'!$D$7,"meta","nops"),"")</f>
        <v>nops</v>
      </c>
      <c r="I259" s="55"/>
      <c r="J259" s="65"/>
      <c r="K259" s="15"/>
      <c r="L259" s="15"/>
      <c r="M259" s="51" t="str">
        <f t="shared" si="18"/>
        <v/>
      </c>
      <c r="N259" s="51" t="str">
        <f t="shared" si="16"/>
        <v/>
      </c>
      <c r="O259" s="57" t="str">
        <f t="shared" si="19"/>
        <v/>
      </c>
      <c r="P259" s="6"/>
      <c r="Q259" s="6"/>
      <c r="R259" s="6"/>
      <c r="S259" s="6"/>
      <c r="T259" s="6"/>
      <c r="U259" s="6"/>
      <c r="V259" s="32">
        <f>IF(COUNTBLANK(X258)=1,(V258*'Config.'!$D$9)+V258,(X258*'Config.'!$D$9)+X258)</f>
        <v>61120711.042143188</v>
      </c>
      <c r="W259" s="29" t="str">
        <f>IF(COUNTBLANK(X259)=1,IF(V259&lt;='Config.'!$D$7,"meta","nops"),"")</f>
        <v>nops</v>
      </c>
      <c r="X259" s="54"/>
    </row>
    <row r="260" spans="1:24" ht="19.5" customHeight="1">
      <c r="A260" s="44" t="s">
        <v>31</v>
      </c>
      <c r="B260" s="45">
        <v>257</v>
      </c>
      <c r="C260" s="46">
        <f>IF(COUNTBLANK(I259)=1,(C259*'Config.'!$D$9)+C259,(I259*'Config.'!$D$9)+I259)</f>
        <v>68639829.965379536</v>
      </c>
      <c r="D260" s="46">
        <f>IF(COUNTBLANK(I259)=1,I259*'Config.'!$D$11,I259*'Config.'!$D$11)</f>
        <v>0</v>
      </c>
      <c r="E260" s="46">
        <f t="shared" si="17"/>
        <v>3268563.3316847458</v>
      </c>
      <c r="F260" s="47"/>
      <c r="G260" s="48" t="str">
        <f t="shared" ref="G260:G323" si="20">IF(COUNTBLANK(F260)=0,(E260/F260)/$F$3,"-")</f>
        <v>-</v>
      </c>
      <c r="H260" s="29" t="str">
        <f>IF(COUNTBLANK(I260)=1,IF(C260&lt;='Config.'!$D$7,"meta","nops"),"")</f>
        <v>nops</v>
      </c>
      <c r="I260" s="55"/>
      <c r="J260" s="65"/>
      <c r="K260" s="15"/>
      <c r="L260" s="15"/>
      <c r="M260" s="51" t="str">
        <f t="shared" si="18"/>
        <v/>
      </c>
      <c r="N260" s="51" t="str">
        <f t="shared" ref="N260:N323" si="21">IF(M260="","",M260-E260)</f>
        <v/>
      </c>
      <c r="O260" s="57" t="str">
        <f t="shared" si="19"/>
        <v/>
      </c>
      <c r="P260" s="6"/>
      <c r="Q260" s="6"/>
      <c r="R260" s="6"/>
      <c r="S260" s="6"/>
      <c r="T260" s="6"/>
      <c r="U260" s="6"/>
      <c r="V260" s="32">
        <f>IF(COUNTBLANK(X259)=1,(V259*'Config.'!$D$9)+V259,(X259*'Config.'!$D$9)+X259)</f>
        <v>64176746.594250351</v>
      </c>
      <c r="W260" s="29" t="str">
        <f>IF(COUNTBLANK(X260)=1,IF(V260&lt;='Config.'!$D$7,"meta","nops"),"")</f>
        <v>nops</v>
      </c>
      <c r="X260" s="54"/>
    </row>
    <row r="261" spans="1:24" ht="19.5" customHeight="1">
      <c r="A261" s="44" t="s">
        <v>31</v>
      </c>
      <c r="B261" s="45">
        <v>258</v>
      </c>
      <c r="C261" s="46">
        <f>IF(COUNTBLANK(I260)=1,(C260*'Config.'!$D$9)+C260,(I260*'Config.'!$D$9)+I260)</f>
        <v>72071821.463648513</v>
      </c>
      <c r="D261" s="46">
        <f>IF(COUNTBLANK(I260)=1,I260*'Config.'!$D$11,I260*'Config.'!$D$11)</f>
        <v>0</v>
      </c>
      <c r="E261" s="46">
        <f t="shared" ref="E261:E324" si="22">IF(COUNTBLANK(I260)=1,C261-C260,C261-I260)</f>
        <v>3431991.4982689768</v>
      </c>
      <c r="F261" s="47"/>
      <c r="G261" s="48" t="str">
        <f t="shared" si="20"/>
        <v>-</v>
      </c>
      <c r="H261" s="29" t="str">
        <f>IF(COUNTBLANK(I261)=1,IF(C261&lt;='Config.'!$D$7,"meta","nops"),"")</f>
        <v>nops</v>
      </c>
      <c r="I261" s="55"/>
      <c r="J261" s="65"/>
      <c r="K261" s="15"/>
      <c r="L261" s="15"/>
      <c r="M261" s="51" t="str">
        <f t="shared" si="18"/>
        <v/>
      </c>
      <c r="N261" s="51" t="str">
        <f t="shared" si="21"/>
        <v/>
      </c>
      <c r="O261" s="57" t="str">
        <f t="shared" si="19"/>
        <v/>
      </c>
      <c r="P261" s="6"/>
      <c r="Q261" s="6"/>
      <c r="R261" s="6"/>
      <c r="S261" s="6"/>
      <c r="T261" s="6"/>
      <c r="U261" s="6"/>
      <c r="V261" s="32">
        <f>IF(COUNTBLANK(X260)=1,(V260*'Config.'!$D$9)+V260,(X260*'Config.'!$D$9)+X260)</f>
        <v>67385583.923962861</v>
      </c>
      <c r="W261" s="29" t="str">
        <f>IF(COUNTBLANK(X261)=1,IF(V261&lt;='Config.'!$D$7,"meta","nops"),"")</f>
        <v>nops</v>
      </c>
      <c r="X261" s="54"/>
    </row>
    <row r="262" spans="1:24" ht="19.5" customHeight="1">
      <c r="A262" s="44" t="s">
        <v>31</v>
      </c>
      <c r="B262" s="45">
        <v>259</v>
      </c>
      <c r="C262" s="46">
        <f>IF(COUNTBLANK(I261)=1,(C261*'Config.'!$D$9)+C261,(I261*'Config.'!$D$9)+I261)</f>
        <v>75675412.536830932</v>
      </c>
      <c r="D262" s="46">
        <f>IF(COUNTBLANK(I261)=1,I261*'Config.'!$D$11,I261*'Config.'!$D$11)</f>
        <v>0</v>
      </c>
      <c r="E262" s="46">
        <f t="shared" si="22"/>
        <v>3603591.0731824189</v>
      </c>
      <c r="F262" s="47"/>
      <c r="G262" s="48" t="str">
        <f t="shared" si="20"/>
        <v>-</v>
      </c>
      <c r="H262" s="29" t="str">
        <f>IF(COUNTBLANK(I262)=1,IF(C262&lt;='Config.'!$D$7,"meta","nops"),"")</f>
        <v>nops</v>
      </c>
      <c r="I262" s="55"/>
      <c r="J262" s="65"/>
      <c r="K262" s="15"/>
      <c r="L262" s="15"/>
      <c r="M262" s="51" t="str">
        <f t="shared" ref="M262:M325" si="23">IF(COUNTBLANK(I262)=1,"",I262-I261)</f>
        <v/>
      </c>
      <c r="N262" s="51" t="str">
        <f t="shared" si="21"/>
        <v/>
      </c>
      <c r="O262" s="57" t="str">
        <f t="shared" ref="O262:O325" si="24">IF(COUNTBLANK(I262)=1,"",(I262-I261)/I261)</f>
        <v/>
      </c>
      <c r="P262" s="6"/>
      <c r="Q262" s="6"/>
      <c r="R262" s="6"/>
      <c r="S262" s="6"/>
      <c r="T262" s="6"/>
      <c r="U262" s="6"/>
      <c r="V262" s="32">
        <f>IF(COUNTBLANK(X261)=1,(V261*'Config.'!$D$9)+V261,(X261*'Config.'!$D$9)+X261)</f>
        <v>70754863.120160997</v>
      </c>
      <c r="W262" s="29" t="str">
        <f>IF(COUNTBLANK(X262)=1,IF(V262&lt;='Config.'!$D$7,"meta","nops"),"")</f>
        <v>nops</v>
      </c>
      <c r="X262" s="54"/>
    </row>
    <row r="263" spans="1:24" ht="19.5" customHeight="1">
      <c r="A263" s="44" t="s">
        <v>31</v>
      </c>
      <c r="B263" s="45">
        <v>260</v>
      </c>
      <c r="C263" s="46">
        <f>IF(COUNTBLANK(I262)=1,(C262*'Config.'!$D$9)+C262,(I262*'Config.'!$D$9)+I262)</f>
        <v>79459183.163672477</v>
      </c>
      <c r="D263" s="46">
        <f>IF(COUNTBLANK(I262)=1,I262*'Config.'!$D$11,I262*'Config.'!$D$11)</f>
        <v>0</v>
      </c>
      <c r="E263" s="46">
        <f t="shared" si="22"/>
        <v>3783770.6268415451</v>
      </c>
      <c r="F263" s="47"/>
      <c r="G263" s="48" t="str">
        <f t="shared" si="20"/>
        <v>-</v>
      </c>
      <c r="H263" s="29" t="str">
        <f>IF(COUNTBLANK(I263)=1,IF(C263&lt;='Config.'!$D$7,"meta","nops"),"")</f>
        <v>nops</v>
      </c>
      <c r="I263" s="55"/>
      <c r="J263" s="65"/>
      <c r="K263" s="15"/>
      <c r="L263" s="15"/>
      <c r="M263" s="51" t="str">
        <f t="shared" si="23"/>
        <v/>
      </c>
      <c r="N263" s="51" t="str">
        <f t="shared" si="21"/>
        <v/>
      </c>
      <c r="O263" s="57" t="str">
        <f t="shared" si="24"/>
        <v/>
      </c>
      <c r="P263" s="6"/>
      <c r="Q263" s="6"/>
      <c r="R263" s="6"/>
      <c r="S263" s="6"/>
      <c r="T263" s="6"/>
      <c r="U263" s="6"/>
      <c r="V263" s="32">
        <f>IF(COUNTBLANK(X262)=1,(V262*'Config.'!$D$9)+V262,(X262*'Config.'!$D$9)+X262)</f>
        <v>74292606.276169047</v>
      </c>
      <c r="W263" s="29" t="str">
        <f>IF(COUNTBLANK(X263)=1,IF(V263&lt;='Config.'!$D$7,"meta","nops"),"")</f>
        <v>nops</v>
      </c>
      <c r="X263" s="54"/>
    </row>
    <row r="264" spans="1:24" ht="19.5" customHeight="1">
      <c r="A264" s="44" t="s">
        <v>31</v>
      </c>
      <c r="B264" s="45">
        <v>261</v>
      </c>
      <c r="C264" s="46">
        <f>IF(COUNTBLANK(I263)=1,(C263*'Config.'!$D$9)+C263,(I263*'Config.'!$D$9)+I263)</f>
        <v>83432142.321856096</v>
      </c>
      <c r="D264" s="46">
        <f>IF(COUNTBLANK(I263)=1,I263*'Config.'!$D$11,I263*'Config.'!$D$11)</f>
        <v>0</v>
      </c>
      <c r="E264" s="46">
        <f t="shared" si="22"/>
        <v>3972959.1581836194</v>
      </c>
      <c r="F264" s="47"/>
      <c r="G264" s="48" t="str">
        <f t="shared" si="20"/>
        <v>-</v>
      </c>
      <c r="H264" s="29" t="str">
        <f>IF(COUNTBLANK(I264)=1,IF(C264&lt;='Config.'!$D$7,"meta","nops"),"")</f>
        <v>nops</v>
      </c>
      <c r="I264" s="55"/>
      <c r="J264" s="65"/>
      <c r="K264" s="15"/>
      <c r="L264" s="15"/>
      <c r="M264" s="51" t="str">
        <f t="shared" si="23"/>
        <v/>
      </c>
      <c r="N264" s="51" t="str">
        <f t="shared" si="21"/>
        <v/>
      </c>
      <c r="O264" s="57" t="str">
        <f t="shared" si="24"/>
        <v/>
      </c>
      <c r="P264" s="6"/>
      <c r="Q264" s="6"/>
      <c r="R264" s="6"/>
      <c r="S264" s="6"/>
      <c r="T264" s="6"/>
      <c r="U264" s="6"/>
      <c r="V264" s="32">
        <f>IF(COUNTBLANK(X263)=1,(V263*'Config.'!$D$9)+V263,(X263*'Config.'!$D$9)+X263)</f>
        <v>78007236.589977503</v>
      </c>
      <c r="W264" s="29" t="str">
        <f>IF(COUNTBLANK(X264)=1,IF(V264&lt;='Config.'!$D$7,"meta","nops"),"")</f>
        <v>nops</v>
      </c>
      <c r="X264" s="54"/>
    </row>
    <row r="265" spans="1:24" ht="19.5" customHeight="1">
      <c r="A265" s="44" t="s">
        <v>31</v>
      </c>
      <c r="B265" s="45">
        <v>262</v>
      </c>
      <c r="C265" s="46">
        <f>IF(COUNTBLANK(I264)=1,(C264*'Config.'!$D$9)+C264,(I264*'Config.'!$D$9)+I264)</f>
        <v>87603749.437948897</v>
      </c>
      <c r="D265" s="46">
        <f>IF(COUNTBLANK(I264)=1,I264*'Config.'!$D$11,I264*'Config.'!$D$11)</f>
        <v>0</v>
      </c>
      <c r="E265" s="46">
        <f t="shared" si="22"/>
        <v>4171607.1160928011</v>
      </c>
      <c r="F265" s="47"/>
      <c r="G265" s="48" t="str">
        <f t="shared" si="20"/>
        <v>-</v>
      </c>
      <c r="H265" s="29" t="str">
        <f>IF(COUNTBLANK(I265)=1,IF(C265&lt;='Config.'!$D$7,"meta","nops"),"")</f>
        <v>nops</v>
      </c>
      <c r="I265" s="55"/>
      <c r="J265" s="65"/>
      <c r="K265" s="15"/>
      <c r="L265" s="15"/>
      <c r="M265" s="51" t="str">
        <f t="shared" si="23"/>
        <v/>
      </c>
      <c r="N265" s="51" t="str">
        <f t="shared" si="21"/>
        <v/>
      </c>
      <c r="O265" s="57" t="str">
        <f t="shared" si="24"/>
        <v/>
      </c>
      <c r="P265" s="6"/>
      <c r="Q265" s="6"/>
      <c r="R265" s="6"/>
      <c r="S265" s="6"/>
      <c r="T265" s="6"/>
      <c r="U265" s="6"/>
      <c r="V265" s="32">
        <f>IF(COUNTBLANK(X264)=1,(V264*'Config.'!$D$9)+V264,(X264*'Config.'!$D$9)+X264)</f>
        <v>81907598.419476375</v>
      </c>
      <c r="W265" s="29" t="str">
        <f>IF(COUNTBLANK(X265)=1,IF(V265&lt;='Config.'!$D$7,"meta","nops"),"")</f>
        <v>nops</v>
      </c>
      <c r="X265" s="54"/>
    </row>
    <row r="266" spans="1:24" ht="19.5" customHeight="1">
      <c r="A266" s="44" t="s">
        <v>31</v>
      </c>
      <c r="B266" s="45">
        <v>263</v>
      </c>
      <c r="C266" s="46">
        <f>IF(COUNTBLANK(I265)=1,(C265*'Config.'!$D$9)+C265,(I265*'Config.'!$D$9)+I265)</f>
        <v>91983936.909846336</v>
      </c>
      <c r="D266" s="46">
        <f>IF(COUNTBLANK(I265)=1,I265*'Config.'!$D$11,I265*'Config.'!$D$11)</f>
        <v>0</v>
      </c>
      <c r="E266" s="46">
        <f t="shared" si="22"/>
        <v>4380187.4718974382</v>
      </c>
      <c r="F266" s="47"/>
      <c r="G266" s="48" t="str">
        <f t="shared" si="20"/>
        <v>-</v>
      </c>
      <c r="H266" s="29" t="str">
        <f>IF(COUNTBLANK(I266)=1,IF(C266&lt;='Config.'!$D$7,"meta","nops"),"")</f>
        <v>nops</v>
      </c>
      <c r="I266" s="55"/>
      <c r="J266" s="65"/>
      <c r="K266" s="15"/>
      <c r="L266" s="15"/>
      <c r="M266" s="51" t="str">
        <f t="shared" si="23"/>
        <v/>
      </c>
      <c r="N266" s="51" t="str">
        <f t="shared" si="21"/>
        <v/>
      </c>
      <c r="O266" s="57" t="str">
        <f t="shared" si="24"/>
        <v/>
      </c>
      <c r="P266" s="6"/>
      <c r="Q266" s="6"/>
      <c r="R266" s="6"/>
      <c r="S266" s="6"/>
      <c r="T266" s="6"/>
      <c r="U266" s="6"/>
      <c r="V266" s="32">
        <f>IF(COUNTBLANK(X265)=1,(V265*'Config.'!$D$9)+V265,(X265*'Config.'!$D$9)+X265)</f>
        <v>86002978.340450197</v>
      </c>
      <c r="W266" s="29" t="str">
        <f>IF(COUNTBLANK(X266)=1,IF(V266&lt;='Config.'!$D$7,"meta","nops"),"")</f>
        <v>nops</v>
      </c>
      <c r="X266" s="54"/>
    </row>
    <row r="267" spans="1:24" ht="19.5" customHeight="1">
      <c r="A267" s="44" t="s">
        <v>31</v>
      </c>
      <c r="B267" s="45">
        <v>264</v>
      </c>
      <c r="C267" s="46">
        <f>IF(COUNTBLANK(I266)=1,(C266*'Config.'!$D$9)+C266,(I266*'Config.'!$D$9)+I266)</f>
        <v>96583133.755338654</v>
      </c>
      <c r="D267" s="46">
        <f>IF(COUNTBLANK(I266)=1,I266*'Config.'!$D$11,I266*'Config.'!$D$11)</f>
        <v>0</v>
      </c>
      <c r="E267" s="46">
        <f t="shared" si="22"/>
        <v>4599196.8454923183</v>
      </c>
      <c r="F267" s="47"/>
      <c r="G267" s="48" t="str">
        <f t="shared" si="20"/>
        <v>-</v>
      </c>
      <c r="H267" s="29" t="str">
        <f>IF(COUNTBLANK(I267)=1,IF(C267&lt;='Config.'!$D$7,"meta","nops"),"")</f>
        <v>nops</v>
      </c>
      <c r="I267" s="55"/>
      <c r="J267" s="65"/>
      <c r="K267" s="15"/>
      <c r="L267" s="15"/>
      <c r="M267" s="51" t="str">
        <f t="shared" si="23"/>
        <v/>
      </c>
      <c r="N267" s="51" t="str">
        <f t="shared" si="21"/>
        <v/>
      </c>
      <c r="O267" s="57" t="str">
        <f t="shared" si="24"/>
        <v/>
      </c>
      <c r="P267" s="6"/>
      <c r="Q267" s="6"/>
      <c r="R267" s="6"/>
      <c r="S267" s="6"/>
      <c r="T267" s="6"/>
      <c r="U267" s="6"/>
      <c r="V267" s="32">
        <f>IF(COUNTBLANK(X266)=1,(V266*'Config.'!$D$9)+V266,(X266*'Config.'!$D$9)+X266)</f>
        <v>90303127.257472709</v>
      </c>
      <c r="W267" s="29" t="str">
        <f>IF(COUNTBLANK(X267)=1,IF(V267&lt;='Config.'!$D$7,"meta","nops"),"")</f>
        <v>nops</v>
      </c>
      <c r="X267" s="54"/>
    </row>
    <row r="268" spans="1:24" ht="19.5" customHeight="1">
      <c r="A268" s="44" t="s">
        <v>31</v>
      </c>
      <c r="B268" s="45">
        <v>265</v>
      </c>
      <c r="C268" s="46">
        <f>IF(COUNTBLANK(I267)=1,(C267*'Config.'!$D$9)+C267,(I267*'Config.'!$D$9)+I267)</f>
        <v>101412290.44310559</v>
      </c>
      <c r="D268" s="46">
        <f>IF(COUNTBLANK(I267)=1,I267*'Config.'!$D$11,I267*'Config.'!$D$11)</f>
        <v>0</v>
      </c>
      <c r="E268" s="46">
        <f t="shared" si="22"/>
        <v>4829156.6877669394</v>
      </c>
      <c r="F268" s="47"/>
      <c r="G268" s="48" t="str">
        <f t="shared" si="20"/>
        <v>-</v>
      </c>
      <c r="H268" s="29" t="str">
        <f>IF(COUNTBLANK(I268)=1,IF(C268&lt;='Config.'!$D$7,"meta","nops"),"")</f>
        <v>nops</v>
      </c>
      <c r="I268" s="55"/>
      <c r="J268" s="65"/>
      <c r="K268" s="15"/>
      <c r="L268" s="15"/>
      <c r="M268" s="51" t="str">
        <f t="shared" si="23"/>
        <v/>
      </c>
      <c r="N268" s="51" t="str">
        <f t="shared" si="21"/>
        <v/>
      </c>
      <c r="O268" s="57" t="str">
        <f t="shared" si="24"/>
        <v/>
      </c>
      <c r="P268" s="6"/>
      <c r="Q268" s="6"/>
      <c r="R268" s="6"/>
      <c r="S268" s="6"/>
      <c r="T268" s="6"/>
      <c r="U268" s="6"/>
      <c r="V268" s="32">
        <f>IF(COUNTBLANK(X267)=1,(V267*'Config.'!$D$9)+V267,(X267*'Config.'!$D$9)+X267)</f>
        <v>94818283.620346338</v>
      </c>
      <c r="W268" s="29" t="str">
        <f>IF(COUNTBLANK(X268)=1,IF(V268&lt;='Config.'!$D$7,"meta","nops"),"")</f>
        <v>nops</v>
      </c>
      <c r="X268" s="54"/>
    </row>
    <row r="269" spans="1:24" ht="19.5" customHeight="1">
      <c r="A269" s="44" t="s">
        <v>31</v>
      </c>
      <c r="B269" s="45">
        <v>266</v>
      </c>
      <c r="C269" s="46">
        <f>IF(COUNTBLANK(I268)=1,(C268*'Config.'!$D$9)+C268,(I268*'Config.'!$D$9)+I268)</f>
        <v>106482904.96526088</v>
      </c>
      <c r="D269" s="46">
        <f>IF(COUNTBLANK(I268)=1,I268*'Config.'!$D$11,I268*'Config.'!$D$11)</f>
        <v>0</v>
      </c>
      <c r="E269" s="46">
        <f t="shared" si="22"/>
        <v>5070614.5221552849</v>
      </c>
      <c r="F269" s="47"/>
      <c r="G269" s="48" t="str">
        <f t="shared" si="20"/>
        <v>-</v>
      </c>
      <c r="H269" s="29" t="str">
        <f>IF(COUNTBLANK(I269)=1,IF(C269&lt;='Config.'!$D$7,"meta","nops"),"")</f>
        <v>nops</v>
      </c>
      <c r="I269" s="55"/>
      <c r="J269" s="65"/>
      <c r="K269" s="15"/>
      <c r="L269" s="15"/>
      <c r="M269" s="51" t="str">
        <f t="shared" si="23"/>
        <v/>
      </c>
      <c r="N269" s="51" t="str">
        <f t="shared" si="21"/>
        <v/>
      </c>
      <c r="O269" s="57" t="str">
        <f t="shared" si="24"/>
        <v/>
      </c>
      <c r="P269" s="6"/>
      <c r="Q269" s="6"/>
      <c r="R269" s="6"/>
      <c r="S269" s="6"/>
      <c r="T269" s="6"/>
      <c r="U269" s="6"/>
      <c r="V269" s="32">
        <f>IF(COUNTBLANK(X268)=1,(V268*'Config.'!$D$9)+V268,(X268*'Config.'!$D$9)+X268)</f>
        <v>99559197.801363647</v>
      </c>
      <c r="W269" s="29" t="str">
        <f>IF(COUNTBLANK(X269)=1,IF(V269&lt;='Config.'!$D$7,"meta","nops"),"")</f>
        <v>nops</v>
      </c>
      <c r="X269" s="54"/>
    </row>
    <row r="270" spans="1:24" ht="19.5" customHeight="1">
      <c r="A270" s="44" t="s">
        <v>31</v>
      </c>
      <c r="B270" s="45">
        <v>267</v>
      </c>
      <c r="C270" s="46">
        <f>IF(COUNTBLANK(I269)=1,(C269*'Config.'!$D$9)+C269,(I269*'Config.'!$D$9)+I269)</f>
        <v>111807050.21352392</v>
      </c>
      <c r="D270" s="46">
        <f>IF(COUNTBLANK(I269)=1,I269*'Config.'!$D$11,I269*'Config.'!$D$11)</f>
        <v>0</v>
      </c>
      <c r="E270" s="46">
        <f t="shared" si="22"/>
        <v>5324145.2482630461</v>
      </c>
      <c r="F270" s="47"/>
      <c r="G270" s="48" t="str">
        <f t="shared" si="20"/>
        <v>-</v>
      </c>
      <c r="H270" s="29" t="str">
        <f>IF(COUNTBLANK(I270)=1,IF(C270&lt;='Config.'!$D$7,"meta","nops"),"")</f>
        <v>nops</v>
      </c>
      <c r="I270" s="55"/>
      <c r="J270" s="65"/>
      <c r="K270" s="15"/>
      <c r="L270" s="15"/>
      <c r="M270" s="51" t="str">
        <f t="shared" si="23"/>
        <v/>
      </c>
      <c r="N270" s="51" t="str">
        <f t="shared" si="21"/>
        <v/>
      </c>
      <c r="O270" s="57" t="str">
        <f t="shared" si="24"/>
        <v/>
      </c>
      <c r="P270" s="6"/>
      <c r="Q270" s="6"/>
      <c r="R270" s="6"/>
      <c r="S270" s="6"/>
      <c r="T270" s="6"/>
      <c r="U270" s="6"/>
      <c r="V270" s="32">
        <f>IF(COUNTBLANK(X269)=1,(V269*'Config.'!$D$9)+V269,(X269*'Config.'!$D$9)+X269)</f>
        <v>104537157.69143184</v>
      </c>
      <c r="W270" s="29" t="str">
        <f>IF(COUNTBLANK(X270)=1,IF(V270&lt;='Config.'!$D$7,"meta","nops"),"")</f>
        <v>nops</v>
      </c>
      <c r="X270" s="54"/>
    </row>
    <row r="271" spans="1:24" ht="19.5" customHeight="1">
      <c r="A271" s="44" t="s">
        <v>31</v>
      </c>
      <c r="B271" s="45">
        <v>268</v>
      </c>
      <c r="C271" s="46">
        <f>IF(COUNTBLANK(I270)=1,(C270*'Config.'!$D$9)+C270,(I270*'Config.'!$D$9)+I270)</f>
        <v>117397402.72420011</v>
      </c>
      <c r="D271" s="46">
        <f>IF(COUNTBLANK(I270)=1,I270*'Config.'!$D$11,I270*'Config.'!$D$11)</f>
        <v>0</v>
      </c>
      <c r="E271" s="46">
        <f t="shared" si="22"/>
        <v>5590352.5106761903</v>
      </c>
      <c r="F271" s="47"/>
      <c r="G271" s="48" t="str">
        <f t="shared" si="20"/>
        <v>-</v>
      </c>
      <c r="H271" s="29" t="str">
        <f>IF(COUNTBLANK(I271)=1,IF(C271&lt;='Config.'!$D$7,"meta","nops"),"")</f>
        <v>nops</v>
      </c>
      <c r="I271" s="55"/>
      <c r="J271" s="65"/>
      <c r="K271" s="15"/>
      <c r="L271" s="15"/>
      <c r="M271" s="51" t="str">
        <f t="shared" si="23"/>
        <v/>
      </c>
      <c r="N271" s="51" t="str">
        <f t="shared" si="21"/>
        <v/>
      </c>
      <c r="O271" s="57" t="str">
        <f t="shared" si="24"/>
        <v/>
      </c>
      <c r="P271" s="6"/>
      <c r="Q271" s="6"/>
      <c r="R271" s="6"/>
      <c r="S271" s="6"/>
      <c r="T271" s="6"/>
      <c r="U271" s="6"/>
      <c r="V271" s="32">
        <f>IF(COUNTBLANK(X270)=1,(V270*'Config.'!$D$9)+V270,(X270*'Config.'!$D$9)+X270)</f>
        <v>109764015.57600343</v>
      </c>
      <c r="W271" s="29" t="str">
        <f>IF(COUNTBLANK(X271)=1,IF(V271&lt;='Config.'!$D$7,"meta","nops"),"")</f>
        <v>nops</v>
      </c>
      <c r="X271" s="54"/>
    </row>
    <row r="272" spans="1:24" ht="19.5" customHeight="1">
      <c r="A272" s="44" t="s">
        <v>31</v>
      </c>
      <c r="B272" s="45">
        <v>269</v>
      </c>
      <c r="C272" s="46">
        <f>IF(COUNTBLANK(I271)=1,(C271*'Config.'!$D$9)+C271,(I271*'Config.'!$D$9)+I271)</f>
        <v>123267272.86041012</v>
      </c>
      <c r="D272" s="46">
        <f>IF(COUNTBLANK(I271)=1,I271*'Config.'!$D$11,I271*'Config.'!$D$11)</f>
        <v>0</v>
      </c>
      <c r="E272" s="46">
        <f t="shared" si="22"/>
        <v>5869870.1362100095</v>
      </c>
      <c r="F272" s="47"/>
      <c r="G272" s="48" t="str">
        <f t="shared" si="20"/>
        <v>-</v>
      </c>
      <c r="H272" s="29" t="str">
        <f>IF(COUNTBLANK(I272)=1,IF(C272&lt;='Config.'!$D$7,"meta","nops"),"")</f>
        <v>nops</v>
      </c>
      <c r="I272" s="55"/>
      <c r="J272" s="65"/>
      <c r="K272" s="15"/>
      <c r="L272" s="15"/>
      <c r="M272" s="51" t="str">
        <f t="shared" si="23"/>
        <v/>
      </c>
      <c r="N272" s="51" t="str">
        <f t="shared" si="21"/>
        <v/>
      </c>
      <c r="O272" s="57" t="str">
        <f t="shared" si="24"/>
        <v/>
      </c>
      <c r="P272" s="6"/>
      <c r="Q272" s="6"/>
      <c r="R272" s="6"/>
      <c r="S272" s="6"/>
      <c r="T272" s="6"/>
      <c r="U272" s="6"/>
      <c r="V272" s="32">
        <f>IF(COUNTBLANK(X271)=1,(V271*'Config.'!$D$9)+V271,(X271*'Config.'!$D$9)+X271)</f>
        <v>115252216.35480361</v>
      </c>
      <c r="W272" s="29" t="str">
        <f>IF(COUNTBLANK(X272)=1,IF(V272&lt;='Config.'!$D$7,"meta","nops"),"")</f>
        <v>nops</v>
      </c>
      <c r="X272" s="54"/>
    </row>
    <row r="273" spans="1:24" ht="19.5" customHeight="1">
      <c r="A273" s="44" t="s">
        <v>31</v>
      </c>
      <c r="B273" s="45">
        <v>270</v>
      </c>
      <c r="C273" s="46">
        <f>IF(COUNTBLANK(I272)=1,(C272*'Config.'!$D$9)+C272,(I272*'Config.'!$D$9)+I272)</f>
        <v>129430636.50343063</v>
      </c>
      <c r="D273" s="46">
        <f>IF(COUNTBLANK(I272)=1,I272*'Config.'!$D$11,I272*'Config.'!$D$11)</f>
        <v>0</v>
      </c>
      <c r="E273" s="46">
        <f t="shared" si="22"/>
        <v>6163363.6430205107</v>
      </c>
      <c r="F273" s="47"/>
      <c r="G273" s="48" t="str">
        <f t="shared" si="20"/>
        <v>-</v>
      </c>
      <c r="H273" s="29" t="str">
        <f>IF(COUNTBLANK(I273)=1,IF(C273&lt;='Config.'!$D$7,"meta","nops"),"")</f>
        <v>nops</v>
      </c>
      <c r="I273" s="55"/>
      <c r="J273" s="65"/>
      <c r="K273" s="15"/>
      <c r="L273" s="15"/>
      <c r="M273" s="51" t="str">
        <f t="shared" si="23"/>
        <v/>
      </c>
      <c r="N273" s="51" t="str">
        <f t="shared" si="21"/>
        <v/>
      </c>
      <c r="O273" s="57" t="str">
        <f t="shared" si="24"/>
        <v/>
      </c>
      <c r="P273" s="6"/>
      <c r="Q273" s="6"/>
      <c r="R273" s="6"/>
      <c r="S273" s="6"/>
      <c r="T273" s="6"/>
      <c r="U273" s="6"/>
      <c r="V273" s="32">
        <f>IF(COUNTBLANK(X272)=1,(V272*'Config.'!$D$9)+V272,(X272*'Config.'!$D$9)+X272)</f>
        <v>121014827.17254379</v>
      </c>
      <c r="W273" s="29" t="str">
        <f>IF(COUNTBLANK(X273)=1,IF(V273&lt;='Config.'!$D$7,"meta","nops"),"")</f>
        <v>nops</v>
      </c>
      <c r="X273" s="54"/>
    </row>
    <row r="274" spans="1:24" ht="19.5" customHeight="1">
      <c r="A274" s="44" t="s">
        <v>31</v>
      </c>
      <c r="B274" s="45">
        <v>271</v>
      </c>
      <c r="C274" s="46">
        <f>IF(COUNTBLANK(I273)=1,(C273*'Config.'!$D$9)+C273,(I273*'Config.'!$D$9)+I273)</f>
        <v>135902168.32860216</v>
      </c>
      <c r="D274" s="46">
        <f>IF(COUNTBLANK(I273)=1,I273*'Config.'!$D$11,I273*'Config.'!$D$11)</f>
        <v>0</v>
      </c>
      <c r="E274" s="46">
        <f t="shared" si="22"/>
        <v>6471531.8251715302</v>
      </c>
      <c r="F274" s="47"/>
      <c r="G274" s="48" t="str">
        <f t="shared" si="20"/>
        <v>-</v>
      </c>
      <c r="H274" s="29" t="str">
        <f>IF(COUNTBLANK(I274)=1,IF(C274&lt;='Config.'!$D$7,"meta","nops"),"")</f>
        <v>nops</v>
      </c>
      <c r="I274" s="55"/>
      <c r="J274" s="65"/>
      <c r="K274" s="15"/>
      <c r="L274" s="15"/>
      <c r="M274" s="51" t="str">
        <f t="shared" si="23"/>
        <v/>
      </c>
      <c r="N274" s="51" t="str">
        <f t="shared" si="21"/>
        <v/>
      </c>
      <c r="O274" s="57" t="str">
        <f t="shared" si="24"/>
        <v/>
      </c>
      <c r="P274" s="6"/>
      <c r="Q274" s="6"/>
      <c r="R274" s="6"/>
      <c r="S274" s="6"/>
      <c r="T274" s="6"/>
      <c r="U274" s="6"/>
      <c r="V274" s="32">
        <f>IF(COUNTBLANK(X273)=1,(V273*'Config.'!$D$9)+V273,(X273*'Config.'!$D$9)+X273)</f>
        <v>127065568.53117098</v>
      </c>
      <c r="W274" s="29" t="str">
        <f>IF(COUNTBLANK(X274)=1,IF(V274&lt;='Config.'!$D$7,"meta","nops"),"")</f>
        <v>nops</v>
      </c>
      <c r="X274" s="54"/>
    </row>
    <row r="275" spans="1:24" ht="19.5" customHeight="1">
      <c r="A275" s="44" t="s">
        <v>31</v>
      </c>
      <c r="B275" s="45">
        <v>272</v>
      </c>
      <c r="C275" s="46">
        <f>IF(COUNTBLANK(I274)=1,(C274*'Config.'!$D$9)+C274,(I274*'Config.'!$D$9)+I274)</f>
        <v>142697276.74503228</v>
      </c>
      <c r="D275" s="46">
        <f>IF(COUNTBLANK(I274)=1,I274*'Config.'!$D$11,I274*'Config.'!$D$11)</f>
        <v>0</v>
      </c>
      <c r="E275" s="46">
        <f t="shared" si="22"/>
        <v>6795108.4164301157</v>
      </c>
      <c r="F275" s="47"/>
      <c r="G275" s="48" t="str">
        <f t="shared" si="20"/>
        <v>-</v>
      </c>
      <c r="H275" s="29" t="str">
        <f>IF(COUNTBLANK(I275)=1,IF(C275&lt;='Config.'!$D$7,"meta","nops"),"")</f>
        <v>nops</v>
      </c>
      <c r="I275" s="55"/>
      <c r="J275" s="65"/>
      <c r="K275" s="15"/>
      <c r="L275" s="15"/>
      <c r="M275" s="51" t="str">
        <f t="shared" si="23"/>
        <v/>
      </c>
      <c r="N275" s="51" t="str">
        <f t="shared" si="21"/>
        <v/>
      </c>
      <c r="O275" s="57" t="str">
        <f t="shared" si="24"/>
        <v/>
      </c>
      <c r="P275" s="6"/>
      <c r="Q275" s="6"/>
      <c r="R275" s="6"/>
      <c r="S275" s="6"/>
      <c r="T275" s="6"/>
      <c r="U275" s="6"/>
      <c r="V275" s="32">
        <f>IF(COUNTBLANK(X274)=1,(V274*'Config.'!$D$9)+V274,(X274*'Config.'!$D$9)+X274)</f>
        <v>133418846.95772953</v>
      </c>
      <c r="W275" s="29" t="str">
        <f>IF(COUNTBLANK(X275)=1,IF(V275&lt;='Config.'!$D$7,"meta","nops"),"")</f>
        <v>nops</v>
      </c>
      <c r="X275" s="54"/>
    </row>
    <row r="276" spans="1:24" ht="19.5" customHeight="1">
      <c r="A276" s="44" t="s">
        <v>31</v>
      </c>
      <c r="B276" s="45">
        <v>273</v>
      </c>
      <c r="C276" s="46">
        <f>IF(COUNTBLANK(I275)=1,(C275*'Config.'!$D$9)+C275,(I275*'Config.'!$D$9)+I275)</f>
        <v>149832140.58228388</v>
      </c>
      <c r="D276" s="46">
        <f>IF(COUNTBLANK(I275)=1,I275*'Config.'!$D$11,I275*'Config.'!$D$11)</f>
        <v>0</v>
      </c>
      <c r="E276" s="46">
        <f t="shared" si="22"/>
        <v>7134863.8372516036</v>
      </c>
      <c r="F276" s="47"/>
      <c r="G276" s="48" t="str">
        <f t="shared" si="20"/>
        <v>-</v>
      </c>
      <c r="H276" s="29" t="str">
        <f>IF(COUNTBLANK(I276)=1,IF(C276&lt;='Config.'!$D$7,"meta","nops"),"")</f>
        <v>nops</v>
      </c>
      <c r="I276" s="55"/>
      <c r="J276" s="65"/>
      <c r="K276" s="15"/>
      <c r="L276" s="15"/>
      <c r="M276" s="51" t="str">
        <f t="shared" si="23"/>
        <v/>
      </c>
      <c r="N276" s="51" t="str">
        <f t="shared" si="21"/>
        <v/>
      </c>
      <c r="O276" s="57" t="str">
        <f t="shared" si="24"/>
        <v/>
      </c>
      <c r="P276" s="6"/>
      <c r="Q276" s="6"/>
      <c r="R276" s="6"/>
      <c r="S276" s="6"/>
      <c r="T276" s="6"/>
      <c r="U276" s="6"/>
      <c r="V276" s="32">
        <f>IF(COUNTBLANK(X275)=1,(V275*'Config.'!$D$9)+V275,(X275*'Config.'!$D$9)+X275)</f>
        <v>140089789.30561602</v>
      </c>
      <c r="W276" s="29" t="str">
        <f>IF(COUNTBLANK(X276)=1,IF(V276&lt;='Config.'!$D$7,"meta","nops"),"")</f>
        <v>nops</v>
      </c>
      <c r="X276" s="54"/>
    </row>
    <row r="277" spans="1:24" ht="19.5" customHeight="1">
      <c r="A277" s="44" t="s">
        <v>31</v>
      </c>
      <c r="B277" s="45">
        <v>274</v>
      </c>
      <c r="C277" s="46">
        <f>IF(COUNTBLANK(I276)=1,(C276*'Config.'!$D$9)+C276,(I276*'Config.'!$D$9)+I276)</f>
        <v>157323747.61139807</v>
      </c>
      <c r="D277" s="46">
        <f>IF(COUNTBLANK(I276)=1,I276*'Config.'!$D$11,I276*'Config.'!$D$11)</f>
        <v>0</v>
      </c>
      <c r="E277" s="46">
        <f t="shared" si="22"/>
        <v>7491607.0291141868</v>
      </c>
      <c r="F277" s="47"/>
      <c r="G277" s="48" t="str">
        <f t="shared" si="20"/>
        <v>-</v>
      </c>
      <c r="H277" s="29" t="str">
        <f>IF(COUNTBLANK(I277)=1,IF(C277&lt;='Config.'!$D$7,"meta","nops"),"")</f>
        <v>nops</v>
      </c>
      <c r="I277" s="55"/>
      <c r="J277" s="65"/>
      <c r="K277" s="15"/>
      <c r="L277" s="15"/>
      <c r="M277" s="51" t="str">
        <f t="shared" si="23"/>
        <v/>
      </c>
      <c r="N277" s="51" t="str">
        <f t="shared" si="21"/>
        <v/>
      </c>
      <c r="O277" s="57" t="str">
        <f t="shared" si="24"/>
        <v/>
      </c>
      <c r="P277" s="6"/>
      <c r="Q277" s="6"/>
      <c r="R277" s="6"/>
      <c r="S277" s="6"/>
      <c r="T277" s="6"/>
      <c r="U277" s="6"/>
      <c r="V277" s="32">
        <f>IF(COUNTBLANK(X276)=1,(V276*'Config.'!$D$9)+V276,(X276*'Config.'!$D$9)+X276)</f>
        <v>147094278.77089682</v>
      </c>
      <c r="W277" s="29" t="str">
        <f>IF(COUNTBLANK(X277)=1,IF(V277&lt;='Config.'!$D$7,"meta","nops"),"")</f>
        <v>nops</v>
      </c>
      <c r="X277" s="54"/>
    </row>
    <row r="278" spans="1:24" ht="19.5" customHeight="1">
      <c r="A278" s="44" t="s">
        <v>31</v>
      </c>
      <c r="B278" s="45">
        <v>275</v>
      </c>
      <c r="C278" s="46">
        <f>IF(COUNTBLANK(I277)=1,(C277*'Config.'!$D$9)+C277,(I277*'Config.'!$D$9)+I277)</f>
        <v>165189934.99196798</v>
      </c>
      <c r="D278" s="46">
        <f>IF(COUNTBLANK(I277)=1,I277*'Config.'!$D$11,I277*'Config.'!$D$11)</f>
        <v>0</v>
      </c>
      <c r="E278" s="46">
        <f t="shared" si="22"/>
        <v>7866187.380569905</v>
      </c>
      <c r="F278" s="47"/>
      <c r="G278" s="48" t="str">
        <f t="shared" si="20"/>
        <v>-</v>
      </c>
      <c r="H278" s="29" t="str">
        <f>IF(COUNTBLANK(I278)=1,IF(C278&lt;='Config.'!$D$7,"meta","nops"),"")</f>
        <v>nops</v>
      </c>
      <c r="I278" s="55"/>
      <c r="J278" s="65"/>
      <c r="K278" s="15"/>
      <c r="L278" s="15"/>
      <c r="M278" s="51" t="str">
        <f t="shared" si="23"/>
        <v/>
      </c>
      <c r="N278" s="51" t="str">
        <f t="shared" si="21"/>
        <v/>
      </c>
      <c r="O278" s="57" t="str">
        <f t="shared" si="24"/>
        <v/>
      </c>
      <c r="P278" s="6"/>
      <c r="Q278" s="6"/>
      <c r="R278" s="6"/>
      <c r="S278" s="6"/>
      <c r="T278" s="6"/>
      <c r="U278" s="6"/>
      <c r="V278" s="32">
        <f>IF(COUNTBLANK(X277)=1,(V277*'Config.'!$D$9)+V277,(X277*'Config.'!$D$9)+X277)</f>
        <v>154448992.70944166</v>
      </c>
      <c r="W278" s="29" t="str">
        <f>IF(COUNTBLANK(X278)=1,IF(V278&lt;='Config.'!$D$7,"meta","nops"),"")</f>
        <v>nops</v>
      </c>
      <c r="X278" s="54"/>
    </row>
    <row r="279" spans="1:24" ht="19.5" customHeight="1">
      <c r="A279" s="44" t="s">
        <v>31</v>
      </c>
      <c r="B279" s="45">
        <v>276</v>
      </c>
      <c r="C279" s="46">
        <f>IF(COUNTBLANK(I278)=1,(C278*'Config.'!$D$9)+C278,(I278*'Config.'!$D$9)+I278)</f>
        <v>173449431.74156636</v>
      </c>
      <c r="D279" s="46">
        <f>IF(COUNTBLANK(I278)=1,I278*'Config.'!$D$11,I278*'Config.'!$D$11)</f>
        <v>0</v>
      </c>
      <c r="E279" s="46">
        <f t="shared" si="22"/>
        <v>8259496.7495983839</v>
      </c>
      <c r="F279" s="47"/>
      <c r="G279" s="48" t="str">
        <f t="shared" si="20"/>
        <v>-</v>
      </c>
      <c r="H279" s="29" t="str">
        <f>IF(COUNTBLANK(I279)=1,IF(C279&lt;='Config.'!$D$7,"meta","nops"),"")</f>
        <v>nops</v>
      </c>
      <c r="I279" s="55"/>
      <c r="J279" s="65"/>
      <c r="K279" s="15"/>
      <c r="L279" s="15"/>
      <c r="M279" s="51" t="str">
        <f t="shared" si="23"/>
        <v/>
      </c>
      <c r="N279" s="51" t="str">
        <f t="shared" si="21"/>
        <v/>
      </c>
      <c r="O279" s="57" t="str">
        <f t="shared" si="24"/>
        <v/>
      </c>
      <c r="P279" s="6"/>
      <c r="Q279" s="6"/>
      <c r="R279" s="6"/>
      <c r="S279" s="6"/>
      <c r="T279" s="6"/>
      <c r="U279" s="6"/>
      <c r="V279" s="32">
        <f>IF(COUNTBLANK(X278)=1,(V278*'Config.'!$D$9)+V278,(X278*'Config.'!$D$9)+X278)</f>
        <v>162171442.34491375</v>
      </c>
      <c r="W279" s="29" t="str">
        <f>IF(COUNTBLANK(X279)=1,IF(V279&lt;='Config.'!$D$7,"meta","nops"),"")</f>
        <v>nops</v>
      </c>
      <c r="X279" s="54"/>
    </row>
    <row r="280" spans="1:24" ht="19.5" customHeight="1">
      <c r="A280" s="44" t="s">
        <v>31</v>
      </c>
      <c r="B280" s="45">
        <v>277</v>
      </c>
      <c r="C280" s="46">
        <f>IF(COUNTBLANK(I279)=1,(C279*'Config.'!$D$9)+C279,(I279*'Config.'!$D$9)+I279)</f>
        <v>182121903.32864469</v>
      </c>
      <c r="D280" s="46">
        <f>IF(COUNTBLANK(I279)=1,I279*'Config.'!$D$11,I279*'Config.'!$D$11)</f>
        <v>0</v>
      </c>
      <c r="E280" s="46">
        <f t="shared" si="22"/>
        <v>8672471.5870783329</v>
      </c>
      <c r="F280" s="47"/>
      <c r="G280" s="48" t="str">
        <f t="shared" si="20"/>
        <v>-</v>
      </c>
      <c r="H280" s="29" t="str">
        <f>IF(COUNTBLANK(I280)=1,IF(C280&lt;='Config.'!$D$7,"meta","nops"),"")</f>
        <v>nops</v>
      </c>
      <c r="I280" s="55"/>
      <c r="J280" s="65"/>
      <c r="K280" s="15"/>
      <c r="L280" s="15"/>
      <c r="M280" s="51" t="str">
        <f t="shared" si="23"/>
        <v/>
      </c>
      <c r="N280" s="51" t="str">
        <f t="shared" si="21"/>
        <v/>
      </c>
      <c r="O280" s="57" t="str">
        <f t="shared" si="24"/>
        <v/>
      </c>
      <c r="P280" s="6"/>
      <c r="Q280" s="6"/>
      <c r="R280" s="6"/>
      <c r="S280" s="6"/>
      <c r="T280" s="6"/>
      <c r="U280" s="6"/>
      <c r="V280" s="32">
        <f>IF(COUNTBLANK(X279)=1,(V279*'Config.'!$D$9)+V279,(X279*'Config.'!$D$9)+X279)</f>
        <v>170280014.46215943</v>
      </c>
      <c r="W280" s="29" t="str">
        <f>IF(COUNTBLANK(X280)=1,IF(V280&lt;='Config.'!$D$7,"meta","nops"),"")</f>
        <v>nops</v>
      </c>
      <c r="X280" s="54"/>
    </row>
    <row r="281" spans="1:24" ht="19.5" customHeight="1">
      <c r="A281" s="44" t="s">
        <v>31</v>
      </c>
      <c r="B281" s="45">
        <v>278</v>
      </c>
      <c r="C281" s="46">
        <f>IF(COUNTBLANK(I280)=1,(C280*'Config.'!$D$9)+C280,(I280*'Config.'!$D$9)+I280)</f>
        <v>191227998.49507692</v>
      </c>
      <c r="D281" s="46">
        <f>IF(COUNTBLANK(I280)=1,I280*'Config.'!$D$11,I280*'Config.'!$D$11)</f>
        <v>0</v>
      </c>
      <c r="E281" s="46">
        <f t="shared" si="22"/>
        <v>9106095.1664322317</v>
      </c>
      <c r="F281" s="47"/>
      <c r="G281" s="48" t="str">
        <f t="shared" si="20"/>
        <v>-</v>
      </c>
      <c r="H281" s="29" t="str">
        <f>IF(COUNTBLANK(I281)=1,IF(C281&lt;='Config.'!$D$7,"meta","nops"),"")</f>
        <v>nops</v>
      </c>
      <c r="I281" s="55"/>
      <c r="J281" s="65"/>
      <c r="K281" s="15"/>
      <c r="L281" s="15"/>
      <c r="M281" s="51" t="str">
        <f t="shared" si="23"/>
        <v/>
      </c>
      <c r="N281" s="51" t="str">
        <f t="shared" si="21"/>
        <v/>
      </c>
      <c r="O281" s="57" t="str">
        <f t="shared" si="24"/>
        <v/>
      </c>
      <c r="P281" s="6"/>
      <c r="Q281" s="6"/>
      <c r="R281" s="6"/>
      <c r="S281" s="6"/>
      <c r="T281" s="6"/>
      <c r="U281" s="6"/>
      <c r="V281" s="32">
        <f>IF(COUNTBLANK(X280)=1,(V280*'Config.'!$D$9)+V280,(X280*'Config.'!$D$9)+X280)</f>
        <v>178794015.18526739</v>
      </c>
      <c r="W281" s="29" t="str">
        <f>IF(COUNTBLANK(X281)=1,IF(V281&lt;='Config.'!$D$7,"meta","nops"),"")</f>
        <v>nops</v>
      </c>
      <c r="X281" s="54"/>
    </row>
    <row r="282" spans="1:24" ht="19.5" customHeight="1">
      <c r="A282" s="44" t="s">
        <v>31</v>
      </c>
      <c r="B282" s="45">
        <v>279</v>
      </c>
      <c r="C282" s="46">
        <f>IF(COUNTBLANK(I281)=1,(C281*'Config.'!$D$9)+C281,(I281*'Config.'!$D$9)+I281)</f>
        <v>200789398.41983077</v>
      </c>
      <c r="D282" s="46">
        <f>IF(COUNTBLANK(I281)=1,I281*'Config.'!$D$11,I281*'Config.'!$D$11)</f>
        <v>0</v>
      </c>
      <c r="E282" s="46">
        <f t="shared" si="22"/>
        <v>9561399.9247538447</v>
      </c>
      <c r="F282" s="47"/>
      <c r="G282" s="48" t="str">
        <f t="shared" si="20"/>
        <v>-</v>
      </c>
      <c r="H282" s="29" t="str">
        <f>IF(COUNTBLANK(I282)=1,IF(C282&lt;='Config.'!$D$7,"meta","nops"),"")</f>
        <v>nops</v>
      </c>
      <c r="I282" s="55"/>
      <c r="J282" s="65"/>
      <c r="K282" s="15"/>
      <c r="L282" s="15"/>
      <c r="M282" s="51" t="str">
        <f t="shared" si="23"/>
        <v/>
      </c>
      <c r="N282" s="51" t="str">
        <f t="shared" si="21"/>
        <v/>
      </c>
      <c r="O282" s="57" t="str">
        <f t="shared" si="24"/>
        <v/>
      </c>
      <c r="P282" s="6"/>
      <c r="Q282" s="6"/>
      <c r="R282" s="6"/>
      <c r="S282" s="6"/>
      <c r="T282" s="6"/>
      <c r="U282" s="6"/>
      <c r="V282" s="32">
        <f>IF(COUNTBLANK(X281)=1,(V281*'Config.'!$D$9)+V281,(X281*'Config.'!$D$9)+X281)</f>
        <v>187733715.94453076</v>
      </c>
      <c r="W282" s="29" t="str">
        <f>IF(COUNTBLANK(X282)=1,IF(V282&lt;='Config.'!$D$7,"meta","nops"),"")</f>
        <v>nops</v>
      </c>
      <c r="X282" s="54"/>
    </row>
    <row r="283" spans="1:24" ht="19.5" customHeight="1">
      <c r="A283" s="44" t="s">
        <v>31</v>
      </c>
      <c r="B283" s="45">
        <v>280</v>
      </c>
      <c r="C283" s="46">
        <f>IF(COUNTBLANK(I282)=1,(C282*'Config.'!$D$9)+C282,(I282*'Config.'!$D$9)+I282)</f>
        <v>210828868.34082231</v>
      </c>
      <c r="D283" s="46">
        <f>IF(COUNTBLANK(I282)=1,I282*'Config.'!$D$11,I282*'Config.'!$D$11)</f>
        <v>0</v>
      </c>
      <c r="E283" s="46">
        <f t="shared" si="22"/>
        <v>10039469.92099154</v>
      </c>
      <c r="F283" s="47"/>
      <c r="G283" s="48" t="str">
        <f t="shared" si="20"/>
        <v>-</v>
      </c>
      <c r="H283" s="29" t="str">
        <f>IF(COUNTBLANK(I283)=1,IF(C283&lt;='Config.'!$D$7,"meta","nops"),"")</f>
        <v>nops</v>
      </c>
      <c r="I283" s="55"/>
      <c r="J283" s="65"/>
      <c r="K283" s="15"/>
      <c r="L283" s="15"/>
      <c r="M283" s="51" t="str">
        <f t="shared" si="23"/>
        <v/>
      </c>
      <c r="N283" s="51" t="str">
        <f t="shared" si="21"/>
        <v/>
      </c>
      <c r="O283" s="57" t="str">
        <f t="shared" si="24"/>
        <v/>
      </c>
      <c r="P283" s="6"/>
      <c r="Q283" s="6"/>
      <c r="R283" s="6"/>
      <c r="S283" s="6"/>
      <c r="T283" s="6"/>
      <c r="U283" s="6"/>
      <c r="V283" s="32">
        <f>IF(COUNTBLANK(X282)=1,(V282*'Config.'!$D$9)+V282,(X282*'Config.'!$D$9)+X282)</f>
        <v>197120401.7417573</v>
      </c>
      <c r="W283" s="29" t="str">
        <f>IF(COUNTBLANK(X283)=1,IF(V283&lt;='Config.'!$D$7,"meta","nops"),"")</f>
        <v>nops</v>
      </c>
      <c r="X283" s="54"/>
    </row>
    <row r="284" spans="1:24" ht="19.5" customHeight="1">
      <c r="A284" s="44" t="s">
        <v>31</v>
      </c>
      <c r="B284" s="45">
        <v>281</v>
      </c>
      <c r="C284" s="46">
        <f>IF(COUNTBLANK(I283)=1,(C283*'Config.'!$D$9)+C283,(I283*'Config.'!$D$9)+I283)</f>
        <v>221370311.75786343</v>
      </c>
      <c r="D284" s="46">
        <f>IF(COUNTBLANK(I283)=1,I283*'Config.'!$D$11,I283*'Config.'!$D$11)</f>
        <v>0</v>
      </c>
      <c r="E284" s="46">
        <f t="shared" si="22"/>
        <v>10541443.417041123</v>
      </c>
      <c r="F284" s="47"/>
      <c r="G284" s="48" t="str">
        <f t="shared" si="20"/>
        <v>-</v>
      </c>
      <c r="H284" s="29" t="str">
        <f>IF(COUNTBLANK(I284)=1,IF(C284&lt;='Config.'!$D$7,"meta","nops"),"")</f>
        <v>nops</v>
      </c>
      <c r="I284" s="55"/>
      <c r="J284" s="65"/>
      <c r="K284" s="15"/>
      <c r="L284" s="15"/>
      <c r="M284" s="51" t="str">
        <f t="shared" si="23"/>
        <v/>
      </c>
      <c r="N284" s="51" t="str">
        <f t="shared" si="21"/>
        <v/>
      </c>
      <c r="O284" s="57" t="str">
        <f t="shared" si="24"/>
        <v/>
      </c>
      <c r="P284" s="6"/>
      <c r="Q284" s="6"/>
      <c r="R284" s="6"/>
      <c r="S284" s="6"/>
      <c r="T284" s="6"/>
      <c r="U284" s="6"/>
      <c r="V284" s="32">
        <f>IF(COUNTBLANK(X283)=1,(V283*'Config.'!$D$9)+V283,(X283*'Config.'!$D$9)+X283)</f>
        <v>206976421.82884517</v>
      </c>
      <c r="W284" s="29" t="str">
        <f>IF(COUNTBLANK(X284)=1,IF(V284&lt;='Config.'!$D$7,"meta","nops"),"")</f>
        <v>nops</v>
      </c>
      <c r="X284" s="54"/>
    </row>
    <row r="285" spans="1:24" ht="19.5" customHeight="1">
      <c r="A285" s="44" t="s">
        <v>31</v>
      </c>
      <c r="B285" s="45">
        <v>282</v>
      </c>
      <c r="C285" s="46">
        <f>IF(COUNTBLANK(I284)=1,(C284*'Config.'!$D$9)+C284,(I284*'Config.'!$D$9)+I284)</f>
        <v>232438827.34575659</v>
      </c>
      <c r="D285" s="46">
        <f>IF(COUNTBLANK(I284)=1,I284*'Config.'!$D$11,I284*'Config.'!$D$11)</f>
        <v>0</v>
      </c>
      <c r="E285" s="46">
        <f t="shared" si="22"/>
        <v>11068515.587893158</v>
      </c>
      <c r="F285" s="47"/>
      <c r="G285" s="48" t="str">
        <f t="shared" si="20"/>
        <v>-</v>
      </c>
      <c r="H285" s="29" t="str">
        <f>IF(COUNTBLANK(I285)=1,IF(C285&lt;='Config.'!$D$7,"meta","nops"),"")</f>
        <v>nops</v>
      </c>
      <c r="I285" s="55"/>
      <c r="J285" s="65"/>
      <c r="K285" s="15"/>
      <c r="L285" s="15"/>
      <c r="M285" s="51" t="str">
        <f t="shared" si="23"/>
        <v/>
      </c>
      <c r="N285" s="51" t="str">
        <f t="shared" si="21"/>
        <v/>
      </c>
      <c r="O285" s="57" t="str">
        <f t="shared" si="24"/>
        <v/>
      </c>
      <c r="P285" s="6"/>
      <c r="Q285" s="6"/>
      <c r="R285" s="6"/>
      <c r="S285" s="6"/>
      <c r="T285" s="6"/>
      <c r="U285" s="6"/>
      <c r="V285" s="32">
        <f>IF(COUNTBLANK(X284)=1,(V284*'Config.'!$D$9)+V284,(X284*'Config.'!$D$9)+X284)</f>
        <v>217325242.92028743</v>
      </c>
      <c r="W285" s="29" t="str">
        <f>IF(COUNTBLANK(X285)=1,IF(V285&lt;='Config.'!$D$7,"meta","nops"),"")</f>
        <v>nops</v>
      </c>
      <c r="X285" s="54"/>
    </row>
    <row r="286" spans="1:24" ht="19.5" customHeight="1">
      <c r="A286" s="44" t="s">
        <v>31</v>
      </c>
      <c r="B286" s="45">
        <v>283</v>
      </c>
      <c r="C286" s="46">
        <f>IF(COUNTBLANK(I285)=1,(C285*'Config.'!$D$9)+C285,(I285*'Config.'!$D$9)+I285)</f>
        <v>244060768.7130444</v>
      </c>
      <c r="D286" s="46">
        <f>IF(COUNTBLANK(I285)=1,I285*'Config.'!$D$11,I285*'Config.'!$D$11)</f>
        <v>0</v>
      </c>
      <c r="E286" s="46">
        <f t="shared" si="22"/>
        <v>11621941.367287815</v>
      </c>
      <c r="F286" s="47"/>
      <c r="G286" s="48" t="str">
        <f t="shared" si="20"/>
        <v>-</v>
      </c>
      <c r="H286" s="29" t="str">
        <f>IF(COUNTBLANK(I286)=1,IF(C286&lt;='Config.'!$D$7,"meta","nops"),"")</f>
        <v>nops</v>
      </c>
      <c r="I286" s="55"/>
      <c r="J286" s="65"/>
      <c r="K286" s="15"/>
      <c r="L286" s="15"/>
      <c r="M286" s="51" t="str">
        <f t="shared" si="23"/>
        <v/>
      </c>
      <c r="N286" s="51" t="str">
        <f t="shared" si="21"/>
        <v/>
      </c>
      <c r="O286" s="57" t="str">
        <f t="shared" si="24"/>
        <v/>
      </c>
      <c r="P286" s="6"/>
      <c r="Q286" s="6"/>
      <c r="R286" s="6"/>
      <c r="S286" s="6"/>
      <c r="T286" s="6"/>
      <c r="U286" s="6"/>
      <c r="V286" s="32">
        <f>IF(COUNTBLANK(X285)=1,(V285*'Config.'!$D$9)+V285,(X285*'Config.'!$D$9)+X285)</f>
        <v>228191505.06630179</v>
      </c>
      <c r="W286" s="29" t="str">
        <f>IF(COUNTBLANK(X286)=1,IF(V286&lt;='Config.'!$D$7,"meta","nops"),"")</f>
        <v>nops</v>
      </c>
      <c r="X286" s="54"/>
    </row>
    <row r="287" spans="1:24" ht="19.5" customHeight="1">
      <c r="A287" s="44" t="s">
        <v>31</v>
      </c>
      <c r="B287" s="45">
        <v>284</v>
      </c>
      <c r="C287" s="46">
        <f>IF(COUNTBLANK(I286)=1,(C286*'Config.'!$D$9)+C286,(I286*'Config.'!$D$9)+I286)</f>
        <v>256263807.14869663</v>
      </c>
      <c r="D287" s="46">
        <f>IF(COUNTBLANK(I286)=1,I286*'Config.'!$D$11,I286*'Config.'!$D$11)</f>
        <v>0</v>
      </c>
      <c r="E287" s="46">
        <f t="shared" si="22"/>
        <v>12203038.435652226</v>
      </c>
      <c r="F287" s="47"/>
      <c r="G287" s="48" t="str">
        <f t="shared" si="20"/>
        <v>-</v>
      </c>
      <c r="H287" s="29" t="str">
        <f>IF(COUNTBLANK(I287)=1,IF(C287&lt;='Config.'!$D$7,"meta","nops"),"")</f>
        <v>nops</v>
      </c>
      <c r="I287" s="55"/>
      <c r="J287" s="65"/>
      <c r="K287" s="15"/>
      <c r="L287" s="15"/>
      <c r="M287" s="51" t="str">
        <f t="shared" si="23"/>
        <v/>
      </c>
      <c r="N287" s="51" t="str">
        <f t="shared" si="21"/>
        <v/>
      </c>
      <c r="O287" s="57" t="str">
        <f t="shared" si="24"/>
        <v/>
      </c>
      <c r="P287" s="6"/>
      <c r="Q287" s="6"/>
      <c r="R287" s="6"/>
      <c r="S287" s="6"/>
      <c r="T287" s="6"/>
      <c r="U287" s="6"/>
      <c r="V287" s="32">
        <f>IF(COUNTBLANK(X286)=1,(V286*'Config.'!$D$9)+V286,(X286*'Config.'!$D$9)+X286)</f>
        <v>239601080.31961688</v>
      </c>
      <c r="W287" s="29" t="str">
        <f>IF(COUNTBLANK(X287)=1,IF(V287&lt;='Config.'!$D$7,"meta","nops"),"")</f>
        <v>nops</v>
      </c>
      <c r="X287" s="54"/>
    </row>
    <row r="288" spans="1:24" ht="19.5" customHeight="1">
      <c r="A288" s="44" t="s">
        <v>31</v>
      </c>
      <c r="B288" s="45">
        <v>285</v>
      </c>
      <c r="C288" s="46">
        <f>IF(COUNTBLANK(I287)=1,(C287*'Config.'!$D$9)+C287,(I287*'Config.'!$D$9)+I287)</f>
        <v>269076997.50613147</v>
      </c>
      <c r="D288" s="46">
        <f>IF(COUNTBLANK(I287)=1,I287*'Config.'!$D$11,I287*'Config.'!$D$11)</f>
        <v>0</v>
      </c>
      <c r="E288" s="46">
        <f t="shared" si="22"/>
        <v>12813190.357434839</v>
      </c>
      <c r="F288" s="47"/>
      <c r="G288" s="48" t="str">
        <f t="shared" si="20"/>
        <v>-</v>
      </c>
      <c r="H288" s="29" t="str">
        <f>IF(COUNTBLANK(I288)=1,IF(C288&lt;='Config.'!$D$7,"meta","nops"),"")</f>
        <v>nops</v>
      </c>
      <c r="I288" s="55"/>
      <c r="J288" s="65"/>
      <c r="K288" s="15"/>
      <c r="L288" s="15"/>
      <c r="M288" s="51" t="str">
        <f t="shared" si="23"/>
        <v/>
      </c>
      <c r="N288" s="51" t="str">
        <f t="shared" si="21"/>
        <v/>
      </c>
      <c r="O288" s="57" t="str">
        <f t="shared" si="24"/>
        <v/>
      </c>
      <c r="P288" s="6"/>
      <c r="Q288" s="6"/>
      <c r="R288" s="6"/>
      <c r="S288" s="6"/>
      <c r="T288" s="6"/>
      <c r="U288" s="6"/>
      <c r="V288" s="32">
        <f>IF(COUNTBLANK(X287)=1,(V287*'Config.'!$D$9)+V287,(X287*'Config.'!$D$9)+X287)</f>
        <v>251581134.33559772</v>
      </c>
      <c r="W288" s="29" t="str">
        <f>IF(COUNTBLANK(X288)=1,IF(V288&lt;='Config.'!$D$7,"meta","nops"),"")</f>
        <v>nops</v>
      </c>
      <c r="X288" s="54"/>
    </row>
    <row r="289" spans="1:24" ht="19.5" customHeight="1">
      <c r="A289" s="44" t="s">
        <v>31</v>
      </c>
      <c r="B289" s="45">
        <v>286</v>
      </c>
      <c r="C289" s="46">
        <f>IF(COUNTBLANK(I288)=1,(C288*'Config.'!$D$9)+C288,(I288*'Config.'!$D$9)+I288)</f>
        <v>282530847.38143802</v>
      </c>
      <c r="D289" s="46">
        <f>IF(COUNTBLANK(I288)=1,I288*'Config.'!$D$11,I288*'Config.'!$D$11)</f>
        <v>0</v>
      </c>
      <c r="E289" s="46">
        <f t="shared" si="22"/>
        <v>13453849.875306547</v>
      </c>
      <c r="F289" s="47"/>
      <c r="G289" s="48" t="str">
        <f t="shared" si="20"/>
        <v>-</v>
      </c>
      <c r="H289" s="29" t="str">
        <f>IF(COUNTBLANK(I289)=1,IF(C289&lt;='Config.'!$D$7,"meta","nops"),"")</f>
        <v>nops</v>
      </c>
      <c r="I289" s="55"/>
      <c r="J289" s="65"/>
      <c r="K289" s="15"/>
      <c r="L289" s="15"/>
      <c r="M289" s="51" t="str">
        <f t="shared" si="23"/>
        <v/>
      </c>
      <c r="N289" s="51" t="str">
        <f t="shared" si="21"/>
        <v/>
      </c>
      <c r="O289" s="57" t="str">
        <f t="shared" si="24"/>
        <v/>
      </c>
      <c r="P289" s="6"/>
      <c r="Q289" s="6"/>
      <c r="R289" s="6"/>
      <c r="S289" s="6"/>
      <c r="T289" s="6"/>
      <c r="U289" s="6"/>
      <c r="V289" s="32">
        <f>IF(COUNTBLANK(X288)=1,(V288*'Config.'!$D$9)+V288,(X288*'Config.'!$D$9)+X288)</f>
        <v>264160191.05237761</v>
      </c>
      <c r="W289" s="29" t="str">
        <f>IF(COUNTBLANK(X289)=1,IF(V289&lt;='Config.'!$D$7,"meta","nops"),"")</f>
        <v>nops</v>
      </c>
      <c r="X289" s="54"/>
    </row>
    <row r="290" spans="1:24" ht="19.5" customHeight="1">
      <c r="A290" s="44" t="s">
        <v>31</v>
      </c>
      <c r="B290" s="45">
        <v>287</v>
      </c>
      <c r="C290" s="46">
        <f>IF(COUNTBLANK(I289)=1,(C289*'Config.'!$D$9)+C289,(I289*'Config.'!$D$9)+I289)</f>
        <v>296657389.75050992</v>
      </c>
      <c r="D290" s="46">
        <f>IF(COUNTBLANK(I289)=1,I289*'Config.'!$D$11,I289*'Config.'!$D$11)</f>
        <v>0</v>
      </c>
      <c r="E290" s="46">
        <f t="shared" si="22"/>
        <v>14126542.369071901</v>
      </c>
      <c r="F290" s="47"/>
      <c r="G290" s="48" t="str">
        <f t="shared" si="20"/>
        <v>-</v>
      </c>
      <c r="H290" s="29" t="str">
        <f>IF(COUNTBLANK(I290)=1,IF(C290&lt;='Config.'!$D$7,"meta","nops"),"")</f>
        <v>nops</v>
      </c>
      <c r="I290" s="55"/>
      <c r="J290" s="65"/>
      <c r="K290" s="15"/>
      <c r="L290" s="15"/>
      <c r="M290" s="51" t="str">
        <f t="shared" si="23"/>
        <v/>
      </c>
      <c r="N290" s="51" t="str">
        <f t="shared" si="21"/>
        <v/>
      </c>
      <c r="O290" s="57" t="str">
        <f t="shared" si="24"/>
        <v/>
      </c>
      <c r="P290" s="6"/>
      <c r="Q290" s="6"/>
      <c r="R290" s="6"/>
      <c r="S290" s="6"/>
      <c r="T290" s="6"/>
      <c r="U290" s="6"/>
      <c r="V290" s="32">
        <f>IF(COUNTBLANK(X289)=1,(V289*'Config.'!$D$9)+V289,(X289*'Config.'!$D$9)+X289)</f>
        <v>277368200.6049965</v>
      </c>
      <c r="W290" s="29" t="str">
        <f>IF(COUNTBLANK(X290)=1,IF(V290&lt;='Config.'!$D$7,"meta","nops"),"")</f>
        <v>nops</v>
      </c>
      <c r="X290" s="54"/>
    </row>
    <row r="291" spans="1:24" ht="19.5" customHeight="1">
      <c r="A291" s="44" t="s">
        <v>31</v>
      </c>
      <c r="B291" s="45">
        <v>288</v>
      </c>
      <c r="C291" s="46">
        <f>IF(COUNTBLANK(I290)=1,(C290*'Config.'!$D$9)+C290,(I290*'Config.'!$D$9)+I290)</f>
        <v>311490259.23803544</v>
      </c>
      <c r="D291" s="46">
        <f>IF(COUNTBLANK(I290)=1,I290*'Config.'!$D$11,I290*'Config.'!$D$11)</f>
        <v>0</v>
      </c>
      <c r="E291" s="46">
        <f t="shared" si="22"/>
        <v>14832869.487525523</v>
      </c>
      <c r="F291" s="47"/>
      <c r="G291" s="48" t="str">
        <f t="shared" si="20"/>
        <v>-</v>
      </c>
      <c r="H291" s="29" t="str">
        <f>IF(COUNTBLANK(I291)=1,IF(C291&lt;='Config.'!$D$7,"meta","nops"),"")</f>
        <v>nops</v>
      </c>
      <c r="I291" s="55"/>
      <c r="J291" s="65"/>
      <c r="K291" s="15"/>
      <c r="L291" s="15"/>
      <c r="M291" s="51" t="str">
        <f t="shared" si="23"/>
        <v/>
      </c>
      <c r="N291" s="51" t="str">
        <f t="shared" si="21"/>
        <v/>
      </c>
      <c r="O291" s="57" t="str">
        <f t="shared" si="24"/>
        <v/>
      </c>
      <c r="P291" s="6"/>
      <c r="Q291" s="6"/>
      <c r="R291" s="6"/>
      <c r="S291" s="6"/>
      <c r="T291" s="6"/>
      <c r="U291" s="6"/>
      <c r="V291" s="32">
        <f>IF(COUNTBLANK(X290)=1,(V290*'Config.'!$D$9)+V290,(X290*'Config.'!$D$9)+X290)</f>
        <v>291236610.63524634</v>
      </c>
      <c r="W291" s="29" t="str">
        <f>IF(COUNTBLANK(X291)=1,IF(V291&lt;='Config.'!$D$7,"meta","nops"),"")</f>
        <v>nops</v>
      </c>
      <c r="X291" s="54"/>
    </row>
    <row r="292" spans="1:24" ht="19.5" customHeight="1">
      <c r="A292" s="44" t="s">
        <v>31</v>
      </c>
      <c r="B292" s="45">
        <v>289</v>
      </c>
      <c r="C292" s="46">
        <f>IF(COUNTBLANK(I291)=1,(C291*'Config.'!$D$9)+C291,(I291*'Config.'!$D$9)+I291)</f>
        <v>327064772.19993722</v>
      </c>
      <c r="D292" s="46">
        <f>IF(COUNTBLANK(I291)=1,I291*'Config.'!$D$11,I291*'Config.'!$D$11)</f>
        <v>0</v>
      </c>
      <c r="E292" s="46">
        <f t="shared" si="22"/>
        <v>15574512.961901784</v>
      </c>
      <c r="F292" s="47"/>
      <c r="G292" s="48" t="str">
        <f t="shared" si="20"/>
        <v>-</v>
      </c>
      <c r="H292" s="29" t="str">
        <f>IF(COUNTBLANK(I292)=1,IF(C292&lt;='Config.'!$D$7,"meta","nops"),"")</f>
        <v>nops</v>
      </c>
      <c r="I292" s="55"/>
      <c r="J292" s="65"/>
      <c r="K292" s="15"/>
      <c r="L292" s="15"/>
      <c r="M292" s="51" t="str">
        <f t="shared" si="23"/>
        <v/>
      </c>
      <c r="N292" s="51" t="str">
        <f t="shared" si="21"/>
        <v/>
      </c>
      <c r="O292" s="57" t="str">
        <f t="shared" si="24"/>
        <v/>
      </c>
      <c r="P292" s="6"/>
      <c r="Q292" s="6"/>
      <c r="R292" s="6"/>
      <c r="S292" s="6"/>
      <c r="T292" s="6"/>
      <c r="U292" s="6"/>
      <c r="V292" s="32">
        <f>IF(COUNTBLANK(X291)=1,(V291*'Config.'!$D$9)+V291,(X291*'Config.'!$D$9)+X291)</f>
        <v>305798441.16700864</v>
      </c>
      <c r="W292" s="29" t="str">
        <f>IF(COUNTBLANK(X292)=1,IF(V292&lt;='Config.'!$D$7,"meta","nops"),"")</f>
        <v>nops</v>
      </c>
      <c r="X292" s="54"/>
    </row>
    <row r="293" spans="1:24" ht="19.5" customHeight="1">
      <c r="A293" s="44" t="s">
        <v>31</v>
      </c>
      <c r="B293" s="45">
        <v>290</v>
      </c>
      <c r="C293" s="46">
        <f>IF(COUNTBLANK(I292)=1,(C292*'Config.'!$D$9)+C292,(I292*'Config.'!$D$9)+I292)</f>
        <v>343418010.80993408</v>
      </c>
      <c r="D293" s="46">
        <f>IF(COUNTBLANK(I292)=1,I292*'Config.'!$D$11,I292*'Config.'!$D$11)</f>
        <v>0</v>
      </c>
      <c r="E293" s="46">
        <f t="shared" si="22"/>
        <v>16353238.609996855</v>
      </c>
      <c r="F293" s="47"/>
      <c r="G293" s="48" t="str">
        <f t="shared" si="20"/>
        <v>-</v>
      </c>
      <c r="H293" s="29" t="str">
        <f>IF(COUNTBLANK(I293)=1,IF(C293&lt;='Config.'!$D$7,"meta","nops"),"")</f>
        <v>nops</v>
      </c>
      <c r="I293" s="55"/>
      <c r="J293" s="65"/>
      <c r="K293" s="15"/>
      <c r="L293" s="15"/>
      <c r="M293" s="51" t="str">
        <f t="shared" si="23"/>
        <v/>
      </c>
      <c r="N293" s="51" t="str">
        <f t="shared" si="21"/>
        <v/>
      </c>
      <c r="O293" s="57" t="str">
        <f t="shared" si="24"/>
        <v/>
      </c>
      <c r="P293" s="6"/>
      <c r="Q293" s="6"/>
      <c r="R293" s="6"/>
      <c r="S293" s="6"/>
      <c r="T293" s="6"/>
      <c r="U293" s="6"/>
      <c r="V293" s="32">
        <f>IF(COUNTBLANK(X292)=1,(V292*'Config.'!$D$9)+V292,(X292*'Config.'!$D$9)+X292)</f>
        <v>321088363.22535908</v>
      </c>
      <c r="W293" s="29" t="str">
        <f>IF(COUNTBLANK(X293)=1,IF(V293&lt;='Config.'!$D$7,"meta","nops"),"")</f>
        <v>nops</v>
      </c>
      <c r="X293" s="54"/>
    </row>
    <row r="294" spans="1:24" ht="19.5" customHeight="1">
      <c r="A294" s="44" t="s">
        <v>31</v>
      </c>
      <c r="B294" s="45">
        <v>291</v>
      </c>
      <c r="C294" s="46">
        <f>IF(COUNTBLANK(I293)=1,(C293*'Config.'!$D$9)+C293,(I293*'Config.'!$D$9)+I293)</f>
        <v>360588911.35043079</v>
      </c>
      <c r="D294" s="46">
        <f>IF(COUNTBLANK(I293)=1,I293*'Config.'!$D$11,I293*'Config.'!$D$11)</f>
        <v>0</v>
      </c>
      <c r="E294" s="46">
        <f t="shared" si="22"/>
        <v>17170900.540496707</v>
      </c>
      <c r="F294" s="47"/>
      <c r="G294" s="48" t="str">
        <f t="shared" si="20"/>
        <v>-</v>
      </c>
      <c r="H294" s="29" t="str">
        <f>IF(COUNTBLANK(I294)=1,IF(C294&lt;='Config.'!$D$7,"meta","nops"),"")</f>
        <v>nops</v>
      </c>
      <c r="I294" s="55"/>
      <c r="J294" s="65"/>
      <c r="K294" s="15"/>
      <c r="L294" s="15"/>
      <c r="M294" s="51" t="str">
        <f t="shared" si="23"/>
        <v/>
      </c>
      <c r="N294" s="51" t="str">
        <f t="shared" si="21"/>
        <v/>
      </c>
      <c r="O294" s="57" t="str">
        <f t="shared" si="24"/>
        <v/>
      </c>
      <c r="P294" s="6"/>
      <c r="Q294" s="6"/>
      <c r="R294" s="6"/>
      <c r="S294" s="6"/>
      <c r="T294" s="6"/>
      <c r="U294" s="6"/>
      <c r="V294" s="32">
        <f>IF(COUNTBLANK(X293)=1,(V293*'Config.'!$D$9)+V293,(X293*'Config.'!$D$9)+X293)</f>
        <v>337142781.38662702</v>
      </c>
      <c r="W294" s="29" t="str">
        <f>IF(COUNTBLANK(X294)=1,IF(V294&lt;='Config.'!$D$7,"meta","nops"),"")</f>
        <v>nops</v>
      </c>
      <c r="X294" s="54"/>
    </row>
    <row r="295" spans="1:24" ht="19.5" customHeight="1">
      <c r="A295" s="44" t="s">
        <v>31</v>
      </c>
      <c r="B295" s="45">
        <v>292</v>
      </c>
      <c r="C295" s="46">
        <f>IF(COUNTBLANK(I294)=1,(C294*'Config.'!$D$9)+C294,(I294*'Config.'!$D$9)+I294)</f>
        <v>378618356.9179523</v>
      </c>
      <c r="D295" s="46">
        <f>IF(COUNTBLANK(I294)=1,I294*'Config.'!$D$11,I294*'Config.'!$D$11)</f>
        <v>0</v>
      </c>
      <c r="E295" s="46">
        <f t="shared" si="22"/>
        <v>18029445.567521513</v>
      </c>
      <c r="F295" s="47"/>
      <c r="G295" s="48" t="str">
        <f t="shared" si="20"/>
        <v>-</v>
      </c>
      <c r="H295" s="29" t="str">
        <f>IF(COUNTBLANK(I295)=1,IF(C295&lt;='Config.'!$D$7,"meta","nops"),"")</f>
        <v>nops</v>
      </c>
      <c r="I295" s="55"/>
      <c r="J295" s="65"/>
      <c r="K295" s="15"/>
      <c r="L295" s="15"/>
      <c r="M295" s="51" t="str">
        <f t="shared" si="23"/>
        <v/>
      </c>
      <c r="N295" s="51" t="str">
        <f t="shared" si="21"/>
        <v/>
      </c>
      <c r="O295" s="57" t="str">
        <f t="shared" si="24"/>
        <v/>
      </c>
      <c r="P295" s="6"/>
      <c r="Q295" s="6"/>
      <c r="R295" s="6"/>
      <c r="S295" s="6"/>
      <c r="T295" s="6"/>
      <c r="U295" s="6"/>
      <c r="V295" s="32">
        <f>IF(COUNTBLANK(X294)=1,(V294*'Config.'!$D$9)+V294,(X294*'Config.'!$D$9)+X294)</f>
        <v>353999920.45595837</v>
      </c>
      <c r="W295" s="29" t="str">
        <f>IF(COUNTBLANK(X295)=1,IF(V295&lt;='Config.'!$D$7,"meta","nops"),"")</f>
        <v>nops</v>
      </c>
      <c r="X295" s="54"/>
    </row>
    <row r="296" spans="1:24" ht="19.5" customHeight="1">
      <c r="A296" s="44" t="s">
        <v>31</v>
      </c>
      <c r="B296" s="45">
        <v>293</v>
      </c>
      <c r="C296" s="46">
        <f>IF(COUNTBLANK(I295)=1,(C295*'Config.'!$D$9)+C295,(I295*'Config.'!$D$9)+I295)</f>
        <v>397549274.76384991</v>
      </c>
      <c r="D296" s="46">
        <f>IF(COUNTBLANK(I295)=1,I295*'Config.'!$D$11,I295*'Config.'!$D$11)</f>
        <v>0</v>
      </c>
      <c r="E296" s="46">
        <f t="shared" si="22"/>
        <v>18930917.845897615</v>
      </c>
      <c r="F296" s="47"/>
      <c r="G296" s="48" t="str">
        <f t="shared" si="20"/>
        <v>-</v>
      </c>
      <c r="H296" s="29" t="str">
        <f>IF(COUNTBLANK(I296)=1,IF(C296&lt;='Config.'!$D$7,"meta","nops"),"")</f>
        <v>nops</v>
      </c>
      <c r="I296" s="55"/>
      <c r="J296" s="65"/>
      <c r="K296" s="15"/>
      <c r="L296" s="15"/>
      <c r="M296" s="51" t="str">
        <f t="shared" si="23"/>
        <v/>
      </c>
      <c r="N296" s="51" t="str">
        <f t="shared" si="21"/>
        <v/>
      </c>
      <c r="O296" s="57" t="str">
        <f t="shared" si="24"/>
        <v/>
      </c>
      <c r="P296" s="6"/>
      <c r="Q296" s="6"/>
      <c r="R296" s="6"/>
      <c r="S296" s="6"/>
      <c r="T296" s="6"/>
      <c r="U296" s="6"/>
      <c r="V296" s="32">
        <f>IF(COUNTBLANK(X295)=1,(V295*'Config.'!$D$9)+V295,(X295*'Config.'!$D$9)+X295)</f>
        <v>371699916.47875631</v>
      </c>
      <c r="W296" s="29" t="str">
        <f>IF(COUNTBLANK(X296)=1,IF(V296&lt;='Config.'!$D$7,"meta","nops"),"")</f>
        <v>nops</v>
      </c>
      <c r="X296" s="54"/>
    </row>
    <row r="297" spans="1:24" ht="19.5" customHeight="1">
      <c r="A297" s="44" t="s">
        <v>31</v>
      </c>
      <c r="B297" s="45">
        <v>294</v>
      </c>
      <c r="C297" s="46">
        <f>IF(COUNTBLANK(I296)=1,(C296*'Config.'!$D$9)+C296,(I296*'Config.'!$D$9)+I296)</f>
        <v>417426738.50204241</v>
      </c>
      <c r="D297" s="46">
        <f>IF(COUNTBLANK(I296)=1,I296*'Config.'!$D$11,I296*'Config.'!$D$11)</f>
        <v>0</v>
      </c>
      <c r="E297" s="46">
        <f t="shared" si="22"/>
        <v>19877463.738192499</v>
      </c>
      <c r="F297" s="47"/>
      <c r="G297" s="48" t="str">
        <f t="shared" si="20"/>
        <v>-</v>
      </c>
      <c r="H297" s="29" t="str">
        <f>IF(COUNTBLANK(I297)=1,IF(C297&lt;='Config.'!$D$7,"meta","nops"),"")</f>
        <v>nops</v>
      </c>
      <c r="I297" s="55"/>
      <c r="J297" s="65"/>
      <c r="K297" s="15"/>
      <c r="L297" s="15"/>
      <c r="M297" s="51" t="str">
        <f t="shared" si="23"/>
        <v/>
      </c>
      <c r="N297" s="51" t="str">
        <f t="shared" si="21"/>
        <v/>
      </c>
      <c r="O297" s="57" t="str">
        <f t="shared" si="24"/>
        <v/>
      </c>
      <c r="P297" s="6"/>
      <c r="Q297" s="6"/>
      <c r="R297" s="6"/>
      <c r="S297" s="6"/>
      <c r="T297" s="6"/>
      <c r="U297" s="6"/>
      <c r="V297" s="32">
        <f>IF(COUNTBLANK(X296)=1,(V296*'Config.'!$D$9)+V296,(X296*'Config.'!$D$9)+X296)</f>
        <v>390284912.30269414</v>
      </c>
      <c r="W297" s="29" t="str">
        <f>IF(COUNTBLANK(X297)=1,IF(V297&lt;='Config.'!$D$7,"meta","nops"),"")</f>
        <v>nops</v>
      </c>
      <c r="X297" s="54"/>
    </row>
    <row r="298" spans="1:24" ht="19.5" customHeight="1">
      <c r="A298" s="44" t="s">
        <v>31</v>
      </c>
      <c r="B298" s="45">
        <v>295</v>
      </c>
      <c r="C298" s="46">
        <f>IF(COUNTBLANK(I297)=1,(C297*'Config.'!$D$9)+C297,(I297*'Config.'!$D$9)+I297)</f>
        <v>438298075.42714453</v>
      </c>
      <c r="D298" s="46">
        <f>IF(COUNTBLANK(I297)=1,I297*'Config.'!$D$11,I297*'Config.'!$D$11)</f>
        <v>0</v>
      </c>
      <c r="E298" s="46">
        <f t="shared" si="22"/>
        <v>20871336.925102115</v>
      </c>
      <c r="F298" s="47"/>
      <c r="G298" s="48" t="str">
        <f t="shared" si="20"/>
        <v>-</v>
      </c>
      <c r="H298" s="29" t="str">
        <f>IF(COUNTBLANK(I298)=1,IF(C298&lt;='Config.'!$D$7,"meta","nops"),"")</f>
        <v>nops</v>
      </c>
      <c r="I298" s="55"/>
      <c r="J298" s="65"/>
      <c r="K298" s="15"/>
      <c r="L298" s="15"/>
      <c r="M298" s="51" t="str">
        <f t="shared" si="23"/>
        <v/>
      </c>
      <c r="N298" s="51" t="str">
        <f t="shared" si="21"/>
        <v/>
      </c>
      <c r="O298" s="57" t="str">
        <f t="shared" si="24"/>
        <v/>
      </c>
      <c r="P298" s="6"/>
      <c r="Q298" s="6"/>
      <c r="R298" s="6"/>
      <c r="S298" s="6"/>
      <c r="T298" s="6"/>
      <c r="U298" s="6"/>
      <c r="V298" s="32">
        <f>IF(COUNTBLANK(X297)=1,(V297*'Config.'!$D$9)+V297,(X297*'Config.'!$D$9)+X297)</f>
        <v>409799157.91782886</v>
      </c>
      <c r="W298" s="29" t="str">
        <f>IF(COUNTBLANK(X298)=1,IF(V298&lt;='Config.'!$D$7,"meta","nops"),"")</f>
        <v>nops</v>
      </c>
      <c r="X298" s="54"/>
    </row>
    <row r="299" spans="1:24" ht="19.5" customHeight="1">
      <c r="A299" s="44" t="s">
        <v>31</v>
      </c>
      <c r="B299" s="45">
        <v>296</v>
      </c>
      <c r="C299" s="46">
        <f>IF(COUNTBLANK(I298)=1,(C298*'Config.'!$D$9)+C298,(I298*'Config.'!$D$9)+I298)</f>
        <v>460212979.19850177</v>
      </c>
      <c r="D299" s="46">
        <f>IF(COUNTBLANK(I298)=1,I298*'Config.'!$D$11,I298*'Config.'!$D$11)</f>
        <v>0</v>
      </c>
      <c r="E299" s="46">
        <f t="shared" si="22"/>
        <v>21914903.771357238</v>
      </c>
      <c r="F299" s="47"/>
      <c r="G299" s="48" t="str">
        <f t="shared" si="20"/>
        <v>-</v>
      </c>
      <c r="H299" s="29" t="str">
        <f>IF(COUNTBLANK(I299)=1,IF(C299&lt;='Config.'!$D$7,"meta","nops"),"")</f>
        <v>nops</v>
      </c>
      <c r="I299" s="55"/>
      <c r="J299" s="65"/>
      <c r="K299" s="15"/>
      <c r="L299" s="15"/>
      <c r="M299" s="51" t="str">
        <f t="shared" si="23"/>
        <v/>
      </c>
      <c r="N299" s="51" t="str">
        <f t="shared" si="21"/>
        <v/>
      </c>
      <c r="O299" s="57" t="str">
        <f t="shared" si="24"/>
        <v/>
      </c>
      <c r="P299" s="6"/>
      <c r="Q299" s="6"/>
      <c r="R299" s="6"/>
      <c r="S299" s="6"/>
      <c r="T299" s="6"/>
      <c r="U299" s="6"/>
      <c r="V299" s="32">
        <f>IF(COUNTBLANK(X298)=1,(V298*'Config.'!$D$9)+V298,(X298*'Config.'!$D$9)+X298)</f>
        <v>430289115.81372029</v>
      </c>
      <c r="W299" s="29" t="str">
        <f>IF(COUNTBLANK(X299)=1,IF(V299&lt;='Config.'!$D$7,"meta","nops"),"")</f>
        <v>nops</v>
      </c>
      <c r="X299" s="54"/>
    </row>
    <row r="300" spans="1:24" ht="19.5" customHeight="1">
      <c r="A300" s="44" t="s">
        <v>31</v>
      </c>
      <c r="B300" s="45">
        <v>297</v>
      </c>
      <c r="C300" s="46">
        <f>IF(COUNTBLANK(I299)=1,(C299*'Config.'!$D$9)+C299,(I299*'Config.'!$D$9)+I299)</f>
        <v>483223628.15842688</v>
      </c>
      <c r="D300" s="46">
        <f>IF(COUNTBLANK(I299)=1,I299*'Config.'!$D$11,I299*'Config.'!$D$11)</f>
        <v>0</v>
      </c>
      <c r="E300" s="46">
        <f t="shared" si="22"/>
        <v>23010648.959925115</v>
      </c>
      <c r="F300" s="47"/>
      <c r="G300" s="48" t="str">
        <f t="shared" si="20"/>
        <v>-</v>
      </c>
      <c r="H300" s="29" t="str">
        <f>IF(COUNTBLANK(I300)=1,IF(C300&lt;='Config.'!$D$7,"meta","nops"),"")</f>
        <v>nops</v>
      </c>
      <c r="I300" s="55"/>
      <c r="J300" s="65"/>
      <c r="K300" s="15"/>
      <c r="L300" s="15"/>
      <c r="M300" s="51" t="str">
        <f t="shared" si="23"/>
        <v/>
      </c>
      <c r="N300" s="51" t="str">
        <f t="shared" si="21"/>
        <v/>
      </c>
      <c r="O300" s="57" t="str">
        <f t="shared" si="24"/>
        <v/>
      </c>
      <c r="P300" s="6"/>
      <c r="Q300" s="6"/>
      <c r="R300" s="6"/>
      <c r="S300" s="6"/>
      <c r="T300" s="6"/>
      <c r="U300" s="6"/>
      <c r="V300" s="32">
        <f>IF(COUNTBLANK(X299)=1,(V299*'Config.'!$D$9)+V299,(X299*'Config.'!$D$9)+X299)</f>
        <v>451803571.6044063</v>
      </c>
      <c r="W300" s="29" t="str">
        <f>IF(COUNTBLANK(X300)=1,IF(V300&lt;='Config.'!$D$7,"meta","nops"),"")</f>
        <v>nops</v>
      </c>
      <c r="X300" s="54"/>
    </row>
    <row r="301" spans="1:24" ht="19.5" customHeight="1">
      <c r="A301" s="44" t="s">
        <v>31</v>
      </c>
      <c r="B301" s="45">
        <v>298</v>
      </c>
      <c r="C301" s="46">
        <f>IF(COUNTBLANK(I300)=1,(C300*'Config.'!$D$9)+C300,(I300*'Config.'!$D$9)+I300)</f>
        <v>507384809.5663482</v>
      </c>
      <c r="D301" s="46">
        <f>IF(COUNTBLANK(I300)=1,I300*'Config.'!$D$11,I300*'Config.'!$D$11)</f>
        <v>0</v>
      </c>
      <c r="E301" s="46">
        <f t="shared" si="22"/>
        <v>24161181.407921314</v>
      </c>
      <c r="F301" s="47"/>
      <c r="G301" s="48" t="str">
        <f t="shared" si="20"/>
        <v>-</v>
      </c>
      <c r="H301" s="29" t="str">
        <f>IF(COUNTBLANK(I301)=1,IF(C301&lt;='Config.'!$D$7,"meta","nops"),"")</f>
        <v>nops</v>
      </c>
      <c r="I301" s="55"/>
      <c r="J301" s="65"/>
      <c r="K301" s="15"/>
      <c r="L301" s="15"/>
      <c r="M301" s="51" t="str">
        <f t="shared" si="23"/>
        <v/>
      </c>
      <c r="N301" s="51" t="str">
        <f t="shared" si="21"/>
        <v/>
      </c>
      <c r="O301" s="57" t="str">
        <f t="shared" si="24"/>
        <v/>
      </c>
      <c r="P301" s="6"/>
      <c r="Q301" s="6"/>
      <c r="R301" s="6"/>
      <c r="S301" s="6"/>
      <c r="T301" s="6"/>
      <c r="U301" s="6"/>
      <c r="V301" s="32">
        <f>IF(COUNTBLANK(X300)=1,(V300*'Config.'!$D$9)+V300,(X300*'Config.'!$D$9)+X300)</f>
        <v>474393750.18462664</v>
      </c>
      <c r="W301" s="29" t="str">
        <f>IF(COUNTBLANK(X301)=1,IF(V301&lt;='Config.'!$D$7,"meta","nops"),"")</f>
        <v>nops</v>
      </c>
      <c r="X301" s="54"/>
    </row>
    <row r="302" spans="1:24" ht="19.5" customHeight="1">
      <c r="A302" s="44" t="s">
        <v>31</v>
      </c>
      <c r="B302" s="45">
        <v>299</v>
      </c>
      <c r="C302" s="46">
        <f>IF(COUNTBLANK(I301)=1,(C301*'Config.'!$D$9)+C301,(I301*'Config.'!$D$9)+I301)</f>
        <v>532754050.04466558</v>
      </c>
      <c r="D302" s="46">
        <f>IF(COUNTBLANK(I301)=1,I301*'Config.'!$D$11,I301*'Config.'!$D$11)</f>
        <v>0</v>
      </c>
      <c r="E302" s="46">
        <f t="shared" si="22"/>
        <v>25369240.47831738</v>
      </c>
      <c r="F302" s="47"/>
      <c r="G302" s="48" t="str">
        <f t="shared" si="20"/>
        <v>-</v>
      </c>
      <c r="H302" s="29" t="str">
        <f>IF(COUNTBLANK(I302)=1,IF(C302&lt;='Config.'!$D$7,"meta","nops"),"")</f>
        <v>nops</v>
      </c>
      <c r="I302" s="55"/>
      <c r="J302" s="65"/>
      <c r="K302" s="15"/>
      <c r="L302" s="15"/>
      <c r="M302" s="51" t="str">
        <f t="shared" si="23"/>
        <v/>
      </c>
      <c r="N302" s="51" t="str">
        <f t="shared" si="21"/>
        <v/>
      </c>
      <c r="O302" s="57" t="str">
        <f t="shared" si="24"/>
        <v/>
      </c>
      <c r="P302" s="6"/>
      <c r="Q302" s="6"/>
      <c r="R302" s="6"/>
      <c r="S302" s="6"/>
      <c r="T302" s="6"/>
      <c r="U302" s="6"/>
      <c r="V302" s="32">
        <f>IF(COUNTBLANK(X301)=1,(V301*'Config.'!$D$9)+V301,(X301*'Config.'!$D$9)+X301)</f>
        <v>498113437.69385797</v>
      </c>
      <c r="W302" s="29" t="str">
        <f>IF(COUNTBLANK(X302)=1,IF(V302&lt;='Config.'!$D$7,"meta","nops"),"")</f>
        <v>nops</v>
      </c>
      <c r="X302" s="54"/>
    </row>
    <row r="303" spans="1:24" ht="19.5" customHeight="1">
      <c r="A303" s="44" t="s">
        <v>31</v>
      </c>
      <c r="B303" s="45">
        <v>300</v>
      </c>
      <c r="C303" s="46">
        <f>IF(COUNTBLANK(I302)=1,(C302*'Config.'!$D$9)+C302,(I302*'Config.'!$D$9)+I302)</f>
        <v>559391752.54689884</v>
      </c>
      <c r="D303" s="46">
        <f>IF(COUNTBLANK(I302)=1,I302*'Config.'!$D$11,I302*'Config.'!$D$11)</f>
        <v>0</v>
      </c>
      <c r="E303" s="46">
        <f t="shared" si="22"/>
        <v>26637702.502233267</v>
      </c>
      <c r="F303" s="47"/>
      <c r="G303" s="48" t="str">
        <f t="shared" si="20"/>
        <v>-</v>
      </c>
      <c r="H303" s="29" t="str">
        <f>IF(COUNTBLANK(I303)=1,IF(C303&lt;='Config.'!$D$7,"meta","nops"),"")</f>
        <v>nops</v>
      </c>
      <c r="I303" s="55"/>
      <c r="J303" s="65"/>
      <c r="K303" s="15"/>
      <c r="L303" s="15"/>
      <c r="M303" s="51" t="str">
        <f t="shared" si="23"/>
        <v/>
      </c>
      <c r="N303" s="51" t="str">
        <f t="shared" si="21"/>
        <v/>
      </c>
      <c r="O303" s="57" t="str">
        <f t="shared" si="24"/>
        <v/>
      </c>
      <c r="P303" s="6"/>
      <c r="Q303" s="6"/>
      <c r="R303" s="6"/>
      <c r="S303" s="6"/>
      <c r="T303" s="6"/>
      <c r="U303" s="6"/>
      <c r="V303" s="32">
        <f>IF(COUNTBLANK(X302)=1,(V302*'Config.'!$D$9)+V302,(X302*'Config.'!$D$9)+X302)</f>
        <v>523019109.57855088</v>
      </c>
      <c r="W303" s="29" t="str">
        <f>IF(COUNTBLANK(X303)=1,IF(V303&lt;='Config.'!$D$7,"meta","nops"),"")</f>
        <v>nops</v>
      </c>
      <c r="X303" s="54"/>
    </row>
    <row r="304" spans="1:24" ht="19.5" customHeight="1">
      <c r="A304" s="44" t="s">
        <v>31</v>
      </c>
      <c r="B304" s="45">
        <v>301</v>
      </c>
      <c r="C304" s="46">
        <f>IF(COUNTBLANK(I303)=1,(C303*'Config.'!$D$9)+C303,(I303*'Config.'!$D$9)+I303)</f>
        <v>587361340.17424381</v>
      </c>
      <c r="D304" s="46">
        <f>IF(COUNTBLANK(I303)=1,I303*'Config.'!$D$11,I303*'Config.'!$D$11)</f>
        <v>0</v>
      </c>
      <c r="E304" s="46">
        <f t="shared" si="22"/>
        <v>27969587.627344966</v>
      </c>
      <c r="F304" s="47"/>
      <c r="G304" s="48" t="str">
        <f t="shared" si="20"/>
        <v>-</v>
      </c>
      <c r="H304" s="29" t="str">
        <f>IF(COUNTBLANK(I304)=1,IF(C304&lt;='Config.'!$D$7,"meta","nops"),"")</f>
        <v>nops</v>
      </c>
      <c r="I304" s="55"/>
      <c r="J304" s="65"/>
      <c r="K304" s="15"/>
      <c r="L304" s="15"/>
      <c r="M304" s="51" t="str">
        <f t="shared" si="23"/>
        <v/>
      </c>
      <c r="N304" s="51" t="str">
        <f t="shared" si="21"/>
        <v/>
      </c>
      <c r="O304" s="57" t="str">
        <f t="shared" si="24"/>
        <v/>
      </c>
      <c r="P304" s="6"/>
      <c r="Q304" s="6"/>
      <c r="R304" s="6"/>
      <c r="S304" s="6"/>
      <c r="T304" s="6"/>
      <c r="U304" s="6"/>
      <c r="V304" s="32">
        <f>IF(COUNTBLANK(X303)=1,(V303*'Config.'!$D$9)+V303,(X303*'Config.'!$D$9)+X303)</f>
        <v>549170065.05747843</v>
      </c>
      <c r="W304" s="29" t="str">
        <f>IF(COUNTBLANK(X304)=1,IF(V304&lt;='Config.'!$D$7,"meta","nops"),"")</f>
        <v>nops</v>
      </c>
      <c r="X304" s="54"/>
    </row>
    <row r="305" spans="1:24" ht="19.5" customHeight="1">
      <c r="A305" s="44" t="s">
        <v>31</v>
      </c>
      <c r="B305" s="45">
        <v>302</v>
      </c>
      <c r="C305" s="46">
        <f>IF(COUNTBLANK(I304)=1,(C304*'Config.'!$D$9)+C304,(I304*'Config.'!$D$9)+I304)</f>
        <v>616729407.18295598</v>
      </c>
      <c r="D305" s="46">
        <f>IF(COUNTBLANK(I304)=1,I304*'Config.'!$D$11,I304*'Config.'!$D$11)</f>
        <v>0</v>
      </c>
      <c r="E305" s="46">
        <f t="shared" si="22"/>
        <v>29368067.008712173</v>
      </c>
      <c r="F305" s="47"/>
      <c r="G305" s="48" t="str">
        <f t="shared" si="20"/>
        <v>-</v>
      </c>
      <c r="H305" s="29" t="str">
        <f>IF(COUNTBLANK(I305)=1,IF(C305&lt;='Config.'!$D$7,"meta","nops"),"")</f>
        <v>nops</v>
      </c>
      <c r="I305" s="55"/>
      <c r="J305" s="65"/>
      <c r="K305" s="15"/>
      <c r="L305" s="15"/>
      <c r="M305" s="51" t="str">
        <f t="shared" si="23"/>
        <v/>
      </c>
      <c r="N305" s="51" t="str">
        <f t="shared" si="21"/>
        <v/>
      </c>
      <c r="O305" s="57" t="str">
        <f t="shared" si="24"/>
        <v/>
      </c>
      <c r="P305" s="6"/>
      <c r="Q305" s="6"/>
      <c r="R305" s="6"/>
      <c r="S305" s="6"/>
      <c r="T305" s="6"/>
      <c r="U305" s="6"/>
      <c r="V305" s="32">
        <f>IF(COUNTBLANK(X304)=1,(V304*'Config.'!$D$9)+V304,(X304*'Config.'!$D$9)+X304)</f>
        <v>576628568.31035233</v>
      </c>
      <c r="W305" s="29" t="str">
        <f>IF(COUNTBLANK(X305)=1,IF(V305&lt;='Config.'!$D$7,"meta","nops"),"")</f>
        <v>nops</v>
      </c>
      <c r="X305" s="54"/>
    </row>
    <row r="306" spans="1:24" ht="19.5" customHeight="1">
      <c r="A306" s="44" t="s">
        <v>31</v>
      </c>
      <c r="B306" s="45">
        <v>303</v>
      </c>
      <c r="C306" s="46">
        <f>IF(COUNTBLANK(I305)=1,(C305*'Config.'!$D$9)+C305,(I305*'Config.'!$D$9)+I305)</f>
        <v>647565877.54210377</v>
      </c>
      <c r="D306" s="46">
        <f>IF(COUNTBLANK(I305)=1,I305*'Config.'!$D$11,I305*'Config.'!$D$11)</f>
        <v>0</v>
      </c>
      <c r="E306" s="46">
        <f t="shared" si="22"/>
        <v>30836470.359147787</v>
      </c>
      <c r="F306" s="47"/>
      <c r="G306" s="48" t="str">
        <f t="shared" si="20"/>
        <v>-</v>
      </c>
      <c r="H306" s="29" t="str">
        <f>IF(COUNTBLANK(I306)=1,IF(C306&lt;='Config.'!$D$7,"meta","nops"),"")</f>
        <v>nops</v>
      </c>
      <c r="I306" s="55"/>
      <c r="J306" s="65"/>
      <c r="K306" s="15"/>
      <c r="L306" s="15"/>
      <c r="M306" s="51" t="str">
        <f t="shared" si="23"/>
        <v/>
      </c>
      <c r="N306" s="51" t="str">
        <f t="shared" si="21"/>
        <v/>
      </c>
      <c r="O306" s="57" t="str">
        <f t="shared" si="24"/>
        <v/>
      </c>
      <c r="P306" s="6"/>
      <c r="Q306" s="6"/>
      <c r="R306" s="6"/>
      <c r="S306" s="6"/>
      <c r="T306" s="6"/>
      <c r="U306" s="6"/>
      <c r="V306" s="32">
        <f>IF(COUNTBLANK(X305)=1,(V305*'Config.'!$D$9)+V305,(X305*'Config.'!$D$9)+X305)</f>
        <v>605459996.72586989</v>
      </c>
      <c r="W306" s="29" t="str">
        <f>IF(COUNTBLANK(X306)=1,IF(V306&lt;='Config.'!$D$7,"meta","nops"),"")</f>
        <v>nops</v>
      </c>
      <c r="X306" s="54"/>
    </row>
    <row r="307" spans="1:24" ht="19.5" customHeight="1">
      <c r="A307" s="44" t="s">
        <v>31</v>
      </c>
      <c r="B307" s="45">
        <v>304</v>
      </c>
      <c r="C307" s="46">
        <f>IF(COUNTBLANK(I306)=1,(C306*'Config.'!$D$9)+C306,(I306*'Config.'!$D$9)+I306)</f>
        <v>679944171.419209</v>
      </c>
      <c r="D307" s="46">
        <f>IF(COUNTBLANK(I306)=1,I306*'Config.'!$D$11,I306*'Config.'!$D$11)</f>
        <v>0</v>
      </c>
      <c r="E307" s="46">
        <f t="shared" si="22"/>
        <v>32378293.877105236</v>
      </c>
      <c r="F307" s="47"/>
      <c r="G307" s="48" t="str">
        <f t="shared" si="20"/>
        <v>-</v>
      </c>
      <c r="H307" s="29" t="str">
        <f>IF(COUNTBLANK(I307)=1,IF(C307&lt;='Config.'!$D$7,"meta","nops"),"")</f>
        <v>nops</v>
      </c>
      <c r="I307" s="55"/>
      <c r="J307" s="65"/>
      <c r="K307" s="15"/>
      <c r="L307" s="15"/>
      <c r="M307" s="51" t="str">
        <f t="shared" si="23"/>
        <v/>
      </c>
      <c r="N307" s="51" t="str">
        <f t="shared" si="21"/>
        <v/>
      </c>
      <c r="O307" s="57" t="str">
        <f t="shared" si="24"/>
        <v/>
      </c>
      <c r="P307" s="6"/>
      <c r="Q307" s="6"/>
      <c r="R307" s="6"/>
      <c r="S307" s="6"/>
      <c r="T307" s="6"/>
      <c r="U307" s="6"/>
      <c r="V307" s="32">
        <f>IF(COUNTBLANK(X306)=1,(V306*'Config.'!$D$9)+V306,(X306*'Config.'!$D$9)+X306)</f>
        <v>635732996.56216335</v>
      </c>
      <c r="W307" s="29" t="str">
        <f>IF(COUNTBLANK(X307)=1,IF(V307&lt;='Config.'!$D$7,"meta","nops"),"")</f>
        <v>nops</v>
      </c>
      <c r="X307" s="54"/>
    </row>
    <row r="308" spans="1:24" ht="19.5" customHeight="1">
      <c r="A308" s="44" t="s">
        <v>31</v>
      </c>
      <c r="B308" s="45">
        <v>305</v>
      </c>
      <c r="C308" s="46">
        <f>IF(COUNTBLANK(I307)=1,(C307*'Config.'!$D$9)+C307,(I307*'Config.'!$D$9)+I307)</f>
        <v>713941379.99016941</v>
      </c>
      <c r="D308" s="46">
        <f>IF(COUNTBLANK(I307)=1,I307*'Config.'!$D$11,I307*'Config.'!$D$11)</f>
        <v>0</v>
      </c>
      <c r="E308" s="46">
        <f t="shared" si="22"/>
        <v>33997208.570960402</v>
      </c>
      <c r="F308" s="47"/>
      <c r="G308" s="48" t="str">
        <f t="shared" si="20"/>
        <v>-</v>
      </c>
      <c r="H308" s="29" t="str">
        <f>IF(COUNTBLANK(I308)=1,IF(C308&lt;='Config.'!$D$7,"meta","nops"),"")</f>
        <v>nops</v>
      </c>
      <c r="I308" s="55"/>
      <c r="J308" s="65"/>
      <c r="K308" s="15"/>
      <c r="L308" s="15"/>
      <c r="M308" s="51" t="str">
        <f t="shared" si="23"/>
        <v/>
      </c>
      <c r="N308" s="51" t="str">
        <f t="shared" si="21"/>
        <v/>
      </c>
      <c r="O308" s="57" t="str">
        <f t="shared" si="24"/>
        <v/>
      </c>
      <c r="P308" s="6"/>
      <c r="Q308" s="6"/>
      <c r="R308" s="6"/>
      <c r="S308" s="6"/>
      <c r="T308" s="6"/>
      <c r="U308" s="6"/>
      <c r="V308" s="32">
        <f>IF(COUNTBLANK(X307)=1,(V307*'Config.'!$D$9)+V307,(X307*'Config.'!$D$9)+X307)</f>
        <v>667519646.39027154</v>
      </c>
      <c r="W308" s="29" t="str">
        <f>IF(COUNTBLANK(X308)=1,IF(V308&lt;='Config.'!$D$7,"meta","nops"),"")</f>
        <v>nops</v>
      </c>
      <c r="X308" s="54"/>
    </row>
    <row r="309" spans="1:24" ht="19.5" customHeight="1">
      <c r="A309" s="44" t="s">
        <v>31</v>
      </c>
      <c r="B309" s="45">
        <v>306</v>
      </c>
      <c r="C309" s="46">
        <f>IF(COUNTBLANK(I308)=1,(C308*'Config.'!$D$9)+C308,(I308*'Config.'!$D$9)+I308)</f>
        <v>749638448.98967791</v>
      </c>
      <c r="D309" s="46">
        <f>IF(COUNTBLANK(I308)=1,I308*'Config.'!$D$11,I308*'Config.'!$D$11)</f>
        <v>0</v>
      </c>
      <c r="E309" s="46">
        <f t="shared" si="22"/>
        <v>35697068.9995085</v>
      </c>
      <c r="F309" s="47"/>
      <c r="G309" s="48" t="str">
        <f t="shared" si="20"/>
        <v>-</v>
      </c>
      <c r="H309" s="29" t="str">
        <f>IF(COUNTBLANK(I309)=1,IF(C309&lt;='Config.'!$D$7,"meta","nops"),"")</f>
        <v>nops</v>
      </c>
      <c r="I309" s="55"/>
      <c r="J309" s="65"/>
      <c r="K309" s="15"/>
      <c r="L309" s="15"/>
      <c r="M309" s="51" t="str">
        <f t="shared" si="23"/>
        <v/>
      </c>
      <c r="N309" s="51" t="str">
        <f t="shared" si="21"/>
        <v/>
      </c>
      <c r="O309" s="57" t="str">
        <f t="shared" si="24"/>
        <v/>
      </c>
      <c r="P309" s="6"/>
      <c r="Q309" s="6"/>
      <c r="R309" s="6"/>
      <c r="S309" s="6"/>
      <c r="T309" s="6"/>
      <c r="U309" s="6"/>
      <c r="V309" s="32">
        <f>IF(COUNTBLANK(X308)=1,(V308*'Config.'!$D$9)+V308,(X308*'Config.'!$D$9)+X308)</f>
        <v>700895628.7097851</v>
      </c>
      <c r="W309" s="29" t="str">
        <f>IF(COUNTBLANK(X309)=1,IF(V309&lt;='Config.'!$D$7,"meta","nops"),"")</f>
        <v>nops</v>
      </c>
      <c r="X309" s="54"/>
    </row>
    <row r="310" spans="1:24" ht="19.5" customHeight="1">
      <c r="A310" s="44" t="s">
        <v>31</v>
      </c>
      <c r="B310" s="45">
        <v>307</v>
      </c>
      <c r="C310" s="46">
        <f>IF(COUNTBLANK(I309)=1,(C309*'Config.'!$D$9)+C309,(I309*'Config.'!$D$9)+I309)</f>
        <v>787120371.43916178</v>
      </c>
      <c r="D310" s="46">
        <f>IF(COUNTBLANK(I309)=1,I309*'Config.'!$D$11,I309*'Config.'!$D$11)</f>
        <v>0</v>
      </c>
      <c r="E310" s="46">
        <f t="shared" si="22"/>
        <v>37481922.449483871</v>
      </c>
      <c r="F310" s="47"/>
      <c r="G310" s="48" t="str">
        <f t="shared" si="20"/>
        <v>-</v>
      </c>
      <c r="H310" s="29" t="str">
        <f>IF(COUNTBLANK(I310)=1,IF(C310&lt;='Config.'!$D$7,"meta","nops"),"")</f>
        <v>nops</v>
      </c>
      <c r="I310" s="55"/>
      <c r="J310" s="65"/>
      <c r="K310" s="15"/>
      <c r="L310" s="15"/>
      <c r="M310" s="51" t="str">
        <f t="shared" si="23"/>
        <v/>
      </c>
      <c r="N310" s="51" t="str">
        <f t="shared" si="21"/>
        <v/>
      </c>
      <c r="O310" s="57" t="str">
        <f t="shared" si="24"/>
        <v/>
      </c>
      <c r="P310" s="6"/>
      <c r="Q310" s="6"/>
      <c r="R310" s="6"/>
      <c r="S310" s="6"/>
      <c r="T310" s="6"/>
      <c r="U310" s="6"/>
      <c r="V310" s="32">
        <f>IF(COUNTBLANK(X309)=1,(V309*'Config.'!$D$9)+V309,(X309*'Config.'!$D$9)+X309)</f>
        <v>735940410.1452744</v>
      </c>
      <c r="W310" s="29" t="str">
        <f>IF(COUNTBLANK(X310)=1,IF(V310&lt;='Config.'!$D$7,"meta","nops"),"")</f>
        <v>nops</v>
      </c>
      <c r="X310" s="54"/>
    </row>
    <row r="311" spans="1:24" ht="19.5" customHeight="1">
      <c r="A311" s="44" t="s">
        <v>31</v>
      </c>
      <c r="B311" s="45">
        <v>308</v>
      </c>
      <c r="C311" s="46">
        <f>IF(COUNTBLANK(I310)=1,(C310*'Config.'!$D$9)+C310,(I310*'Config.'!$D$9)+I310)</f>
        <v>826476390.01111984</v>
      </c>
      <c r="D311" s="46">
        <f>IF(COUNTBLANK(I310)=1,I310*'Config.'!$D$11,I310*'Config.'!$D$11)</f>
        <v>0</v>
      </c>
      <c r="E311" s="46">
        <f t="shared" si="22"/>
        <v>39356018.571958065</v>
      </c>
      <c r="F311" s="47"/>
      <c r="G311" s="48" t="str">
        <f t="shared" si="20"/>
        <v>-</v>
      </c>
      <c r="H311" s="29" t="str">
        <f>IF(COUNTBLANK(I311)=1,IF(C311&lt;='Config.'!$D$7,"meta","nops"),"")</f>
        <v>nops</v>
      </c>
      <c r="I311" s="55"/>
      <c r="J311" s="65"/>
      <c r="K311" s="15"/>
      <c r="L311" s="15"/>
      <c r="M311" s="51" t="str">
        <f t="shared" si="23"/>
        <v/>
      </c>
      <c r="N311" s="51" t="str">
        <f t="shared" si="21"/>
        <v/>
      </c>
      <c r="O311" s="57" t="str">
        <f t="shared" si="24"/>
        <v/>
      </c>
      <c r="P311" s="6"/>
      <c r="Q311" s="6"/>
      <c r="R311" s="6"/>
      <c r="S311" s="6"/>
      <c r="T311" s="6"/>
      <c r="U311" s="6"/>
      <c r="V311" s="32">
        <f>IF(COUNTBLANK(X310)=1,(V310*'Config.'!$D$9)+V310,(X310*'Config.'!$D$9)+X310)</f>
        <v>772737430.65253806</v>
      </c>
      <c r="W311" s="29" t="str">
        <f>IF(COUNTBLANK(X311)=1,IF(V311&lt;='Config.'!$D$7,"meta","nops"),"")</f>
        <v>nops</v>
      </c>
      <c r="X311" s="54"/>
    </row>
    <row r="312" spans="1:24" ht="19.5" customHeight="1">
      <c r="A312" s="44" t="s">
        <v>31</v>
      </c>
      <c r="B312" s="45">
        <v>309</v>
      </c>
      <c r="C312" s="46">
        <f>IF(COUNTBLANK(I311)=1,(C311*'Config.'!$D$9)+C311,(I311*'Config.'!$D$9)+I311)</f>
        <v>867800209.51167583</v>
      </c>
      <c r="D312" s="46">
        <f>IF(COUNTBLANK(I311)=1,I311*'Config.'!$D$11,I311*'Config.'!$D$11)</f>
        <v>0</v>
      </c>
      <c r="E312" s="46">
        <f t="shared" si="22"/>
        <v>41323819.500555992</v>
      </c>
      <c r="F312" s="47"/>
      <c r="G312" s="48" t="str">
        <f t="shared" si="20"/>
        <v>-</v>
      </c>
      <c r="H312" s="29" t="str">
        <f>IF(COUNTBLANK(I312)=1,IF(C312&lt;='Config.'!$D$7,"meta","nops"),"")</f>
        <v>nops</v>
      </c>
      <c r="I312" s="55"/>
      <c r="J312" s="65"/>
      <c r="K312" s="15"/>
      <c r="L312" s="15"/>
      <c r="M312" s="51" t="str">
        <f t="shared" si="23"/>
        <v/>
      </c>
      <c r="N312" s="51" t="str">
        <f t="shared" si="21"/>
        <v/>
      </c>
      <c r="O312" s="57" t="str">
        <f t="shared" si="24"/>
        <v/>
      </c>
      <c r="P312" s="6"/>
      <c r="Q312" s="6"/>
      <c r="R312" s="6"/>
      <c r="S312" s="6"/>
      <c r="T312" s="6"/>
      <c r="U312" s="6"/>
      <c r="V312" s="32">
        <f>IF(COUNTBLANK(X311)=1,(V311*'Config.'!$D$9)+V311,(X311*'Config.'!$D$9)+X311)</f>
        <v>811374302.18516493</v>
      </c>
      <c r="W312" s="29" t="str">
        <f>IF(COUNTBLANK(X312)=1,IF(V312&lt;='Config.'!$D$7,"meta","nops"),"")</f>
        <v>nops</v>
      </c>
      <c r="X312" s="54"/>
    </row>
    <row r="313" spans="1:24" ht="19.5" customHeight="1">
      <c r="A313" s="44" t="s">
        <v>31</v>
      </c>
      <c r="B313" s="45">
        <v>310</v>
      </c>
      <c r="C313" s="46">
        <f>IF(COUNTBLANK(I312)=1,(C312*'Config.'!$D$9)+C312,(I312*'Config.'!$D$9)+I312)</f>
        <v>911190219.98725963</v>
      </c>
      <c r="D313" s="46">
        <f>IF(COUNTBLANK(I312)=1,I312*'Config.'!$D$11,I312*'Config.'!$D$11)</f>
        <v>0</v>
      </c>
      <c r="E313" s="46">
        <f t="shared" si="22"/>
        <v>43390010.475583792</v>
      </c>
      <c r="F313" s="47"/>
      <c r="G313" s="48" t="str">
        <f t="shared" si="20"/>
        <v>-</v>
      </c>
      <c r="H313" s="29" t="str">
        <f>IF(COUNTBLANK(I313)=1,IF(C313&lt;='Config.'!$D$7,"meta","nops"),"")</f>
        <v>nops</v>
      </c>
      <c r="I313" s="55"/>
      <c r="J313" s="65"/>
      <c r="K313" s="15"/>
      <c r="L313" s="15"/>
      <c r="M313" s="51" t="str">
        <f t="shared" si="23"/>
        <v/>
      </c>
      <c r="N313" s="51" t="str">
        <f t="shared" si="21"/>
        <v/>
      </c>
      <c r="O313" s="57" t="str">
        <f t="shared" si="24"/>
        <v/>
      </c>
      <c r="P313" s="6"/>
      <c r="Q313" s="6"/>
      <c r="R313" s="6"/>
      <c r="S313" s="6"/>
      <c r="T313" s="6"/>
      <c r="U313" s="6"/>
      <c r="V313" s="32">
        <f>IF(COUNTBLANK(X312)=1,(V312*'Config.'!$D$9)+V312,(X312*'Config.'!$D$9)+X312)</f>
        <v>851943017.29442322</v>
      </c>
      <c r="W313" s="29" t="str">
        <f>IF(COUNTBLANK(X313)=1,IF(V313&lt;='Config.'!$D$7,"meta","nops"),"")</f>
        <v>nops</v>
      </c>
      <c r="X313" s="54"/>
    </row>
    <row r="314" spans="1:24" ht="19.5" customHeight="1">
      <c r="A314" s="44" t="s">
        <v>31</v>
      </c>
      <c r="B314" s="45">
        <v>311</v>
      </c>
      <c r="C314" s="46">
        <f>IF(COUNTBLANK(I313)=1,(C313*'Config.'!$D$9)+C313,(I313*'Config.'!$D$9)+I313)</f>
        <v>956749730.98662257</v>
      </c>
      <c r="D314" s="46">
        <f>IF(COUNTBLANK(I313)=1,I313*'Config.'!$D$11,I313*'Config.'!$D$11)</f>
        <v>0</v>
      </c>
      <c r="E314" s="46">
        <f t="shared" si="22"/>
        <v>45559510.999362946</v>
      </c>
      <c r="F314" s="47"/>
      <c r="G314" s="48" t="str">
        <f t="shared" si="20"/>
        <v>-</v>
      </c>
      <c r="H314" s="29" t="str">
        <f>IF(COUNTBLANK(I314)=1,IF(C314&lt;='Config.'!$D$7,"meta","nops"),"")</f>
        <v>nops</v>
      </c>
      <c r="I314" s="55"/>
      <c r="J314" s="65"/>
      <c r="K314" s="15"/>
      <c r="L314" s="15"/>
      <c r="M314" s="51" t="str">
        <f t="shared" si="23"/>
        <v/>
      </c>
      <c r="N314" s="51" t="str">
        <f t="shared" si="21"/>
        <v/>
      </c>
      <c r="O314" s="57" t="str">
        <f t="shared" si="24"/>
        <v/>
      </c>
      <c r="P314" s="6"/>
      <c r="Q314" s="6"/>
      <c r="R314" s="6"/>
      <c r="S314" s="6"/>
      <c r="T314" s="6"/>
      <c r="U314" s="6"/>
      <c r="V314" s="32">
        <f>IF(COUNTBLANK(X313)=1,(V313*'Config.'!$D$9)+V313,(X313*'Config.'!$D$9)+X313)</f>
        <v>894540168.1591444</v>
      </c>
      <c r="W314" s="29" t="str">
        <f>IF(COUNTBLANK(X314)=1,IF(V314&lt;='Config.'!$D$7,"meta","nops"),"")</f>
        <v>nops</v>
      </c>
      <c r="X314" s="54"/>
    </row>
    <row r="315" spans="1:24" ht="19.5" customHeight="1">
      <c r="A315" s="44" t="s">
        <v>31</v>
      </c>
      <c r="B315" s="45">
        <v>312</v>
      </c>
      <c r="C315" s="46">
        <f>IF(COUNTBLANK(I314)=1,(C314*'Config.'!$D$9)+C314,(I314*'Config.'!$D$9)+I314)</f>
        <v>1004587217.5359538</v>
      </c>
      <c r="D315" s="46">
        <f>IF(COUNTBLANK(I314)=1,I314*'Config.'!$D$11,I314*'Config.'!$D$11)</f>
        <v>0</v>
      </c>
      <c r="E315" s="46">
        <f t="shared" si="22"/>
        <v>47837486.549331188</v>
      </c>
      <c r="F315" s="47"/>
      <c r="G315" s="48" t="str">
        <f t="shared" si="20"/>
        <v>-</v>
      </c>
      <c r="H315" s="29" t="str">
        <f>IF(COUNTBLANK(I315)=1,IF(C315&lt;='Config.'!$D$7,"meta","nops"),"")</f>
        <v>nops</v>
      </c>
      <c r="I315" s="55"/>
      <c r="J315" s="65"/>
      <c r="K315" s="15"/>
      <c r="L315" s="15"/>
      <c r="M315" s="51" t="str">
        <f t="shared" si="23"/>
        <v/>
      </c>
      <c r="N315" s="51" t="str">
        <f t="shared" si="21"/>
        <v/>
      </c>
      <c r="O315" s="57" t="str">
        <f t="shared" si="24"/>
        <v/>
      </c>
      <c r="P315" s="6"/>
      <c r="Q315" s="6"/>
      <c r="R315" s="6"/>
      <c r="S315" s="6"/>
      <c r="T315" s="6"/>
      <c r="U315" s="6"/>
      <c r="V315" s="32">
        <f>IF(COUNTBLANK(X314)=1,(V314*'Config.'!$D$9)+V314,(X314*'Config.'!$D$9)+X314)</f>
        <v>939267176.5671016</v>
      </c>
      <c r="W315" s="29" t="str">
        <f>IF(COUNTBLANK(X315)=1,IF(V315&lt;='Config.'!$D$7,"meta","nops"),"")</f>
        <v>nops</v>
      </c>
      <c r="X315" s="54"/>
    </row>
    <row r="316" spans="1:24" ht="19.5" customHeight="1">
      <c r="A316" s="44" t="s">
        <v>31</v>
      </c>
      <c r="B316" s="45">
        <v>313</v>
      </c>
      <c r="C316" s="46">
        <f>IF(COUNTBLANK(I315)=1,(C315*'Config.'!$D$9)+C315,(I315*'Config.'!$D$9)+I315)</f>
        <v>1054816578.4127514</v>
      </c>
      <c r="D316" s="46">
        <f>IF(COUNTBLANK(I315)=1,I315*'Config.'!$D$11,I315*'Config.'!$D$11)</f>
        <v>0</v>
      </c>
      <c r="E316" s="46">
        <f t="shared" si="22"/>
        <v>50229360.876797676</v>
      </c>
      <c r="F316" s="47"/>
      <c r="G316" s="48" t="str">
        <f t="shared" si="20"/>
        <v>-</v>
      </c>
      <c r="H316" s="29" t="str">
        <f>IF(COUNTBLANK(I316)=1,IF(C316&lt;='Config.'!$D$7,"meta","nops"),"")</f>
        <v>nops</v>
      </c>
      <c r="I316" s="55"/>
      <c r="J316" s="65"/>
      <c r="K316" s="15"/>
      <c r="L316" s="15"/>
      <c r="M316" s="51" t="str">
        <f t="shared" si="23"/>
        <v/>
      </c>
      <c r="N316" s="51" t="str">
        <f t="shared" si="21"/>
        <v/>
      </c>
      <c r="O316" s="57" t="str">
        <f t="shared" si="24"/>
        <v/>
      </c>
      <c r="P316" s="6"/>
      <c r="Q316" s="6"/>
      <c r="R316" s="6"/>
      <c r="S316" s="6"/>
      <c r="T316" s="6"/>
      <c r="U316" s="6"/>
      <c r="V316" s="32">
        <f>IF(COUNTBLANK(X315)=1,(V315*'Config.'!$D$9)+V315,(X315*'Config.'!$D$9)+X315)</f>
        <v>986230535.39545667</v>
      </c>
      <c r="W316" s="29" t="str">
        <f>IF(COUNTBLANK(X316)=1,IF(V316&lt;='Config.'!$D$7,"meta","nops"),"")</f>
        <v>nops</v>
      </c>
      <c r="X316" s="54"/>
    </row>
    <row r="317" spans="1:24" ht="19.5" customHeight="1">
      <c r="A317" s="44" t="s">
        <v>31</v>
      </c>
      <c r="B317" s="45">
        <v>314</v>
      </c>
      <c r="C317" s="46">
        <f>IF(COUNTBLANK(I316)=1,(C316*'Config.'!$D$9)+C316,(I316*'Config.'!$D$9)+I316)</f>
        <v>1107557407.333389</v>
      </c>
      <c r="D317" s="46">
        <f>IF(COUNTBLANK(I316)=1,I316*'Config.'!$D$11,I316*'Config.'!$D$11)</f>
        <v>0</v>
      </c>
      <c r="E317" s="46">
        <f t="shared" si="22"/>
        <v>52740828.920637608</v>
      </c>
      <c r="F317" s="47"/>
      <c r="G317" s="48" t="str">
        <f t="shared" si="20"/>
        <v>-</v>
      </c>
      <c r="H317" s="29" t="str">
        <f>IF(COUNTBLANK(I317)=1,IF(C317&lt;='Config.'!$D$7,"meta","nops"),"")</f>
        <v>nops</v>
      </c>
      <c r="I317" s="55"/>
      <c r="J317" s="65"/>
      <c r="K317" s="15"/>
      <c r="L317" s="15"/>
      <c r="M317" s="51" t="str">
        <f t="shared" si="23"/>
        <v/>
      </c>
      <c r="N317" s="51" t="str">
        <f t="shared" si="21"/>
        <v/>
      </c>
      <c r="O317" s="57" t="str">
        <f t="shared" si="24"/>
        <v/>
      </c>
      <c r="P317" s="6"/>
      <c r="Q317" s="6"/>
      <c r="R317" s="6"/>
      <c r="S317" s="6"/>
      <c r="T317" s="6"/>
      <c r="U317" s="6"/>
      <c r="V317" s="32">
        <f>IF(COUNTBLANK(X316)=1,(V316*'Config.'!$D$9)+V316,(X316*'Config.'!$D$9)+X316)</f>
        <v>1035542062.1652296</v>
      </c>
      <c r="W317" s="29" t="str">
        <f>IF(COUNTBLANK(X317)=1,IF(V317&lt;='Config.'!$D$7,"meta","nops"),"")</f>
        <v>nops</v>
      </c>
      <c r="X317" s="54"/>
    </row>
    <row r="318" spans="1:24" ht="19.5" customHeight="1">
      <c r="A318" s="44" t="s">
        <v>31</v>
      </c>
      <c r="B318" s="45">
        <v>315</v>
      </c>
      <c r="C318" s="46">
        <f>IF(COUNTBLANK(I317)=1,(C317*'Config.'!$D$9)+C317,(I317*'Config.'!$D$9)+I317)</f>
        <v>1162935277.7000585</v>
      </c>
      <c r="D318" s="46">
        <f>IF(COUNTBLANK(I317)=1,I317*'Config.'!$D$11,I317*'Config.'!$D$11)</f>
        <v>0</v>
      </c>
      <c r="E318" s="46">
        <f t="shared" si="22"/>
        <v>55377870.366669416</v>
      </c>
      <c r="F318" s="47"/>
      <c r="G318" s="48" t="str">
        <f t="shared" si="20"/>
        <v>-</v>
      </c>
      <c r="H318" s="29" t="str">
        <f>IF(COUNTBLANK(I318)=1,IF(C318&lt;='Config.'!$D$7,"meta","nops"),"")</f>
        <v>nops</v>
      </c>
      <c r="I318" s="55"/>
      <c r="J318" s="65"/>
      <c r="K318" s="15"/>
      <c r="L318" s="15"/>
      <c r="M318" s="51" t="str">
        <f t="shared" si="23"/>
        <v/>
      </c>
      <c r="N318" s="51" t="str">
        <f t="shared" si="21"/>
        <v/>
      </c>
      <c r="O318" s="57" t="str">
        <f t="shared" si="24"/>
        <v/>
      </c>
      <c r="P318" s="6"/>
      <c r="Q318" s="6"/>
      <c r="R318" s="6"/>
      <c r="S318" s="6"/>
      <c r="T318" s="6"/>
      <c r="U318" s="6"/>
      <c r="V318" s="32">
        <f>IF(COUNTBLANK(X317)=1,(V317*'Config.'!$D$9)+V317,(X317*'Config.'!$D$9)+X317)</f>
        <v>1087319165.2734911</v>
      </c>
      <c r="W318" s="29" t="str">
        <f>IF(COUNTBLANK(X318)=1,IF(V318&lt;='Config.'!$D$7,"meta","nops"),"")</f>
        <v>nops</v>
      </c>
      <c r="X318" s="54"/>
    </row>
    <row r="319" spans="1:24" ht="19.5" customHeight="1">
      <c r="A319" s="44" t="s">
        <v>31</v>
      </c>
      <c r="B319" s="45">
        <v>316</v>
      </c>
      <c r="C319" s="46">
        <f>IF(COUNTBLANK(I318)=1,(C318*'Config.'!$D$9)+C318,(I318*'Config.'!$D$9)+I318)</f>
        <v>1221082041.5850613</v>
      </c>
      <c r="D319" s="46">
        <f>IF(COUNTBLANK(I318)=1,I318*'Config.'!$D$11,I318*'Config.'!$D$11)</f>
        <v>0</v>
      </c>
      <c r="E319" s="46">
        <f t="shared" si="22"/>
        <v>58146763.885002851</v>
      </c>
      <c r="F319" s="47"/>
      <c r="G319" s="48" t="str">
        <f t="shared" si="20"/>
        <v>-</v>
      </c>
      <c r="H319" s="29" t="str">
        <f>IF(COUNTBLANK(I319)=1,IF(C319&lt;='Config.'!$D$7,"meta","nops"),"")</f>
        <v>nops</v>
      </c>
      <c r="I319" s="55"/>
      <c r="J319" s="65"/>
      <c r="K319" s="15"/>
      <c r="L319" s="15"/>
      <c r="M319" s="51" t="str">
        <f t="shared" si="23"/>
        <v/>
      </c>
      <c r="N319" s="51" t="str">
        <f t="shared" si="21"/>
        <v/>
      </c>
      <c r="O319" s="57" t="str">
        <f t="shared" si="24"/>
        <v/>
      </c>
      <c r="P319" s="6"/>
      <c r="Q319" s="6"/>
      <c r="R319" s="6"/>
      <c r="S319" s="6"/>
      <c r="T319" s="6"/>
      <c r="U319" s="6"/>
      <c r="V319" s="32">
        <f>IF(COUNTBLANK(X318)=1,(V318*'Config.'!$D$9)+V318,(X318*'Config.'!$D$9)+X318)</f>
        <v>1141685123.5371656</v>
      </c>
      <c r="W319" s="29" t="str">
        <f>IF(COUNTBLANK(X319)=1,IF(V319&lt;='Config.'!$D$7,"meta","nops"),"")</f>
        <v>nops</v>
      </c>
      <c r="X319" s="54"/>
    </row>
    <row r="320" spans="1:24" ht="19.5" customHeight="1">
      <c r="A320" s="44" t="s">
        <v>31</v>
      </c>
      <c r="B320" s="45">
        <v>317</v>
      </c>
      <c r="C320" s="46">
        <f>IF(COUNTBLANK(I319)=1,(C319*'Config.'!$D$9)+C319,(I319*'Config.'!$D$9)+I319)</f>
        <v>1282136143.6643143</v>
      </c>
      <c r="D320" s="46">
        <f>IF(COUNTBLANK(I319)=1,I319*'Config.'!$D$11,I319*'Config.'!$D$11)</f>
        <v>0</v>
      </c>
      <c r="E320" s="46">
        <f t="shared" si="22"/>
        <v>61054102.079252958</v>
      </c>
      <c r="F320" s="47"/>
      <c r="G320" s="48" t="str">
        <f t="shared" si="20"/>
        <v>-</v>
      </c>
      <c r="H320" s="29" t="str">
        <f>IF(COUNTBLANK(I320)=1,IF(C320&lt;='Config.'!$D$7,"meta","nops"),"")</f>
        <v>nops</v>
      </c>
      <c r="I320" s="55"/>
      <c r="J320" s="65"/>
      <c r="K320" s="15"/>
      <c r="L320" s="15"/>
      <c r="M320" s="51" t="str">
        <f t="shared" si="23"/>
        <v/>
      </c>
      <c r="N320" s="51" t="str">
        <f t="shared" si="21"/>
        <v/>
      </c>
      <c r="O320" s="57" t="str">
        <f t="shared" si="24"/>
        <v/>
      </c>
      <c r="P320" s="6"/>
      <c r="Q320" s="6"/>
      <c r="R320" s="6"/>
      <c r="S320" s="6"/>
      <c r="T320" s="6"/>
      <c r="U320" s="6"/>
      <c r="V320" s="32">
        <f>IF(COUNTBLANK(X319)=1,(V319*'Config.'!$D$9)+V319,(X319*'Config.'!$D$9)+X319)</f>
        <v>1198769379.7140238</v>
      </c>
      <c r="W320" s="29" t="str">
        <f>IF(COUNTBLANK(X320)=1,IF(V320&lt;='Config.'!$D$7,"meta","nops"),"")</f>
        <v>nops</v>
      </c>
      <c r="X320" s="54"/>
    </row>
    <row r="321" spans="1:24" ht="19.5" customHeight="1">
      <c r="A321" s="44" t="s">
        <v>31</v>
      </c>
      <c r="B321" s="45">
        <v>318</v>
      </c>
      <c r="C321" s="46">
        <f>IF(COUNTBLANK(I320)=1,(C320*'Config.'!$D$9)+C320,(I320*'Config.'!$D$9)+I320)</f>
        <v>1346242950.8475299</v>
      </c>
      <c r="D321" s="46">
        <f>IF(COUNTBLANK(I320)=1,I320*'Config.'!$D$11,I320*'Config.'!$D$11)</f>
        <v>0</v>
      </c>
      <c r="E321" s="46">
        <f t="shared" si="22"/>
        <v>64106807.183215618</v>
      </c>
      <c r="F321" s="47"/>
      <c r="G321" s="48" t="str">
        <f t="shared" si="20"/>
        <v>-</v>
      </c>
      <c r="H321" s="29" t="str">
        <f>IF(COUNTBLANK(I321)=1,IF(C321&lt;='Config.'!$D$7,"meta","nops"),"")</f>
        <v>nops</v>
      </c>
      <c r="I321" s="55"/>
      <c r="J321" s="65"/>
      <c r="K321" s="15"/>
      <c r="L321" s="15"/>
      <c r="M321" s="51" t="str">
        <f t="shared" si="23"/>
        <v/>
      </c>
      <c r="N321" s="51" t="str">
        <f t="shared" si="21"/>
        <v/>
      </c>
      <c r="O321" s="57" t="str">
        <f t="shared" si="24"/>
        <v/>
      </c>
      <c r="P321" s="6"/>
      <c r="Q321" s="6"/>
      <c r="R321" s="6"/>
      <c r="S321" s="6"/>
      <c r="T321" s="6"/>
      <c r="U321" s="6"/>
      <c r="V321" s="32">
        <f>IF(COUNTBLANK(X320)=1,(V320*'Config.'!$D$9)+V320,(X320*'Config.'!$D$9)+X320)</f>
        <v>1258707848.6997249</v>
      </c>
      <c r="W321" s="29" t="str">
        <f>IF(COUNTBLANK(X321)=1,IF(V321&lt;='Config.'!$D$7,"meta","nops"),"")</f>
        <v>nops</v>
      </c>
      <c r="X321" s="54"/>
    </row>
    <row r="322" spans="1:24" ht="19.5" customHeight="1">
      <c r="A322" s="44" t="s">
        <v>31</v>
      </c>
      <c r="B322" s="45">
        <v>319</v>
      </c>
      <c r="C322" s="46">
        <f>IF(COUNTBLANK(I321)=1,(C321*'Config.'!$D$9)+C321,(I321*'Config.'!$D$9)+I321)</f>
        <v>1413555098.3899064</v>
      </c>
      <c r="D322" s="46">
        <f>IF(COUNTBLANK(I321)=1,I321*'Config.'!$D$11,I321*'Config.'!$D$11)</f>
        <v>0</v>
      </c>
      <c r="E322" s="46">
        <f t="shared" si="22"/>
        <v>67312147.542376518</v>
      </c>
      <c r="F322" s="47"/>
      <c r="G322" s="48" t="str">
        <f t="shared" si="20"/>
        <v>-</v>
      </c>
      <c r="H322" s="29" t="str">
        <f>IF(COUNTBLANK(I322)=1,IF(C322&lt;='Config.'!$D$7,"meta","nops"),"")</f>
        <v>nops</v>
      </c>
      <c r="I322" s="55"/>
      <c r="J322" s="65"/>
      <c r="K322" s="15"/>
      <c r="L322" s="15"/>
      <c r="M322" s="51" t="str">
        <f t="shared" si="23"/>
        <v/>
      </c>
      <c r="N322" s="51" t="str">
        <f t="shared" si="21"/>
        <v/>
      </c>
      <c r="O322" s="57" t="str">
        <f t="shared" si="24"/>
        <v/>
      </c>
      <c r="P322" s="6"/>
      <c r="Q322" s="6"/>
      <c r="R322" s="6"/>
      <c r="S322" s="6"/>
      <c r="T322" s="6"/>
      <c r="U322" s="6"/>
      <c r="V322" s="32">
        <f>IF(COUNTBLANK(X321)=1,(V321*'Config.'!$D$9)+V321,(X321*'Config.'!$D$9)+X321)</f>
        <v>1321643241.1347113</v>
      </c>
      <c r="W322" s="29" t="str">
        <f>IF(COUNTBLANK(X322)=1,IF(V322&lt;='Config.'!$D$7,"meta","nops"),"")</f>
        <v>nops</v>
      </c>
      <c r="X322" s="54"/>
    </row>
    <row r="323" spans="1:24" ht="19.5" customHeight="1">
      <c r="A323" s="44" t="s">
        <v>31</v>
      </c>
      <c r="B323" s="45">
        <v>320</v>
      </c>
      <c r="C323" s="46">
        <f>IF(COUNTBLANK(I322)=1,(C322*'Config.'!$D$9)+C322,(I322*'Config.'!$D$9)+I322)</f>
        <v>1484232853.3094018</v>
      </c>
      <c r="D323" s="46">
        <f>IF(COUNTBLANK(I322)=1,I322*'Config.'!$D$11,I322*'Config.'!$D$11)</f>
        <v>0</v>
      </c>
      <c r="E323" s="46">
        <f t="shared" si="22"/>
        <v>70677754.919495344</v>
      </c>
      <c r="F323" s="47"/>
      <c r="G323" s="48" t="str">
        <f t="shared" si="20"/>
        <v>-</v>
      </c>
      <c r="H323" s="29" t="str">
        <f>IF(COUNTBLANK(I323)=1,IF(C323&lt;='Config.'!$D$7,"meta","nops"),"")</f>
        <v>nops</v>
      </c>
      <c r="I323" s="55"/>
      <c r="J323" s="65"/>
      <c r="K323" s="15"/>
      <c r="L323" s="15"/>
      <c r="M323" s="51" t="str">
        <f t="shared" si="23"/>
        <v/>
      </c>
      <c r="N323" s="51" t="str">
        <f t="shared" si="21"/>
        <v/>
      </c>
      <c r="O323" s="57" t="str">
        <f t="shared" si="24"/>
        <v/>
      </c>
      <c r="P323" s="6"/>
      <c r="Q323" s="6"/>
      <c r="R323" s="6"/>
      <c r="S323" s="6"/>
      <c r="T323" s="6"/>
      <c r="U323" s="6"/>
      <c r="V323" s="32">
        <f>IF(COUNTBLANK(X322)=1,(V322*'Config.'!$D$9)+V322,(X322*'Config.'!$D$9)+X322)</f>
        <v>1387725403.1914468</v>
      </c>
      <c r="W323" s="29" t="str">
        <f>IF(COUNTBLANK(X323)=1,IF(V323&lt;='Config.'!$D$7,"meta","nops"),"")</f>
        <v>nops</v>
      </c>
      <c r="X323" s="54"/>
    </row>
    <row r="324" spans="1:24" ht="19.5" customHeight="1">
      <c r="A324" s="44" t="s">
        <v>31</v>
      </c>
      <c r="B324" s="45">
        <v>321</v>
      </c>
      <c r="C324" s="46">
        <f>IF(COUNTBLANK(I323)=1,(C323*'Config.'!$D$9)+C323,(I323*'Config.'!$D$9)+I323)</f>
        <v>1558444495.9748719</v>
      </c>
      <c r="D324" s="46">
        <f>IF(COUNTBLANK(I323)=1,I323*'Config.'!$D$11,I323*'Config.'!$D$11)</f>
        <v>0</v>
      </c>
      <c r="E324" s="46">
        <f t="shared" si="22"/>
        <v>74211642.665470123</v>
      </c>
      <c r="F324" s="47"/>
      <c r="G324" s="48" t="str">
        <f t="shared" ref="G324:G368" si="25">IF(COUNTBLANK(F324)=0,(E324/F324)/$F$3,"-")</f>
        <v>-</v>
      </c>
      <c r="H324" s="29" t="str">
        <f>IF(COUNTBLANK(I324)=1,IF(C324&lt;='Config.'!$D$7,"meta","nops"),"")</f>
        <v>nops</v>
      </c>
      <c r="I324" s="55"/>
      <c r="J324" s="65"/>
      <c r="K324" s="15"/>
      <c r="L324" s="15"/>
      <c r="M324" s="51" t="str">
        <f t="shared" si="23"/>
        <v/>
      </c>
      <c r="N324" s="51" t="str">
        <f t="shared" ref="N324:N368" si="26">IF(M324="","",M324-E324)</f>
        <v/>
      </c>
      <c r="O324" s="57" t="str">
        <f t="shared" si="24"/>
        <v/>
      </c>
      <c r="P324" s="6"/>
      <c r="Q324" s="6"/>
      <c r="R324" s="6"/>
      <c r="S324" s="6"/>
      <c r="T324" s="6"/>
      <c r="U324" s="6"/>
      <c r="V324" s="32">
        <f>IF(COUNTBLANK(X323)=1,(V323*'Config.'!$D$9)+V323,(X323*'Config.'!$D$9)+X323)</f>
        <v>1457111673.3510191</v>
      </c>
      <c r="W324" s="29" t="str">
        <f>IF(COUNTBLANK(X324)=1,IF(V324&lt;='Config.'!$D$7,"meta","nops"),"")</f>
        <v>nops</v>
      </c>
      <c r="X324" s="54"/>
    </row>
    <row r="325" spans="1:24" ht="19.5" customHeight="1">
      <c r="A325" s="44" t="s">
        <v>31</v>
      </c>
      <c r="B325" s="45">
        <v>322</v>
      </c>
      <c r="C325" s="46">
        <f>IF(COUNTBLANK(I324)=1,(C324*'Config.'!$D$9)+C324,(I324*'Config.'!$D$9)+I324)</f>
        <v>1636366720.7736154</v>
      </c>
      <c r="D325" s="46">
        <f>IF(COUNTBLANK(I324)=1,I324*'Config.'!$D$11,I324*'Config.'!$D$11)</f>
        <v>0</v>
      </c>
      <c r="E325" s="46">
        <f t="shared" ref="E325:E368" si="27">IF(COUNTBLANK(I324)=1,C325-C324,C325-I324)</f>
        <v>77922224.798743486</v>
      </c>
      <c r="F325" s="47"/>
      <c r="G325" s="48" t="str">
        <f t="shared" si="25"/>
        <v>-</v>
      </c>
      <c r="H325" s="29" t="str">
        <f>IF(COUNTBLANK(I325)=1,IF(C325&lt;='Config.'!$D$7,"meta","nops"),"")</f>
        <v>nops</v>
      </c>
      <c r="I325" s="55"/>
      <c r="J325" s="65"/>
      <c r="K325" s="15"/>
      <c r="L325" s="15"/>
      <c r="M325" s="51" t="str">
        <f t="shared" si="23"/>
        <v/>
      </c>
      <c r="N325" s="51" t="str">
        <f t="shared" si="26"/>
        <v/>
      </c>
      <c r="O325" s="57" t="str">
        <f t="shared" si="24"/>
        <v/>
      </c>
      <c r="P325" s="6"/>
      <c r="Q325" s="6"/>
      <c r="R325" s="6"/>
      <c r="S325" s="6"/>
      <c r="T325" s="6"/>
      <c r="U325" s="6"/>
      <c r="V325" s="32">
        <f>IF(COUNTBLANK(X324)=1,(V324*'Config.'!$D$9)+V324,(X324*'Config.'!$D$9)+X324)</f>
        <v>1529967257.0185702</v>
      </c>
      <c r="W325" s="29" t="str">
        <f>IF(COUNTBLANK(X325)=1,IF(V325&lt;='Config.'!$D$7,"meta","nops"),"")</f>
        <v>nops</v>
      </c>
      <c r="X325" s="54"/>
    </row>
    <row r="326" spans="1:24" ht="19.5" customHeight="1">
      <c r="A326" s="44" t="s">
        <v>31</v>
      </c>
      <c r="B326" s="45">
        <v>323</v>
      </c>
      <c r="C326" s="46">
        <f>IF(COUNTBLANK(I325)=1,(C325*'Config.'!$D$9)+C325,(I325*'Config.'!$D$9)+I325)</f>
        <v>1718185056.8122962</v>
      </c>
      <c r="D326" s="46">
        <f>IF(COUNTBLANK(I325)=1,I325*'Config.'!$D$11,I325*'Config.'!$D$11)</f>
        <v>0</v>
      </c>
      <c r="E326" s="46">
        <f t="shared" si="27"/>
        <v>81818336.038680792</v>
      </c>
      <c r="F326" s="47"/>
      <c r="G326" s="48" t="str">
        <f t="shared" si="25"/>
        <v>-</v>
      </c>
      <c r="H326" s="29" t="str">
        <f>IF(COUNTBLANK(I326)=1,IF(C326&lt;='Config.'!$D$7,"meta","nops"),"")</f>
        <v>nops</v>
      </c>
      <c r="I326" s="55"/>
      <c r="J326" s="65"/>
      <c r="K326" s="15"/>
      <c r="L326" s="15"/>
      <c r="M326" s="51" t="str">
        <f t="shared" ref="M326:M368" si="28">IF(COUNTBLANK(I326)=1,"",I326-I325)</f>
        <v/>
      </c>
      <c r="N326" s="51" t="str">
        <f t="shared" si="26"/>
        <v/>
      </c>
      <c r="O326" s="57" t="str">
        <f t="shared" ref="O326:O368" si="29">IF(COUNTBLANK(I326)=1,"",(I326-I325)/I325)</f>
        <v/>
      </c>
      <c r="P326" s="6"/>
      <c r="Q326" s="6"/>
      <c r="R326" s="6"/>
      <c r="S326" s="6"/>
      <c r="T326" s="6"/>
      <c r="U326" s="6"/>
      <c r="V326" s="32">
        <f>IF(COUNTBLANK(X325)=1,(V325*'Config.'!$D$9)+V325,(X325*'Config.'!$D$9)+X325)</f>
        <v>1606465619.8694987</v>
      </c>
      <c r="W326" s="29" t="str">
        <f>IF(COUNTBLANK(X326)=1,IF(V326&lt;='Config.'!$D$7,"meta","nops"),"")</f>
        <v>nops</v>
      </c>
      <c r="X326" s="54"/>
    </row>
    <row r="327" spans="1:24" ht="19.5" customHeight="1">
      <c r="A327" s="44" t="s">
        <v>31</v>
      </c>
      <c r="B327" s="45">
        <v>324</v>
      </c>
      <c r="C327" s="46">
        <f>IF(COUNTBLANK(I326)=1,(C326*'Config.'!$D$9)+C326,(I326*'Config.'!$D$9)+I326)</f>
        <v>1804094309.6529109</v>
      </c>
      <c r="D327" s="46">
        <f>IF(COUNTBLANK(I326)=1,I326*'Config.'!$D$11,I326*'Config.'!$D$11)</f>
        <v>0</v>
      </c>
      <c r="E327" s="46">
        <f t="shared" si="27"/>
        <v>85909252.840614796</v>
      </c>
      <c r="F327" s="47"/>
      <c r="G327" s="48" t="str">
        <f t="shared" si="25"/>
        <v>-</v>
      </c>
      <c r="H327" s="29" t="str">
        <f>IF(COUNTBLANK(I327)=1,IF(C327&lt;='Config.'!$D$7,"meta","nops"),"")</f>
        <v>nops</v>
      </c>
      <c r="I327" s="55"/>
      <c r="J327" s="65"/>
      <c r="K327" s="15"/>
      <c r="L327" s="15"/>
      <c r="M327" s="51" t="str">
        <f t="shared" si="28"/>
        <v/>
      </c>
      <c r="N327" s="51" t="str">
        <f t="shared" si="26"/>
        <v/>
      </c>
      <c r="O327" s="57" t="str">
        <f t="shared" si="29"/>
        <v/>
      </c>
      <c r="P327" s="6"/>
      <c r="Q327" s="6"/>
      <c r="R327" s="6"/>
      <c r="S327" s="6"/>
      <c r="T327" s="6"/>
      <c r="U327" s="6"/>
      <c r="V327" s="32">
        <f>IF(COUNTBLANK(X326)=1,(V326*'Config.'!$D$9)+V326,(X326*'Config.'!$D$9)+X326)</f>
        <v>1686788900.8629737</v>
      </c>
      <c r="W327" s="29" t="str">
        <f>IF(COUNTBLANK(X327)=1,IF(V327&lt;='Config.'!$D$7,"meta","nops"),"")</f>
        <v>nops</v>
      </c>
      <c r="X327" s="54"/>
    </row>
    <row r="328" spans="1:24" ht="19.5" customHeight="1">
      <c r="A328" s="44" t="s">
        <v>31</v>
      </c>
      <c r="B328" s="45">
        <v>325</v>
      </c>
      <c r="C328" s="46">
        <f>IF(COUNTBLANK(I327)=1,(C327*'Config.'!$D$9)+C327,(I327*'Config.'!$D$9)+I327)</f>
        <v>1894299025.1355565</v>
      </c>
      <c r="D328" s="46">
        <f>IF(COUNTBLANK(I327)=1,I327*'Config.'!$D$11,I327*'Config.'!$D$11)</f>
        <v>0</v>
      </c>
      <c r="E328" s="46">
        <f t="shared" si="27"/>
        <v>90204715.482645512</v>
      </c>
      <c r="F328" s="47"/>
      <c r="G328" s="48" t="str">
        <f t="shared" si="25"/>
        <v>-</v>
      </c>
      <c r="H328" s="29" t="str">
        <f>IF(COUNTBLANK(I328)=1,IF(C328&lt;='Config.'!$D$7,"meta","nops"),"")</f>
        <v>nops</v>
      </c>
      <c r="I328" s="55"/>
      <c r="J328" s="65"/>
      <c r="K328" s="15"/>
      <c r="L328" s="15"/>
      <c r="M328" s="51" t="str">
        <f t="shared" si="28"/>
        <v/>
      </c>
      <c r="N328" s="51" t="str">
        <f t="shared" si="26"/>
        <v/>
      </c>
      <c r="O328" s="57" t="str">
        <f t="shared" si="29"/>
        <v/>
      </c>
      <c r="P328" s="6"/>
      <c r="Q328" s="6"/>
      <c r="R328" s="6"/>
      <c r="S328" s="6"/>
      <c r="T328" s="6"/>
      <c r="U328" s="6"/>
      <c r="V328" s="32">
        <f>IF(COUNTBLANK(X327)=1,(V327*'Config.'!$D$9)+V327,(X327*'Config.'!$D$9)+X327)</f>
        <v>1771128345.9061224</v>
      </c>
      <c r="W328" s="29" t="str">
        <f>IF(COUNTBLANK(X328)=1,IF(V328&lt;='Config.'!$D$7,"meta","nops"),"")</f>
        <v>nops</v>
      </c>
      <c r="X328" s="54"/>
    </row>
    <row r="329" spans="1:24" ht="19.5" customHeight="1">
      <c r="A329" s="44" t="s">
        <v>31</v>
      </c>
      <c r="B329" s="45">
        <v>326</v>
      </c>
      <c r="C329" s="46">
        <f>IF(COUNTBLANK(I328)=1,(C328*'Config.'!$D$9)+C328,(I328*'Config.'!$D$9)+I328)</f>
        <v>1989013976.3923342</v>
      </c>
      <c r="D329" s="46">
        <f>IF(COUNTBLANK(I328)=1,I328*'Config.'!$D$11,I328*'Config.'!$D$11)</f>
        <v>0</v>
      </c>
      <c r="E329" s="46">
        <f t="shared" si="27"/>
        <v>94714951.256777763</v>
      </c>
      <c r="F329" s="47"/>
      <c r="G329" s="48" t="str">
        <f t="shared" si="25"/>
        <v>-</v>
      </c>
      <c r="H329" s="29" t="str">
        <f>IF(COUNTBLANK(I329)=1,IF(C329&lt;='Config.'!$D$7,"meta","nops"),"")</f>
        <v>nops</v>
      </c>
      <c r="I329" s="55"/>
      <c r="J329" s="65"/>
      <c r="K329" s="15"/>
      <c r="L329" s="15"/>
      <c r="M329" s="51" t="str">
        <f t="shared" si="28"/>
        <v/>
      </c>
      <c r="N329" s="51" t="str">
        <f t="shared" si="26"/>
        <v/>
      </c>
      <c r="O329" s="57" t="str">
        <f t="shared" si="29"/>
        <v/>
      </c>
      <c r="P329" s="6"/>
      <c r="Q329" s="6"/>
      <c r="R329" s="6"/>
      <c r="S329" s="6"/>
      <c r="T329" s="6"/>
      <c r="U329" s="6"/>
      <c r="V329" s="32">
        <f>IF(COUNTBLANK(X328)=1,(V328*'Config.'!$D$9)+V328,(X328*'Config.'!$D$9)+X328)</f>
        <v>1859684763.2014287</v>
      </c>
      <c r="W329" s="29" t="str">
        <f>IF(COUNTBLANK(X329)=1,IF(V329&lt;='Config.'!$D$7,"meta","nops"),"")</f>
        <v>nops</v>
      </c>
      <c r="X329" s="54"/>
    </row>
    <row r="330" spans="1:24" ht="19.5" customHeight="1">
      <c r="A330" s="44" t="s">
        <v>31</v>
      </c>
      <c r="B330" s="45">
        <v>327</v>
      </c>
      <c r="C330" s="46">
        <f>IF(COUNTBLANK(I329)=1,(C329*'Config.'!$D$9)+C329,(I329*'Config.'!$D$9)+I329)</f>
        <v>2088464675.211951</v>
      </c>
      <c r="D330" s="46">
        <f>IF(COUNTBLANK(I329)=1,I329*'Config.'!$D$11,I329*'Config.'!$D$11)</f>
        <v>0</v>
      </c>
      <c r="E330" s="46">
        <f t="shared" si="27"/>
        <v>99450698.819616795</v>
      </c>
      <c r="F330" s="47"/>
      <c r="G330" s="48" t="str">
        <f t="shared" si="25"/>
        <v>-</v>
      </c>
      <c r="H330" s="29" t="str">
        <f>IF(COUNTBLANK(I330)=1,IF(C330&lt;='Config.'!$D$7,"meta","nops"),"")</f>
        <v>nops</v>
      </c>
      <c r="I330" s="55"/>
      <c r="J330" s="65"/>
      <c r="K330" s="15"/>
      <c r="L330" s="15"/>
      <c r="M330" s="51" t="str">
        <f t="shared" si="28"/>
        <v/>
      </c>
      <c r="N330" s="51" t="str">
        <f t="shared" si="26"/>
        <v/>
      </c>
      <c r="O330" s="57" t="str">
        <f t="shared" si="29"/>
        <v/>
      </c>
      <c r="P330" s="6"/>
      <c r="Q330" s="6"/>
      <c r="R330" s="6"/>
      <c r="S330" s="6"/>
      <c r="T330" s="6"/>
      <c r="U330" s="6"/>
      <c r="V330" s="32">
        <f>IF(COUNTBLANK(X329)=1,(V329*'Config.'!$D$9)+V329,(X329*'Config.'!$D$9)+X329)</f>
        <v>1952669001.3615</v>
      </c>
      <c r="W330" s="29" t="str">
        <f>IF(COUNTBLANK(X330)=1,IF(V330&lt;='Config.'!$D$7,"meta","nops"),"")</f>
        <v>nops</v>
      </c>
      <c r="X330" s="54"/>
    </row>
    <row r="331" spans="1:24" ht="19.5" customHeight="1">
      <c r="A331" s="44" t="s">
        <v>31</v>
      </c>
      <c r="B331" s="45">
        <v>328</v>
      </c>
      <c r="C331" s="46">
        <f>IF(COUNTBLANK(I330)=1,(C330*'Config.'!$D$9)+C330,(I330*'Config.'!$D$9)+I330)</f>
        <v>2192887908.9725485</v>
      </c>
      <c r="D331" s="46">
        <f>IF(COUNTBLANK(I330)=1,I330*'Config.'!$D$11,I330*'Config.'!$D$11)</f>
        <v>0</v>
      </c>
      <c r="E331" s="46">
        <f t="shared" si="27"/>
        <v>104423233.76059747</v>
      </c>
      <c r="F331" s="47"/>
      <c r="G331" s="48" t="str">
        <f t="shared" si="25"/>
        <v>-</v>
      </c>
      <c r="H331" s="29" t="str">
        <f>IF(COUNTBLANK(I331)=1,IF(C331&lt;='Config.'!$D$7,"meta","nops"),"")</f>
        <v>nops</v>
      </c>
      <c r="I331" s="55"/>
      <c r="J331" s="65"/>
      <c r="K331" s="15"/>
      <c r="L331" s="15"/>
      <c r="M331" s="51" t="str">
        <f t="shared" si="28"/>
        <v/>
      </c>
      <c r="N331" s="51" t="str">
        <f t="shared" si="26"/>
        <v/>
      </c>
      <c r="O331" s="57" t="str">
        <f t="shared" si="29"/>
        <v/>
      </c>
      <c r="P331" s="6"/>
      <c r="Q331" s="6"/>
      <c r="R331" s="6"/>
      <c r="S331" s="6"/>
      <c r="T331" s="6"/>
      <c r="U331" s="6"/>
      <c r="V331" s="32">
        <f>IF(COUNTBLANK(X330)=1,(V330*'Config.'!$D$9)+V330,(X330*'Config.'!$D$9)+X330)</f>
        <v>2050302451.429575</v>
      </c>
      <c r="W331" s="29" t="str">
        <f>IF(COUNTBLANK(X331)=1,IF(V331&lt;='Config.'!$D$7,"meta","nops"),"")</f>
        <v>nops</v>
      </c>
      <c r="X331" s="54"/>
    </row>
    <row r="332" spans="1:24" ht="19.5" customHeight="1">
      <c r="A332" s="44" t="s">
        <v>31</v>
      </c>
      <c r="B332" s="45">
        <v>329</v>
      </c>
      <c r="C332" s="46">
        <f>IF(COUNTBLANK(I331)=1,(C331*'Config.'!$D$9)+C331,(I331*'Config.'!$D$9)+I331)</f>
        <v>2302532304.421176</v>
      </c>
      <c r="D332" s="46">
        <f>IF(COUNTBLANK(I331)=1,I331*'Config.'!$D$11,I331*'Config.'!$D$11)</f>
        <v>0</v>
      </c>
      <c r="E332" s="46">
        <f t="shared" si="27"/>
        <v>109644395.44862747</v>
      </c>
      <c r="F332" s="47"/>
      <c r="G332" s="48" t="str">
        <f t="shared" si="25"/>
        <v>-</v>
      </c>
      <c r="H332" s="29" t="str">
        <f>IF(COUNTBLANK(I332)=1,IF(C332&lt;='Config.'!$D$7,"meta","nops"),"")</f>
        <v>nops</v>
      </c>
      <c r="I332" s="55"/>
      <c r="J332" s="65"/>
      <c r="K332" s="15"/>
      <c r="L332" s="15"/>
      <c r="M332" s="51" t="str">
        <f t="shared" si="28"/>
        <v/>
      </c>
      <c r="N332" s="51" t="str">
        <f t="shared" si="26"/>
        <v/>
      </c>
      <c r="O332" s="57" t="str">
        <f t="shared" si="29"/>
        <v/>
      </c>
      <c r="P332" s="6"/>
      <c r="Q332" s="6"/>
      <c r="R332" s="6"/>
      <c r="S332" s="6"/>
      <c r="T332" s="6"/>
      <c r="U332" s="6"/>
      <c r="V332" s="32">
        <f>IF(COUNTBLANK(X331)=1,(V331*'Config.'!$D$9)+V331,(X331*'Config.'!$D$9)+X331)</f>
        <v>2152817574.0010538</v>
      </c>
      <c r="W332" s="29" t="str">
        <f>IF(COUNTBLANK(X332)=1,IF(V332&lt;='Config.'!$D$7,"meta","nops"),"")</f>
        <v>nops</v>
      </c>
      <c r="X332" s="54"/>
    </row>
    <row r="333" spans="1:24" ht="19.5" customHeight="1">
      <c r="A333" s="44" t="s">
        <v>31</v>
      </c>
      <c r="B333" s="45">
        <v>330</v>
      </c>
      <c r="C333" s="46">
        <f>IF(COUNTBLANK(I332)=1,(C332*'Config.'!$D$9)+C332,(I332*'Config.'!$D$9)+I332)</f>
        <v>2417658919.6422348</v>
      </c>
      <c r="D333" s="46">
        <f>IF(COUNTBLANK(I332)=1,I332*'Config.'!$D$11,I332*'Config.'!$D$11)</f>
        <v>0</v>
      </c>
      <c r="E333" s="46">
        <f t="shared" si="27"/>
        <v>115126615.22105885</v>
      </c>
      <c r="F333" s="47"/>
      <c r="G333" s="48" t="str">
        <f t="shared" si="25"/>
        <v>-</v>
      </c>
      <c r="H333" s="29" t="str">
        <f>IF(COUNTBLANK(I333)=1,IF(C333&lt;='Config.'!$D$7,"meta","nops"),"")</f>
        <v>nops</v>
      </c>
      <c r="I333" s="55"/>
      <c r="J333" s="65"/>
      <c r="K333" s="15"/>
      <c r="L333" s="15"/>
      <c r="M333" s="51" t="str">
        <f t="shared" si="28"/>
        <v/>
      </c>
      <c r="N333" s="51" t="str">
        <f t="shared" si="26"/>
        <v/>
      </c>
      <c r="O333" s="57" t="str">
        <f t="shared" si="29"/>
        <v/>
      </c>
      <c r="P333" s="6"/>
      <c r="Q333" s="6"/>
      <c r="R333" s="6"/>
      <c r="S333" s="6"/>
      <c r="T333" s="6"/>
      <c r="U333" s="6"/>
      <c r="V333" s="32">
        <f>IF(COUNTBLANK(X332)=1,(V332*'Config.'!$D$9)+V332,(X332*'Config.'!$D$9)+X332)</f>
        <v>2260458452.7011065</v>
      </c>
      <c r="W333" s="29" t="str">
        <f>IF(COUNTBLANK(X333)=1,IF(V333&lt;='Config.'!$D$7,"meta","nops"),"")</f>
        <v>nops</v>
      </c>
      <c r="X333" s="54"/>
    </row>
    <row r="334" spans="1:24" ht="19.5" customHeight="1">
      <c r="A334" s="44" t="s">
        <v>31</v>
      </c>
      <c r="B334" s="45">
        <v>331</v>
      </c>
      <c r="C334" s="46">
        <f>IF(COUNTBLANK(I333)=1,(C333*'Config.'!$D$9)+C333,(I333*'Config.'!$D$9)+I333)</f>
        <v>2538541865.6243467</v>
      </c>
      <c r="D334" s="46">
        <f>IF(COUNTBLANK(I333)=1,I333*'Config.'!$D$11,I333*'Config.'!$D$11)</f>
        <v>0</v>
      </c>
      <c r="E334" s="46">
        <f t="shared" si="27"/>
        <v>120882945.98211193</v>
      </c>
      <c r="F334" s="47"/>
      <c r="G334" s="48" t="str">
        <f t="shared" si="25"/>
        <v>-</v>
      </c>
      <c r="H334" s="29" t="str">
        <f>IF(COUNTBLANK(I334)=1,IF(C334&lt;='Config.'!$D$7,"meta","nops"),"")</f>
        <v>nops</v>
      </c>
      <c r="I334" s="55"/>
      <c r="J334" s="65"/>
      <c r="K334" s="15"/>
      <c r="L334" s="15"/>
      <c r="M334" s="51" t="str">
        <f t="shared" si="28"/>
        <v/>
      </c>
      <c r="N334" s="51" t="str">
        <f t="shared" si="26"/>
        <v/>
      </c>
      <c r="O334" s="57" t="str">
        <f t="shared" si="29"/>
        <v/>
      </c>
      <c r="P334" s="6"/>
      <c r="Q334" s="6"/>
      <c r="R334" s="6"/>
      <c r="S334" s="6"/>
      <c r="T334" s="6"/>
      <c r="U334" s="6"/>
      <c r="V334" s="32">
        <f>IF(COUNTBLANK(X333)=1,(V333*'Config.'!$D$9)+V333,(X333*'Config.'!$D$9)+X333)</f>
        <v>2373481375.3361621</v>
      </c>
      <c r="W334" s="29" t="str">
        <f>IF(COUNTBLANK(X334)=1,IF(V334&lt;='Config.'!$D$7,"meta","nops"),"")</f>
        <v>nops</v>
      </c>
      <c r="X334" s="54"/>
    </row>
    <row r="335" spans="1:24" ht="19.5" customHeight="1">
      <c r="A335" s="44" t="s">
        <v>31</v>
      </c>
      <c r="B335" s="45">
        <v>332</v>
      </c>
      <c r="C335" s="46">
        <f>IF(COUNTBLANK(I334)=1,(C334*'Config.'!$D$9)+C334,(I334*'Config.'!$D$9)+I334)</f>
        <v>2665468958.9055643</v>
      </c>
      <c r="D335" s="46">
        <f>IF(COUNTBLANK(I334)=1,I334*'Config.'!$D$11,I334*'Config.'!$D$11)</f>
        <v>0</v>
      </c>
      <c r="E335" s="46">
        <f t="shared" si="27"/>
        <v>126927093.28121758</v>
      </c>
      <c r="F335" s="47"/>
      <c r="G335" s="48" t="str">
        <f t="shared" si="25"/>
        <v>-</v>
      </c>
      <c r="H335" s="29" t="str">
        <f>IF(COUNTBLANK(I335)=1,IF(C335&lt;='Config.'!$D$7,"meta","nops"),"")</f>
        <v>nops</v>
      </c>
      <c r="I335" s="55"/>
      <c r="J335" s="65"/>
      <c r="K335" s="15"/>
      <c r="L335" s="15"/>
      <c r="M335" s="51" t="str">
        <f t="shared" si="28"/>
        <v/>
      </c>
      <c r="N335" s="51" t="str">
        <f t="shared" si="26"/>
        <v/>
      </c>
      <c r="O335" s="57" t="str">
        <f t="shared" si="29"/>
        <v/>
      </c>
      <c r="P335" s="6"/>
      <c r="Q335" s="6"/>
      <c r="R335" s="6"/>
      <c r="S335" s="6"/>
      <c r="T335" s="6"/>
      <c r="U335" s="6"/>
      <c r="V335" s="32">
        <f>IF(COUNTBLANK(X334)=1,(V334*'Config.'!$D$9)+V334,(X334*'Config.'!$D$9)+X334)</f>
        <v>2492155444.1029701</v>
      </c>
      <c r="W335" s="29" t="str">
        <f>IF(COUNTBLANK(X335)=1,IF(V335&lt;='Config.'!$D$7,"meta","nops"),"")</f>
        <v>nops</v>
      </c>
      <c r="X335" s="54"/>
    </row>
    <row r="336" spans="1:24" ht="19.5" customHeight="1">
      <c r="A336" s="44" t="s">
        <v>31</v>
      </c>
      <c r="B336" s="45">
        <v>333</v>
      </c>
      <c r="C336" s="46">
        <f>IF(COUNTBLANK(I335)=1,(C335*'Config.'!$D$9)+C335,(I335*'Config.'!$D$9)+I335)</f>
        <v>2798742406.8508425</v>
      </c>
      <c r="D336" s="46">
        <f>IF(COUNTBLANK(I335)=1,I335*'Config.'!$D$11,I335*'Config.'!$D$11)</f>
        <v>0</v>
      </c>
      <c r="E336" s="46">
        <f t="shared" si="27"/>
        <v>133273447.94527817</v>
      </c>
      <c r="F336" s="47"/>
      <c r="G336" s="48" t="str">
        <f t="shared" si="25"/>
        <v>-</v>
      </c>
      <c r="H336" s="29" t="str">
        <f>IF(COUNTBLANK(I336)=1,IF(C336&lt;='Config.'!$D$7,"meta","nops"),"")</f>
        <v>nops</v>
      </c>
      <c r="I336" s="55"/>
      <c r="J336" s="65"/>
      <c r="K336" s="15"/>
      <c r="L336" s="15"/>
      <c r="M336" s="51" t="str">
        <f t="shared" si="28"/>
        <v/>
      </c>
      <c r="N336" s="51" t="str">
        <f t="shared" si="26"/>
        <v/>
      </c>
      <c r="O336" s="57" t="str">
        <f t="shared" si="29"/>
        <v/>
      </c>
      <c r="P336" s="6"/>
      <c r="Q336" s="6"/>
      <c r="R336" s="6"/>
      <c r="S336" s="6"/>
      <c r="T336" s="6"/>
      <c r="U336" s="6"/>
      <c r="V336" s="32">
        <f>IF(COUNTBLANK(X335)=1,(V335*'Config.'!$D$9)+V335,(X335*'Config.'!$D$9)+X335)</f>
        <v>2616763216.3081188</v>
      </c>
      <c r="W336" s="29" t="str">
        <f>IF(COUNTBLANK(X336)=1,IF(V336&lt;='Config.'!$D$7,"meta","nops"),"")</f>
        <v>nops</v>
      </c>
      <c r="X336" s="54"/>
    </row>
    <row r="337" spans="1:24" ht="19.5" customHeight="1">
      <c r="A337" s="44" t="s">
        <v>31</v>
      </c>
      <c r="B337" s="45">
        <v>334</v>
      </c>
      <c r="C337" s="46">
        <f>IF(COUNTBLANK(I336)=1,(C336*'Config.'!$D$9)+C336,(I336*'Config.'!$D$9)+I336)</f>
        <v>2938679527.1933846</v>
      </c>
      <c r="D337" s="46">
        <f>IF(COUNTBLANK(I336)=1,I336*'Config.'!$D$11,I336*'Config.'!$D$11)</f>
        <v>0</v>
      </c>
      <c r="E337" s="46">
        <f t="shared" si="27"/>
        <v>139937120.34254217</v>
      </c>
      <c r="F337" s="47"/>
      <c r="G337" s="48" t="str">
        <f t="shared" si="25"/>
        <v>-</v>
      </c>
      <c r="H337" s="29" t="str">
        <f>IF(COUNTBLANK(I337)=1,IF(C337&lt;='Config.'!$D$7,"meta","nops"),"")</f>
        <v>nops</v>
      </c>
      <c r="I337" s="55"/>
      <c r="J337" s="65"/>
      <c r="K337" s="15"/>
      <c r="L337" s="15"/>
      <c r="M337" s="51" t="str">
        <f t="shared" si="28"/>
        <v/>
      </c>
      <c r="N337" s="51" t="str">
        <f t="shared" si="26"/>
        <v/>
      </c>
      <c r="O337" s="57" t="str">
        <f t="shared" si="29"/>
        <v/>
      </c>
      <c r="P337" s="6"/>
      <c r="Q337" s="6"/>
      <c r="R337" s="6"/>
      <c r="S337" s="6"/>
      <c r="T337" s="6"/>
      <c r="U337" s="6"/>
      <c r="V337" s="32">
        <f>IF(COUNTBLANK(X336)=1,(V336*'Config.'!$D$9)+V336,(X336*'Config.'!$D$9)+X336)</f>
        <v>2747601377.1235247</v>
      </c>
      <c r="W337" s="29" t="str">
        <f>IF(COUNTBLANK(X337)=1,IF(V337&lt;='Config.'!$D$7,"meta","nops"),"")</f>
        <v>nops</v>
      </c>
      <c r="X337" s="54"/>
    </row>
    <row r="338" spans="1:24" ht="19.5" customHeight="1">
      <c r="A338" s="44" t="s">
        <v>31</v>
      </c>
      <c r="B338" s="45">
        <v>335</v>
      </c>
      <c r="C338" s="46">
        <f>IF(COUNTBLANK(I337)=1,(C337*'Config.'!$D$9)+C337,(I337*'Config.'!$D$9)+I337)</f>
        <v>3085613503.5530539</v>
      </c>
      <c r="D338" s="46">
        <f>IF(COUNTBLANK(I337)=1,I337*'Config.'!$D$11,I337*'Config.'!$D$11)</f>
        <v>0</v>
      </c>
      <c r="E338" s="46">
        <f t="shared" si="27"/>
        <v>146933976.35966921</v>
      </c>
      <c r="F338" s="47"/>
      <c r="G338" s="48" t="str">
        <f t="shared" si="25"/>
        <v>-</v>
      </c>
      <c r="H338" s="29" t="str">
        <f>IF(COUNTBLANK(I338)=1,IF(C338&lt;='Config.'!$D$7,"meta","nops"),"")</f>
        <v>nops</v>
      </c>
      <c r="I338" s="55"/>
      <c r="J338" s="65"/>
      <c r="K338" s="15"/>
      <c r="L338" s="15"/>
      <c r="M338" s="51" t="str">
        <f t="shared" si="28"/>
        <v/>
      </c>
      <c r="N338" s="51" t="str">
        <f t="shared" si="26"/>
        <v/>
      </c>
      <c r="O338" s="57" t="str">
        <f t="shared" si="29"/>
        <v/>
      </c>
      <c r="P338" s="6"/>
      <c r="Q338" s="6"/>
      <c r="R338" s="6"/>
      <c r="S338" s="6"/>
      <c r="T338" s="6"/>
      <c r="U338" s="6"/>
      <c r="V338" s="32">
        <f>IF(COUNTBLANK(X337)=1,(V337*'Config.'!$D$9)+V337,(X337*'Config.'!$D$9)+X337)</f>
        <v>2884981445.979701</v>
      </c>
      <c r="W338" s="29" t="str">
        <f>IF(COUNTBLANK(X338)=1,IF(V338&lt;='Config.'!$D$7,"meta","nops"),"")</f>
        <v>nops</v>
      </c>
      <c r="X338" s="54"/>
    </row>
    <row r="339" spans="1:24" ht="19.5" customHeight="1">
      <c r="A339" s="44" t="s">
        <v>31</v>
      </c>
      <c r="B339" s="45">
        <v>336</v>
      </c>
      <c r="C339" s="46">
        <f>IF(COUNTBLANK(I338)=1,(C338*'Config.'!$D$9)+C338,(I338*'Config.'!$D$9)+I338)</f>
        <v>3239894178.7307067</v>
      </c>
      <c r="D339" s="46">
        <f>IF(COUNTBLANK(I338)=1,I338*'Config.'!$D$11,I338*'Config.'!$D$11)</f>
        <v>0</v>
      </c>
      <c r="E339" s="46">
        <f t="shared" si="27"/>
        <v>154280675.17765284</v>
      </c>
      <c r="F339" s="47"/>
      <c r="G339" s="48" t="str">
        <f t="shared" si="25"/>
        <v>-</v>
      </c>
      <c r="H339" s="29" t="str">
        <f>IF(COUNTBLANK(I339)=1,IF(C339&lt;='Config.'!$D$7,"meta","nops"),"")</f>
        <v>nops</v>
      </c>
      <c r="I339" s="55"/>
      <c r="J339" s="65"/>
      <c r="K339" s="15"/>
      <c r="L339" s="15"/>
      <c r="M339" s="51" t="str">
        <f t="shared" si="28"/>
        <v/>
      </c>
      <c r="N339" s="51" t="str">
        <f t="shared" si="26"/>
        <v/>
      </c>
      <c r="O339" s="57" t="str">
        <f t="shared" si="29"/>
        <v/>
      </c>
      <c r="P339" s="6"/>
      <c r="Q339" s="6"/>
      <c r="R339" s="6"/>
      <c r="S339" s="6"/>
      <c r="T339" s="6"/>
      <c r="U339" s="6"/>
      <c r="V339" s="32">
        <f>IF(COUNTBLANK(X338)=1,(V338*'Config.'!$D$9)+V338,(X338*'Config.'!$D$9)+X338)</f>
        <v>3029230518.278686</v>
      </c>
      <c r="W339" s="29" t="str">
        <f>IF(COUNTBLANK(X339)=1,IF(V339&lt;='Config.'!$D$7,"meta","nops"),"")</f>
        <v>nops</v>
      </c>
      <c r="X339" s="54"/>
    </row>
    <row r="340" spans="1:24" ht="19.5" customHeight="1">
      <c r="A340" s="44" t="s">
        <v>31</v>
      </c>
      <c r="B340" s="45">
        <v>337</v>
      </c>
      <c r="C340" s="46">
        <f>IF(COUNTBLANK(I339)=1,(C339*'Config.'!$D$9)+C339,(I339*'Config.'!$D$9)+I339)</f>
        <v>3401888887.6672421</v>
      </c>
      <c r="D340" s="46">
        <f>IF(COUNTBLANK(I339)=1,I339*'Config.'!$D$11,I339*'Config.'!$D$11)</f>
        <v>0</v>
      </c>
      <c r="E340" s="46">
        <f t="shared" si="27"/>
        <v>161994708.93653536</v>
      </c>
      <c r="F340" s="47"/>
      <c r="G340" s="48" t="str">
        <f t="shared" si="25"/>
        <v>-</v>
      </c>
      <c r="H340" s="29" t="str">
        <f>IF(COUNTBLANK(I340)=1,IF(C340&lt;='Config.'!$D$7,"meta","nops"),"")</f>
        <v>nops</v>
      </c>
      <c r="I340" s="55"/>
      <c r="J340" s="65"/>
      <c r="K340" s="15"/>
      <c r="L340" s="15"/>
      <c r="M340" s="51" t="str">
        <f t="shared" si="28"/>
        <v/>
      </c>
      <c r="N340" s="51" t="str">
        <f t="shared" si="26"/>
        <v/>
      </c>
      <c r="O340" s="57" t="str">
        <f t="shared" si="29"/>
        <v/>
      </c>
      <c r="P340" s="6"/>
      <c r="Q340" s="6"/>
      <c r="R340" s="6"/>
      <c r="S340" s="6"/>
      <c r="T340" s="6"/>
      <c r="U340" s="6"/>
      <c r="V340" s="32">
        <f>IF(COUNTBLANK(X339)=1,(V339*'Config.'!$D$9)+V339,(X339*'Config.'!$D$9)+X339)</f>
        <v>3180692044.1926203</v>
      </c>
      <c r="W340" s="29" t="str">
        <f>IF(COUNTBLANK(X340)=1,IF(V340&lt;='Config.'!$D$7,"meta","nops"),"")</f>
        <v>nops</v>
      </c>
      <c r="X340" s="54"/>
    </row>
    <row r="341" spans="1:24" ht="19.5" customHeight="1">
      <c r="A341" s="44" t="s">
        <v>31</v>
      </c>
      <c r="B341" s="45">
        <v>338</v>
      </c>
      <c r="C341" s="46">
        <f>IF(COUNTBLANK(I340)=1,(C340*'Config.'!$D$9)+C340,(I340*'Config.'!$D$9)+I340)</f>
        <v>3571983332.0506043</v>
      </c>
      <c r="D341" s="46">
        <f>IF(COUNTBLANK(I340)=1,I340*'Config.'!$D$11,I340*'Config.'!$D$11)</f>
        <v>0</v>
      </c>
      <c r="E341" s="46">
        <f t="shared" si="27"/>
        <v>170094444.38336229</v>
      </c>
      <c r="F341" s="47"/>
      <c r="G341" s="48" t="str">
        <f t="shared" si="25"/>
        <v>-</v>
      </c>
      <c r="H341" s="29" t="str">
        <f>IF(COUNTBLANK(I341)=1,IF(C341&lt;='Config.'!$D$7,"meta","nops"),"")</f>
        <v>nops</v>
      </c>
      <c r="I341" s="55"/>
      <c r="J341" s="65"/>
      <c r="K341" s="15"/>
      <c r="L341" s="15"/>
      <c r="M341" s="51" t="str">
        <f t="shared" si="28"/>
        <v/>
      </c>
      <c r="N341" s="51" t="str">
        <f t="shared" si="26"/>
        <v/>
      </c>
      <c r="O341" s="57" t="str">
        <f t="shared" si="29"/>
        <v/>
      </c>
      <c r="P341" s="6"/>
      <c r="Q341" s="6"/>
      <c r="R341" s="6"/>
      <c r="S341" s="6"/>
      <c r="T341" s="6"/>
      <c r="U341" s="6"/>
      <c r="V341" s="32">
        <f>IF(COUNTBLANK(X340)=1,(V340*'Config.'!$D$9)+V340,(X340*'Config.'!$D$9)+X340)</f>
        <v>3339726646.4022512</v>
      </c>
      <c r="W341" s="29" t="str">
        <f>IF(COUNTBLANK(X341)=1,IF(V341&lt;='Config.'!$D$7,"meta","nops"),"")</f>
        <v>nops</v>
      </c>
      <c r="X341" s="54"/>
    </row>
    <row r="342" spans="1:24" ht="19.5" customHeight="1">
      <c r="A342" s="44" t="s">
        <v>31</v>
      </c>
      <c r="B342" s="45">
        <v>339</v>
      </c>
      <c r="C342" s="46">
        <f>IF(COUNTBLANK(I341)=1,(C341*'Config.'!$D$9)+C341,(I341*'Config.'!$D$9)+I341)</f>
        <v>3750582498.6531343</v>
      </c>
      <c r="D342" s="46">
        <f>IF(COUNTBLANK(I341)=1,I341*'Config.'!$D$11,I341*'Config.'!$D$11)</f>
        <v>0</v>
      </c>
      <c r="E342" s="46">
        <f t="shared" si="27"/>
        <v>178599166.60253</v>
      </c>
      <c r="F342" s="47"/>
      <c r="G342" s="48" t="str">
        <f t="shared" si="25"/>
        <v>-</v>
      </c>
      <c r="H342" s="29" t="str">
        <f>IF(COUNTBLANK(I342)=1,IF(C342&lt;='Config.'!$D$7,"meta","nops"),"")</f>
        <v>nops</v>
      </c>
      <c r="I342" s="55"/>
      <c r="J342" s="65"/>
      <c r="K342" s="15"/>
      <c r="L342" s="15"/>
      <c r="M342" s="51" t="str">
        <f t="shared" si="28"/>
        <v/>
      </c>
      <c r="N342" s="51" t="str">
        <f t="shared" si="26"/>
        <v/>
      </c>
      <c r="O342" s="57" t="str">
        <f t="shared" si="29"/>
        <v/>
      </c>
      <c r="P342" s="6"/>
      <c r="Q342" s="6"/>
      <c r="R342" s="6"/>
      <c r="S342" s="6"/>
      <c r="T342" s="6"/>
      <c r="U342" s="6"/>
      <c r="V342" s="32">
        <f>IF(COUNTBLANK(X341)=1,(V341*'Config.'!$D$9)+V341,(X341*'Config.'!$D$9)+X341)</f>
        <v>3506712978.7223639</v>
      </c>
      <c r="W342" s="29" t="str">
        <f>IF(COUNTBLANK(X342)=1,IF(V342&lt;='Config.'!$D$7,"meta","nops"),"")</f>
        <v>nops</v>
      </c>
      <c r="X342" s="54"/>
    </row>
    <row r="343" spans="1:24" ht="19.5" customHeight="1">
      <c r="A343" s="44" t="s">
        <v>31</v>
      </c>
      <c r="B343" s="45">
        <v>340</v>
      </c>
      <c r="C343" s="46">
        <f>IF(COUNTBLANK(I342)=1,(C342*'Config.'!$D$9)+C342,(I342*'Config.'!$D$9)+I342)</f>
        <v>3938111623.5857911</v>
      </c>
      <c r="D343" s="46">
        <f>IF(COUNTBLANK(I342)=1,I342*'Config.'!$D$11,I342*'Config.'!$D$11)</f>
        <v>0</v>
      </c>
      <c r="E343" s="46">
        <f t="shared" si="27"/>
        <v>187529124.93265676</v>
      </c>
      <c r="F343" s="47"/>
      <c r="G343" s="48" t="str">
        <f t="shared" si="25"/>
        <v>-</v>
      </c>
      <c r="H343" s="29" t="str">
        <f>IF(COUNTBLANK(I343)=1,IF(C343&lt;='Config.'!$D$7,"meta","nops"),"")</f>
        <v>nops</v>
      </c>
      <c r="I343" s="55"/>
      <c r="J343" s="65"/>
      <c r="K343" s="15"/>
      <c r="L343" s="15"/>
      <c r="M343" s="51" t="str">
        <f t="shared" si="28"/>
        <v/>
      </c>
      <c r="N343" s="51" t="str">
        <f t="shared" si="26"/>
        <v/>
      </c>
      <c r="O343" s="57" t="str">
        <f t="shared" si="29"/>
        <v/>
      </c>
      <c r="P343" s="6"/>
      <c r="Q343" s="6"/>
      <c r="R343" s="6"/>
      <c r="S343" s="6"/>
      <c r="T343" s="6"/>
      <c r="U343" s="6"/>
      <c r="V343" s="32">
        <f>IF(COUNTBLANK(X342)=1,(V342*'Config.'!$D$9)+V342,(X342*'Config.'!$D$9)+X342)</f>
        <v>3682048627.6584821</v>
      </c>
      <c r="W343" s="29" t="str">
        <f>IF(COUNTBLANK(X343)=1,IF(V343&lt;='Config.'!$D$7,"meta","nops"),"")</f>
        <v>nops</v>
      </c>
      <c r="X343" s="54"/>
    </row>
    <row r="344" spans="1:24" ht="19.5" customHeight="1">
      <c r="A344" s="44" t="s">
        <v>31</v>
      </c>
      <c r="B344" s="45">
        <v>341</v>
      </c>
      <c r="C344" s="46">
        <f>IF(COUNTBLANK(I343)=1,(C343*'Config.'!$D$9)+C343,(I343*'Config.'!$D$9)+I343)</f>
        <v>4135017204.7650805</v>
      </c>
      <c r="D344" s="46">
        <f>IF(COUNTBLANK(I343)=1,I343*'Config.'!$D$11,I343*'Config.'!$D$11)</f>
        <v>0</v>
      </c>
      <c r="E344" s="46">
        <f t="shared" si="27"/>
        <v>196905581.17928934</v>
      </c>
      <c r="F344" s="47"/>
      <c r="G344" s="48" t="str">
        <f t="shared" si="25"/>
        <v>-</v>
      </c>
      <c r="H344" s="29" t="str">
        <f>IF(COUNTBLANK(I344)=1,IF(C344&lt;='Config.'!$D$7,"meta","nops"),"")</f>
        <v>nops</v>
      </c>
      <c r="I344" s="55"/>
      <c r="J344" s="65"/>
      <c r="K344" s="15"/>
      <c r="L344" s="15"/>
      <c r="M344" s="51" t="str">
        <f t="shared" si="28"/>
        <v/>
      </c>
      <c r="N344" s="51" t="str">
        <f t="shared" si="26"/>
        <v/>
      </c>
      <c r="O344" s="57" t="str">
        <f t="shared" si="29"/>
        <v/>
      </c>
      <c r="P344" s="6"/>
      <c r="Q344" s="6"/>
      <c r="R344" s="6"/>
      <c r="S344" s="6"/>
      <c r="T344" s="6"/>
      <c r="U344" s="6"/>
      <c r="V344" s="32">
        <f>IF(COUNTBLANK(X343)=1,(V343*'Config.'!$D$9)+V343,(X343*'Config.'!$D$9)+X343)</f>
        <v>3866151059.0414062</v>
      </c>
      <c r="W344" s="29" t="str">
        <f>IF(COUNTBLANK(X344)=1,IF(V344&lt;='Config.'!$D$7,"meta","nops"),"")</f>
        <v>nops</v>
      </c>
      <c r="X344" s="54"/>
    </row>
    <row r="345" spans="1:24" ht="19.5" customHeight="1">
      <c r="A345" s="44" t="s">
        <v>31</v>
      </c>
      <c r="B345" s="45">
        <v>342</v>
      </c>
      <c r="C345" s="46">
        <f>IF(COUNTBLANK(I344)=1,(C344*'Config.'!$D$9)+C344,(I344*'Config.'!$D$9)+I344)</f>
        <v>4341768065.003334</v>
      </c>
      <c r="D345" s="46">
        <f>IF(COUNTBLANK(I344)=1,I344*'Config.'!$D$11,I344*'Config.'!$D$11)</f>
        <v>0</v>
      </c>
      <c r="E345" s="46">
        <f t="shared" si="27"/>
        <v>206750860.23825359</v>
      </c>
      <c r="F345" s="47"/>
      <c r="G345" s="48" t="str">
        <f t="shared" si="25"/>
        <v>-</v>
      </c>
      <c r="H345" s="29" t="str">
        <f>IF(COUNTBLANK(I345)=1,IF(C345&lt;='Config.'!$D$7,"meta","nops"),"")</f>
        <v>nops</v>
      </c>
      <c r="I345" s="55"/>
      <c r="J345" s="65"/>
      <c r="K345" s="15"/>
      <c r="L345" s="15"/>
      <c r="M345" s="51" t="str">
        <f t="shared" si="28"/>
        <v/>
      </c>
      <c r="N345" s="51" t="str">
        <f t="shared" si="26"/>
        <v/>
      </c>
      <c r="O345" s="57" t="str">
        <f t="shared" si="29"/>
        <v/>
      </c>
      <c r="P345" s="6"/>
      <c r="Q345" s="6"/>
      <c r="R345" s="6"/>
      <c r="S345" s="6"/>
      <c r="T345" s="6"/>
      <c r="U345" s="6"/>
      <c r="V345" s="32">
        <f>IF(COUNTBLANK(X344)=1,(V344*'Config.'!$D$9)+V344,(X344*'Config.'!$D$9)+X344)</f>
        <v>4059458611.9934764</v>
      </c>
      <c r="W345" s="29" t="str">
        <f>IF(COUNTBLANK(X345)=1,IF(V345&lt;='Config.'!$D$7,"meta","nops"),"")</f>
        <v>nops</v>
      </c>
      <c r="X345" s="54"/>
    </row>
    <row r="346" spans="1:24" ht="19.5" customHeight="1">
      <c r="A346" s="44" t="s">
        <v>31</v>
      </c>
      <c r="B346" s="45">
        <v>343</v>
      </c>
      <c r="C346" s="46">
        <f>IF(COUNTBLANK(I345)=1,(C345*'Config.'!$D$9)+C345,(I345*'Config.'!$D$9)+I345)</f>
        <v>4558856468.2535009</v>
      </c>
      <c r="D346" s="46">
        <f>IF(COUNTBLANK(I345)=1,I345*'Config.'!$D$11,I345*'Config.'!$D$11)</f>
        <v>0</v>
      </c>
      <c r="E346" s="46">
        <f t="shared" si="27"/>
        <v>217088403.25016689</v>
      </c>
      <c r="F346" s="47"/>
      <c r="G346" s="48" t="str">
        <f t="shared" si="25"/>
        <v>-</v>
      </c>
      <c r="H346" s="29" t="str">
        <f>IF(COUNTBLANK(I346)=1,IF(C346&lt;='Config.'!$D$7,"meta","nops"),"")</f>
        <v>nops</v>
      </c>
      <c r="I346" s="55"/>
      <c r="J346" s="65"/>
      <c r="K346" s="15"/>
      <c r="L346" s="15"/>
      <c r="M346" s="51" t="str">
        <f t="shared" si="28"/>
        <v/>
      </c>
      <c r="N346" s="51" t="str">
        <f t="shared" si="26"/>
        <v/>
      </c>
      <c r="O346" s="57" t="str">
        <f t="shared" si="29"/>
        <v/>
      </c>
      <c r="P346" s="6"/>
      <c r="Q346" s="6"/>
      <c r="R346" s="6"/>
      <c r="S346" s="6"/>
      <c r="T346" s="6"/>
      <c r="U346" s="6"/>
      <c r="V346" s="32">
        <f>IF(COUNTBLANK(X345)=1,(V345*'Config.'!$D$9)+V345,(X345*'Config.'!$D$9)+X345)</f>
        <v>4262431542.5931501</v>
      </c>
      <c r="W346" s="29" t="str">
        <f>IF(COUNTBLANK(X346)=1,IF(V346&lt;='Config.'!$D$7,"meta","nops"),"")</f>
        <v>nops</v>
      </c>
      <c r="X346" s="54"/>
    </row>
    <row r="347" spans="1:24" ht="19.5" customHeight="1">
      <c r="A347" s="44" t="s">
        <v>31</v>
      </c>
      <c r="B347" s="45">
        <v>344</v>
      </c>
      <c r="C347" s="46">
        <f>IF(COUNTBLANK(I346)=1,(C346*'Config.'!$D$9)+C346,(I346*'Config.'!$D$9)+I346)</f>
        <v>4786799291.6661758</v>
      </c>
      <c r="D347" s="46">
        <f>IF(COUNTBLANK(I346)=1,I346*'Config.'!$D$11,I346*'Config.'!$D$11)</f>
        <v>0</v>
      </c>
      <c r="E347" s="46">
        <f t="shared" si="27"/>
        <v>227942823.4126749</v>
      </c>
      <c r="F347" s="47"/>
      <c r="G347" s="48" t="str">
        <f t="shared" si="25"/>
        <v>-</v>
      </c>
      <c r="H347" s="29" t="str">
        <f>IF(COUNTBLANK(I347)=1,IF(C347&lt;='Config.'!$D$7,"meta","nops"),"")</f>
        <v>nops</v>
      </c>
      <c r="I347" s="55"/>
      <c r="J347" s="65"/>
      <c r="K347" s="15"/>
      <c r="L347" s="15"/>
      <c r="M347" s="51" t="str">
        <f t="shared" si="28"/>
        <v/>
      </c>
      <c r="N347" s="51" t="str">
        <f t="shared" si="26"/>
        <v/>
      </c>
      <c r="O347" s="57" t="str">
        <f t="shared" si="29"/>
        <v/>
      </c>
      <c r="P347" s="6"/>
      <c r="Q347" s="6"/>
      <c r="R347" s="6"/>
      <c r="S347" s="6"/>
      <c r="T347" s="6"/>
      <c r="U347" s="6"/>
      <c r="V347" s="32">
        <f>IF(COUNTBLANK(X346)=1,(V346*'Config.'!$D$9)+V346,(X346*'Config.'!$D$9)+X346)</f>
        <v>4475553119.7228079</v>
      </c>
      <c r="W347" s="29" t="str">
        <f>IF(COUNTBLANK(X347)=1,IF(V347&lt;='Config.'!$D$7,"meta","nops"),"")</f>
        <v>nops</v>
      </c>
      <c r="X347" s="54"/>
    </row>
    <row r="348" spans="1:24" ht="19.5" customHeight="1">
      <c r="A348" s="44" t="s">
        <v>31</v>
      </c>
      <c r="B348" s="45">
        <v>345</v>
      </c>
      <c r="C348" s="46">
        <f>IF(COUNTBLANK(I347)=1,(C347*'Config.'!$D$9)+C347,(I347*'Config.'!$D$9)+I347)</f>
        <v>5026139256.249485</v>
      </c>
      <c r="D348" s="46">
        <f>IF(COUNTBLANK(I347)=1,I347*'Config.'!$D$11,I347*'Config.'!$D$11)</f>
        <v>0</v>
      </c>
      <c r="E348" s="46">
        <f t="shared" si="27"/>
        <v>239339964.58330917</v>
      </c>
      <c r="F348" s="47"/>
      <c r="G348" s="48" t="str">
        <f t="shared" si="25"/>
        <v>-</v>
      </c>
      <c r="H348" s="29" t="str">
        <f>IF(COUNTBLANK(I348)=1,IF(C348&lt;='Config.'!$D$7,"meta","nops"),"")</f>
        <v>nops</v>
      </c>
      <c r="I348" s="55"/>
      <c r="J348" s="65"/>
      <c r="K348" s="15"/>
      <c r="L348" s="15"/>
      <c r="M348" s="51" t="str">
        <f t="shared" si="28"/>
        <v/>
      </c>
      <c r="N348" s="51" t="str">
        <f t="shared" si="26"/>
        <v/>
      </c>
      <c r="O348" s="57" t="str">
        <f t="shared" si="29"/>
        <v/>
      </c>
      <c r="P348" s="6"/>
      <c r="Q348" s="6"/>
      <c r="R348" s="6"/>
      <c r="S348" s="6"/>
      <c r="T348" s="6"/>
      <c r="U348" s="6"/>
      <c r="V348" s="32">
        <f>IF(COUNTBLANK(X347)=1,(V347*'Config.'!$D$9)+V347,(X347*'Config.'!$D$9)+X347)</f>
        <v>4699330775.7089481</v>
      </c>
      <c r="W348" s="29" t="str">
        <f>IF(COUNTBLANK(X348)=1,IF(V348&lt;='Config.'!$D$7,"meta","nops"),"")</f>
        <v>nops</v>
      </c>
      <c r="X348" s="54"/>
    </row>
    <row r="349" spans="1:24" ht="19.5" customHeight="1">
      <c r="A349" s="44" t="s">
        <v>31</v>
      </c>
      <c r="B349" s="45">
        <v>346</v>
      </c>
      <c r="C349" s="46">
        <f>IF(COUNTBLANK(I348)=1,(C348*'Config.'!$D$9)+C348,(I348*'Config.'!$D$9)+I348)</f>
        <v>5277446219.0619593</v>
      </c>
      <c r="D349" s="46">
        <f>IF(COUNTBLANK(I348)=1,I348*'Config.'!$D$11,I348*'Config.'!$D$11)</f>
        <v>0</v>
      </c>
      <c r="E349" s="46">
        <f t="shared" si="27"/>
        <v>251306962.81247425</v>
      </c>
      <c r="F349" s="47"/>
      <c r="G349" s="48" t="str">
        <f t="shared" si="25"/>
        <v>-</v>
      </c>
      <c r="H349" s="29" t="str">
        <f>IF(COUNTBLANK(I349)=1,IF(C349&lt;='Config.'!$D$7,"meta","nops"),"")</f>
        <v>nops</v>
      </c>
      <c r="I349" s="55"/>
      <c r="J349" s="65"/>
      <c r="K349" s="15"/>
      <c r="L349" s="15"/>
      <c r="M349" s="51" t="str">
        <f t="shared" si="28"/>
        <v/>
      </c>
      <c r="N349" s="51" t="str">
        <f t="shared" si="26"/>
        <v/>
      </c>
      <c r="O349" s="57" t="str">
        <f t="shared" si="29"/>
        <v/>
      </c>
      <c r="P349" s="6"/>
      <c r="Q349" s="6"/>
      <c r="R349" s="6"/>
      <c r="S349" s="6"/>
      <c r="T349" s="6"/>
      <c r="U349" s="6"/>
      <c r="V349" s="32">
        <f>IF(COUNTBLANK(X348)=1,(V348*'Config.'!$D$9)+V348,(X348*'Config.'!$D$9)+X348)</f>
        <v>4934297314.4943953</v>
      </c>
      <c r="W349" s="29" t="str">
        <f>IF(COUNTBLANK(X349)=1,IF(V349&lt;='Config.'!$D$7,"meta","nops"),"")</f>
        <v>nops</v>
      </c>
      <c r="X349" s="54"/>
    </row>
    <row r="350" spans="1:24" ht="19.5" customHeight="1">
      <c r="A350" s="44" t="s">
        <v>31</v>
      </c>
      <c r="B350" s="45">
        <v>347</v>
      </c>
      <c r="C350" s="46">
        <f>IF(COUNTBLANK(I349)=1,(C349*'Config.'!$D$9)+C349,(I349*'Config.'!$D$9)+I349)</f>
        <v>5541318530.0150576</v>
      </c>
      <c r="D350" s="46">
        <f>IF(COUNTBLANK(I349)=1,I349*'Config.'!$D$11,I349*'Config.'!$D$11)</f>
        <v>0</v>
      </c>
      <c r="E350" s="46">
        <f t="shared" si="27"/>
        <v>263872310.9530983</v>
      </c>
      <c r="F350" s="47"/>
      <c r="G350" s="48" t="str">
        <f t="shared" si="25"/>
        <v>-</v>
      </c>
      <c r="H350" s="29" t="str">
        <f>IF(COUNTBLANK(I350)=1,IF(C350&lt;='Config.'!$D$7,"meta","nops"),"")</f>
        <v>nops</v>
      </c>
      <c r="I350" s="55"/>
      <c r="J350" s="65"/>
      <c r="K350" s="15"/>
      <c r="L350" s="15"/>
      <c r="M350" s="51" t="str">
        <f t="shared" si="28"/>
        <v/>
      </c>
      <c r="N350" s="51" t="str">
        <f t="shared" si="26"/>
        <v/>
      </c>
      <c r="O350" s="57" t="str">
        <f t="shared" si="29"/>
        <v/>
      </c>
      <c r="P350" s="6"/>
      <c r="Q350" s="6"/>
      <c r="R350" s="6"/>
      <c r="S350" s="6"/>
      <c r="T350" s="6"/>
      <c r="U350" s="6"/>
      <c r="V350" s="32">
        <f>IF(COUNTBLANK(X349)=1,(V349*'Config.'!$D$9)+V349,(X349*'Config.'!$D$9)+X349)</f>
        <v>5181012180.2191153</v>
      </c>
      <c r="W350" s="29" t="str">
        <f>IF(COUNTBLANK(X350)=1,IF(V350&lt;='Config.'!$D$7,"meta","nops"),"")</f>
        <v>nops</v>
      </c>
      <c r="X350" s="54"/>
    </row>
    <row r="351" spans="1:24" ht="19.5" customHeight="1">
      <c r="A351" s="44" t="s">
        <v>31</v>
      </c>
      <c r="B351" s="45">
        <v>348</v>
      </c>
      <c r="C351" s="46">
        <f>IF(COUNTBLANK(I350)=1,(C350*'Config.'!$D$9)+C350,(I350*'Config.'!$D$9)+I350)</f>
        <v>5818384456.51581</v>
      </c>
      <c r="D351" s="46">
        <f>IF(COUNTBLANK(I350)=1,I350*'Config.'!$D$11,I350*'Config.'!$D$11)</f>
        <v>0</v>
      </c>
      <c r="E351" s="46">
        <f t="shared" si="27"/>
        <v>277065926.50075245</v>
      </c>
      <c r="F351" s="47"/>
      <c r="G351" s="48" t="str">
        <f t="shared" si="25"/>
        <v>-</v>
      </c>
      <c r="H351" s="29" t="str">
        <f>IF(COUNTBLANK(I351)=1,IF(C351&lt;='Config.'!$D$7,"meta","nops"),"")</f>
        <v>nops</v>
      </c>
      <c r="I351" s="55"/>
      <c r="J351" s="65"/>
      <c r="K351" s="15"/>
      <c r="L351" s="15"/>
      <c r="M351" s="51" t="str">
        <f t="shared" si="28"/>
        <v/>
      </c>
      <c r="N351" s="51" t="str">
        <f t="shared" si="26"/>
        <v/>
      </c>
      <c r="O351" s="57" t="str">
        <f t="shared" si="29"/>
        <v/>
      </c>
      <c r="P351" s="6"/>
      <c r="Q351" s="6"/>
      <c r="R351" s="6"/>
      <c r="S351" s="6"/>
      <c r="T351" s="6"/>
      <c r="U351" s="6"/>
      <c r="V351" s="32">
        <f>IF(COUNTBLANK(X350)=1,(V350*'Config.'!$D$9)+V350,(X350*'Config.'!$D$9)+X350)</f>
        <v>5440062789.2300711</v>
      </c>
      <c r="W351" s="29" t="str">
        <f>IF(COUNTBLANK(X351)=1,IF(V351&lt;='Config.'!$D$7,"meta","nops"),"")</f>
        <v>nops</v>
      </c>
      <c r="X351" s="54"/>
    </row>
    <row r="352" spans="1:24" ht="19.5" customHeight="1">
      <c r="A352" s="44" t="s">
        <v>31</v>
      </c>
      <c r="B352" s="45">
        <v>349</v>
      </c>
      <c r="C352" s="46">
        <f>IF(COUNTBLANK(I351)=1,(C351*'Config.'!$D$9)+C351,(I351*'Config.'!$D$9)+I351)</f>
        <v>6109303679.3416004</v>
      </c>
      <c r="D352" s="46">
        <f>IF(COUNTBLANK(I351)=1,I351*'Config.'!$D$11,I351*'Config.'!$D$11)</f>
        <v>0</v>
      </c>
      <c r="E352" s="46">
        <f t="shared" si="27"/>
        <v>290919222.82579041</v>
      </c>
      <c r="F352" s="47"/>
      <c r="G352" s="48" t="str">
        <f t="shared" si="25"/>
        <v>-</v>
      </c>
      <c r="H352" s="29" t="str">
        <f>IF(COUNTBLANK(I352)=1,IF(C352&lt;='Config.'!$D$7,"meta","nops"),"")</f>
        <v>nops</v>
      </c>
      <c r="I352" s="55"/>
      <c r="J352" s="65"/>
      <c r="K352" s="15"/>
      <c r="L352" s="15"/>
      <c r="M352" s="51" t="str">
        <f t="shared" si="28"/>
        <v/>
      </c>
      <c r="N352" s="51" t="str">
        <f t="shared" si="26"/>
        <v/>
      </c>
      <c r="O352" s="57" t="str">
        <f t="shared" si="29"/>
        <v/>
      </c>
      <c r="P352" s="6"/>
      <c r="Q352" s="6"/>
      <c r="R352" s="6"/>
      <c r="S352" s="6"/>
      <c r="T352" s="6"/>
      <c r="U352" s="6"/>
      <c r="V352" s="32">
        <f>IF(COUNTBLANK(X351)=1,(V351*'Config.'!$D$9)+V351,(X351*'Config.'!$D$9)+X351)</f>
        <v>5712065928.6915751</v>
      </c>
      <c r="W352" s="29" t="str">
        <f>IF(COUNTBLANK(X352)=1,IF(V352&lt;='Config.'!$D$7,"meta","nops"),"")</f>
        <v>nops</v>
      </c>
      <c r="X352" s="54"/>
    </row>
    <row r="353" spans="1:24" ht="19.5" customHeight="1">
      <c r="A353" s="44" t="s">
        <v>31</v>
      </c>
      <c r="B353" s="45">
        <v>350</v>
      </c>
      <c r="C353" s="46">
        <f>IF(COUNTBLANK(I352)=1,(C352*'Config.'!$D$9)+C352,(I352*'Config.'!$D$9)+I352)</f>
        <v>6414768863.3086805</v>
      </c>
      <c r="D353" s="46">
        <f>IF(COUNTBLANK(I352)=1,I352*'Config.'!$D$11,I352*'Config.'!$D$11)</f>
        <v>0</v>
      </c>
      <c r="E353" s="46">
        <f t="shared" si="27"/>
        <v>305465183.96708012</v>
      </c>
      <c r="F353" s="47"/>
      <c r="G353" s="48" t="str">
        <f t="shared" si="25"/>
        <v>-</v>
      </c>
      <c r="H353" s="29" t="str">
        <f>IF(COUNTBLANK(I353)=1,IF(C353&lt;='Config.'!$D$7,"meta","nops"),"")</f>
        <v>nops</v>
      </c>
      <c r="I353" s="55"/>
      <c r="J353" s="65"/>
      <c r="K353" s="15"/>
      <c r="L353" s="15"/>
      <c r="M353" s="51" t="str">
        <f t="shared" si="28"/>
        <v/>
      </c>
      <c r="N353" s="51" t="str">
        <f t="shared" si="26"/>
        <v/>
      </c>
      <c r="O353" s="57" t="str">
        <f t="shared" si="29"/>
        <v/>
      </c>
      <c r="P353" s="6"/>
      <c r="Q353" s="6"/>
      <c r="R353" s="6"/>
      <c r="S353" s="6"/>
      <c r="T353" s="6"/>
      <c r="U353" s="6"/>
      <c r="V353" s="32">
        <f>IF(COUNTBLANK(X352)=1,(V352*'Config.'!$D$9)+V352,(X352*'Config.'!$D$9)+X352)</f>
        <v>5997669225.1261539</v>
      </c>
      <c r="W353" s="29" t="str">
        <f>IF(COUNTBLANK(X353)=1,IF(V353&lt;='Config.'!$D$7,"meta","nops"),"")</f>
        <v>nops</v>
      </c>
      <c r="X353" s="54"/>
    </row>
    <row r="354" spans="1:24" ht="19.5" customHeight="1">
      <c r="A354" s="44" t="s">
        <v>31</v>
      </c>
      <c r="B354" s="45">
        <v>351</v>
      </c>
      <c r="C354" s="46">
        <f>IF(COUNTBLANK(I353)=1,(C353*'Config.'!$D$9)+C353,(I353*'Config.'!$D$9)+I353)</f>
        <v>6735507306.4741144</v>
      </c>
      <c r="D354" s="46">
        <f>IF(COUNTBLANK(I353)=1,I353*'Config.'!$D$11,I353*'Config.'!$D$11)</f>
        <v>0</v>
      </c>
      <c r="E354" s="46">
        <f t="shared" si="27"/>
        <v>320738443.16543388</v>
      </c>
      <c r="F354" s="47"/>
      <c r="G354" s="48" t="str">
        <f t="shared" si="25"/>
        <v>-</v>
      </c>
      <c r="H354" s="29" t="str">
        <f>IF(COUNTBLANK(I354)=1,IF(C354&lt;='Config.'!$D$7,"meta","nops"),"")</f>
        <v>nops</v>
      </c>
      <c r="I354" s="55"/>
      <c r="J354" s="65"/>
      <c r="K354" s="15"/>
      <c r="L354" s="15"/>
      <c r="M354" s="51" t="str">
        <f t="shared" si="28"/>
        <v/>
      </c>
      <c r="N354" s="51" t="str">
        <f t="shared" si="26"/>
        <v/>
      </c>
      <c r="O354" s="57" t="str">
        <f t="shared" si="29"/>
        <v/>
      </c>
      <c r="P354" s="6"/>
      <c r="Q354" s="6"/>
      <c r="R354" s="6"/>
      <c r="S354" s="6"/>
      <c r="T354" s="6"/>
      <c r="U354" s="6"/>
      <c r="V354" s="32">
        <f>IF(COUNTBLANK(X353)=1,(V353*'Config.'!$D$9)+V353,(X353*'Config.'!$D$9)+X353)</f>
        <v>6297552686.3824615</v>
      </c>
      <c r="W354" s="29" t="str">
        <f>IF(COUNTBLANK(X354)=1,IF(V354&lt;='Config.'!$D$7,"meta","nops"),"")</f>
        <v>nops</v>
      </c>
      <c r="X354" s="54"/>
    </row>
    <row r="355" spans="1:24" ht="19.5" customHeight="1">
      <c r="A355" s="44" t="s">
        <v>31</v>
      </c>
      <c r="B355" s="45">
        <v>352</v>
      </c>
      <c r="C355" s="46">
        <f>IF(COUNTBLANK(I354)=1,(C354*'Config.'!$D$9)+C354,(I354*'Config.'!$D$9)+I354)</f>
        <v>7072282671.7978201</v>
      </c>
      <c r="D355" s="46">
        <f>IF(COUNTBLANK(I354)=1,I354*'Config.'!$D$11,I354*'Config.'!$D$11)</f>
        <v>0</v>
      </c>
      <c r="E355" s="46">
        <f t="shared" si="27"/>
        <v>336775365.32370567</v>
      </c>
      <c r="F355" s="47"/>
      <c r="G355" s="48" t="str">
        <f t="shared" si="25"/>
        <v>-</v>
      </c>
      <c r="H355" s="29" t="str">
        <f>IF(COUNTBLANK(I355)=1,IF(C355&lt;='Config.'!$D$7,"meta","nops"),"")</f>
        <v>nops</v>
      </c>
      <c r="I355" s="55"/>
      <c r="J355" s="65"/>
      <c r="K355" s="15"/>
      <c r="L355" s="15"/>
      <c r="M355" s="51" t="str">
        <f t="shared" si="28"/>
        <v/>
      </c>
      <c r="N355" s="51" t="str">
        <f t="shared" si="26"/>
        <v/>
      </c>
      <c r="O355" s="57" t="str">
        <f t="shared" si="29"/>
        <v/>
      </c>
      <c r="P355" s="6"/>
      <c r="Q355" s="6"/>
      <c r="R355" s="6"/>
      <c r="S355" s="6"/>
      <c r="T355" s="6"/>
      <c r="U355" s="6"/>
      <c r="V355" s="32">
        <f>IF(COUNTBLANK(X354)=1,(V354*'Config.'!$D$9)+V354,(X354*'Config.'!$D$9)+X354)</f>
        <v>6612430320.7015848</v>
      </c>
      <c r="W355" s="29" t="str">
        <f>IF(COUNTBLANK(X355)=1,IF(V355&lt;='Config.'!$D$7,"meta","nops"),"")</f>
        <v>nops</v>
      </c>
      <c r="X355" s="54"/>
    </row>
    <row r="356" spans="1:24" ht="19.5" customHeight="1">
      <c r="A356" s="44" t="s">
        <v>31</v>
      </c>
      <c r="B356" s="45">
        <v>353</v>
      </c>
      <c r="C356" s="46">
        <f>IF(COUNTBLANK(I355)=1,(C355*'Config.'!$D$9)+C355,(I355*'Config.'!$D$9)+I355)</f>
        <v>7425896805.3877115</v>
      </c>
      <c r="D356" s="46">
        <f>IF(COUNTBLANK(I355)=1,I355*'Config.'!$D$11,I355*'Config.'!$D$11)</f>
        <v>0</v>
      </c>
      <c r="E356" s="46">
        <f t="shared" si="27"/>
        <v>353614133.58989143</v>
      </c>
      <c r="F356" s="47"/>
      <c r="G356" s="48" t="str">
        <f t="shared" si="25"/>
        <v>-</v>
      </c>
      <c r="H356" s="29" t="str">
        <f>IF(COUNTBLANK(I356)=1,IF(C356&lt;='Config.'!$D$7,"meta","nops"),"")</f>
        <v>nops</v>
      </c>
      <c r="I356" s="55"/>
      <c r="J356" s="65"/>
      <c r="K356" s="15"/>
      <c r="L356" s="15"/>
      <c r="M356" s="51" t="str">
        <f t="shared" si="28"/>
        <v/>
      </c>
      <c r="N356" s="51" t="str">
        <f t="shared" si="26"/>
        <v/>
      </c>
      <c r="O356" s="57" t="str">
        <f t="shared" si="29"/>
        <v/>
      </c>
      <c r="P356" s="6"/>
      <c r="Q356" s="6"/>
      <c r="R356" s="6"/>
      <c r="S356" s="6"/>
      <c r="T356" s="6"/>
      <c r="U356" s="6"/>
      <c r="V356" s="32">
        <f>IF(COUNTBLANK(X355)=1,(V355*'Config.'!$D$9)+V355,(X355*'Config.'!$D$9)+X355)</f>
        <v>6943051836.7366638</v>
      </c>
      <c r="W356" s="29" t="str">
        <f>IF(COUNTBLANK(X356)=1,IF(V356&lt;='Config.'!$D$7,"meta","nops"),"")</f>
        <v>nops</v>
      </c>
      <c r="X356" s="54"/>
    </row>
    <row r="357" spans="1:24" ht="19.5" customHeight="1">
      <c r="A357" s="44" t="s">
        <v>31</v>
      </c>
      <c r="B357" s="45">
        <v>354</v>
      </c>
      <c r="C357" s="46">
        <f>IF(COUNTBLANK(I356)=1,(C356*'Config.'!$D$9)+C356,(I356*'Config.'!$D$9)+I356)</f>
        <v>7797191645.6570969</v>
      </c>
      <c r="D357" s="46">
        <f>IF(COUNTBLANK(I356)=1,I356*'Config.'!$D$11,I356*'Config.'!$D$11)</f>
        <v>0</v>
      </c>
      <c r="E357" s="46">
        <f t="shared" si="27"/>
        <v>371294840.26938534</v>
      </c>
      <c r="F357" s="47"/>
      <c r="G357" s="48" t="str">
        <f t="shared" si="25"/>
        <v>-</v>
      </c>
      <c r="H357" s="29" t="str">
        <f>IF(COUNTBLANK(I357)=1,IF(C357&lt;='Config.'!$D$7,"meta","nops"),"")</f>
        <v>nops</v>
      </c>
      <c r="I357" s="55"/>
      <c r="J357" s="65"/>
      <c r="K357" s="15"/>
      <c r="L357" s="15"/>
      <c r="M357" s="51" t="str">
        <f t="shared" si="28"/>
        <v/>
      </c>
      <c r="N357" s="51" t="str">
        <f t="shared" si="26"/>
        <v/>
      </c>
      <c r="O357" s="57" t="str">
        <f t="shared" si="29"/>
        <v/>
      </c>
      <c r="P357" s="6"/>
      <c r="Q357" s="6"/>
      <c r="R357" s="6"/>
      <c r="S357" s="6"/>
      <c r="T357" s="6"/>
      <c r="U357" s="6"/>
      <c r="V357" s="32">
        <f>IF(COUNTBLANK(X356)=1,(V356*'Config.'!$D$9)+V356,(X356*'Config.'!$D$9)+X356)</f>
        <v>7290204428.5734968</v>
      </c>
      <c r="W357" s="29" t="str">
        <f>IF(COUNTBLANK(X357)=1,IF(V357&lt;='Config.'!$D$7,"meta","nops"),"")</f>
        <v>nops</v>
      </c>
      <c r="X357" s="54"/>
    </row>
    <row r="358" spans="1:24" ht="19.5" customHeight="1">
      <c r="A358" s="44" t="s">
        <v>31</v>
      </c>
      <c r="B358" s="45">
        <v>355</v>
      </c>
      <c r="C358" s="46">
        <f>IF(COUNTBLANK(I357)=1,(C357*'Config.'!$D$9)+C357,(I357*'Config.'!$D$9)+I357)</f>
        <v>8187051227.9399519</v>
      </c>
      <c r="D358" s="46">
        <f>IF(COUNTBLANK(I357)=1,I357*'Config.'!$D$11,I357*'Config.'!$D$11)</f>
        <v>0</v>
      </c>
      <c r="E358" s="46">
        <f t="shared" si="27"/>
        <v>389859582.28285503</v>
      </c>
      <c r="F358" s="47"/>
      <c r="G358" s="48" t="str">
        <f t="shared" si="25"/>
        <v>-</v>
      </c>
      <c r="H358" s="29" t="str">
        <f>IF(COUNTBLANK(I358)=1,IF(C358&lt;='Config.'!$D$7,"meta","nops"),"")</f>
        <v>nops</v>
      </c>
      <c r="I358" s="55"/>
      <c r="J358" s="65"/>
      <c r="K358" s="15"/>
      <c r="L358" s="15"/>
      <c r="M358" s="51" t="str">
        <f t="shared" si="28"/>
        <v/>
      </c>
      <c r="N358" s="51" t="str">
        <f t="shared" si="26"/>
        <v/>
      </c>
      <c r="O358" s="57" t="str">
        <f t="shared" si="29"/>
        <v/>
      </c>
      <c r="P358" s="6"/>
      <c r="Q358" s="6"/>
      <c r="R358" s="6"/>
      <c r="S358" s="6"/>
      <c r="T358" s="6"/>
      <c r="U358" s="6"/>
      <c r="V358" s="32">
        <f>IF(COUNTBLANK(X357)=1,(V357*'Config.'!$D$9)+V357,(X357*'Config.'!$D$9)+X357)</f>
        <v>7654714650.0021715</v>
      </c>
      <c r="W358" s="29" t="str">
        <f>IF(COUNTBLANK(X358)=1,IF(V358&lt;='Config.'!$D$7,"meta","nops"),"")</f>
        <v>nops</v>
      </c>
      <c r="X358" s="54"/>
    </row>
    <row r="359" spans="1:24" ht="19.5" customHeight="1">
      <c r="A359" s="44" t="s">
        <v>31</v>
      </c>
      <c r="B359" s="45">
        <v>356</v>
      </c>
      <c r="C359" s="46">
        <f>IF(COUNTBLANK(I358)=1,(C358*'Config.'!$D$9)+C358,(I358*'Config.'!$D$9)+I358)</f>
        <v>8596403789.3369503</v>
      </c>
      <c r="D359" s="46">
        <f>IF(COUNTBLANK(I358)=1,I358*'Config.'!$D$11,I358*'Config.'!$D$11)</f>
        <v>0</v>
      </c>
      <c r="E359" s="46">
        <f t="shared" si="27"/>
        <v>409352561.39699841</v>
      </c>
      <c r="F359" s="47"/>
      <c r="G359" s="48" t="str">
        <f t="shared" si="25"/>
        <v>-</v>
      </c>
      <c r="H359" s="29" t="str">
        <f>IF(COUNTBLANK(I359)=1,IF(C359&lt;='Config.'!$D$7,"meta","nops"),"")</f>
        <v>nops</v>
      </c>
      <c r="I359" s="55"/>
      <c r="J359" s="65"/>
      <c r="K359" s="15"/>
      <c r="L359" s="15"/>
      <c r="M359" s="51" t="str">
        <f t="shared" si="28"/>
        <v/>
      </c>
      <c r="N359" s="51" t="str">
        <f t="shared" si="26"/>
        <v/>
      </c>
      <c r="O359" s="57" t="str">
        <f t="shared" si="29"/>
        <v/>
      </c>
      <c r="P359" s="6"/>
      <c r="Q359" s="6"/>
      <c r="R359" s="6"/>
      <c r="S359" s="6"/>
      <c r="T359" s="6"/>
      <c r="U359" s="6"/>
      <c r="V359" s="32">
        <f>IF(COUNTBLANK(X358)=1,(V358*'Config.'!$D$9)+V358,(X358*'Config.'!$D$9)+X358)</f>
        <v>8037450382.5022802</v>
      </c>
      <c r="W359" s="29" t="str">
        <f>IF(COUNTBLANK(X359)=1,IF(V359&lt;='Config.'!$D$7,"meta","nops"),"")</f>
        <v>nops</v>
      </c>
      <c r="X359" s="54"/>
    </row>
    <row r="360" spans="1:24" ht="19.5" customHeight="1">
      <c r="A360" s="44" t="s">
        <v>31</v>
      </c>
      <c r="B360" s="45">
        <v>357</v>
      </c>
      <c r="C360" s="46">
        <f>IF(COUNTBLANK(I359)=1,(C359*'Config.'!$D$9)+C359,(I359*'Config.'!$D$9)+I359)</f>
        <v>9026223978.8037987</v>
      </c>
      <c r="D360" s="46">
        <f>IF(COUNTBLANK(I359)=1,I359*'Config.'!$D$11,I359*'Config.'!$D$11)</f>
        <v>0</v>
      </c>
      <c r="E360" s="46">
        <f t="shared" si="27"/>
        <v>429820189.46684837</v>
      </c>
      <c r="F360" s="47"/>
      <c r="G360" s="48" t="str">
        <f t="shared" si="25"/>
        <v>-</v>
      </c>
      <c r="H360" s="29" t="str">
        <f>IF(COUNTBLANK(I360)=1,IF(C360&lt;='Config.'!$D$7,"meta","nops"),"")</f>
        <v>nops</v>
      </c>
      <c r="I360" s="55"/>
      <c r="J360" s="65"/>
      <c r="K360" s="15"/>
      <c r="L360" s="15"/>
      <c r="M360" s="51" t="str">
        <f t="shared" si="28"/>
        <v/>
      </c>
      <c r="N360" s="51" t="str">
        <f t="shared" si="26"/>
        <v/>
      </c>
      <c r="O360" s="57" t="str">
        <f t="shared" si="29"/>
        <v/>
      </c>
      <c r="P360" s="6"/>
      <c r="Q360" s="6"/>
      <c r="R360" s="6"/>
      <c r="S360" s="6"/>
      <c r="T360" s="6"/>
      <c r="U360" s="6"/>
      <c r="V360" s="32">
        <f>IF(COUNTBLANK(X359)=1,(V359*'Config.'!$D$9)+V359,(X359*'Config.'!$D$9)+X359)</f>
        <v>8439322901.6273947</v>
      </c>
      <c r="W360" s="29" t="str">
        <f>IF(COUNTBLANK(X360)=1,IF(V360&lt;='Config.'!$D$7,"meta","nops"),"")</f>
        <v>nops</v>
      </c>
      <c r="X360" s="54"/>
    </row>
    <row r="361" spans="1:24" ht="19.5" customHeight="1">
      <c r="A361" s="44" t="s">
        <v>31</v>
      </c>
      <c r="B361" s="45">
        <v>358</v>
      </c>
      <c r="C361" s="46">
        <f>IF(COUNTBLANK(I360)=1,(C360*'Config.'!$D$9)+C360,(I360*'Config.'!$D$9)+I360)</f>
        <v>9477535177.743988</v>
      </c>
      <c r="D361" s="46">
        <f>IF(COUNTBLANK(I360)=1,I360*'Config.'!$D$11,I360*'Config.'!$D$11)</f>
        <v>0</v>
      </c>
      <c r="E361" s="46">
        <f t="shared" si="27"/>
        <v>451311198.94018936</v>
      </c>
      <c r="F361" s="47"/>
      <c r="G361" s="48" t="str">
        <f t="shared" si="25"/>
        <v>-</v>
      </c>
      <c r="H361" s="29" t="str">
        <f>IF(COUNTBLANK(I361)=1,IF(C361&lt;='Config.'!$D$7,"meta","nops"),"")</f>
        <v>nops</v>
      </c>
      <c r="I361" s="55"/>
      <c r="J361" s="65"/>
      <c r="K361" s="15"/>
      <c r="L361" s="15"/>
      <c r="M361" s="51" t="str">
        <f t="shared" si="28"/>
        <v/>
      </c>
      <c r="N361" s="51" t="str">
        <f t="shared" si="26"/>
        <v/>
      </c>
      <c r="O361" s="57" t="str">
        <f t="shared" si="29"/>
        <v/>
      </c>
      <c r="P361" s="6"/>
      <c r="Q361" s="6"/>
      <c r="R361" s="6"/>
      <c r="S361" s="6"/>
      <c r="T361" s="6"/>
      <c r="U361" s="6"/>
      <c r="V361" s="32">
        <f>IF(COUNTBLANK(X360)=1,(V360*'Config.'!$D$9)+V360,(X360*'Config.'!$D$9)+X360)</f>
        <v>8861289046.708765</v>
      </c>
      <c r="W361" s="29" t="str">
        <f>IF(COUNTBLANK(X361)=1,IF(V361&lt;='Config.'!$D$7,"meta","nops"),"")</f>
        <v>nops</v>
      </c>
      <c r="X361" s="54"/>
    </row>
    <row r="362" spans="1:24" ht="19.5" customHeight="1">
      <c r="A362" s="44" t="s">
        <v>31</v>
      </c>
      <c r="B362" s="45">
        <v>359</v>
      </c>
      <c r="C362" s="46">
        <f>IF(COUNTBLANK(I361)=1,(C361*'Config.'!$D$9)+C361,(I361*'Config.'!$D$9)+I361)</f>
        <v>9951411936.6311874</v>
      </c>
      <c r="D362" s="46">
        <f>IF(COUNTBLANK(I361)=1,I361*'Config.'!$D$11,I361*'Config.'!$D$11)</f>
        <v>0</v>
      </c>
      <c r="E362" s="46">
        <f t="shared" si="27"/>
        <v>473876758.8871994</v>
      </c>
      <c r="F362" s="47"/>
      <c r="G362" s="48" t="str">
        <f t="shared" si="25"/>
        <v>-</v>
      </c>
      <c r="H362" s="29" t="str">
        <f>IF(COUNTBLANK(I362)=1,IF(C362&lt;='Config.'!$D$7,"meta","nops"),"")</f>
        <v>nops</v>
      </c>
      <c r="I362" s="55"/>
      <c r="J362" s="65"/>
      <c r="K362" s="15"/>
      <c r="L362" s="15"/>
      <c r="M362" s="51" t="str">
        <f t="shared" si="28"/>
        <v/>
      </c>
      <c r="N362" s="51" t="str">
        <f t="shared" si="26"/>
        <v/>
      </c>
      <c r="O362" s="57" t="str">
        <f t="shared" si="29"/>
        <v/>
      </c>
      <c r="P362" s="6"/>
      <c r="Q362" s="6"/>
      <c r="R362" s="6"/>
      <c r="S362" s="6"/>
      <c r="T362" s="6"/>
      <c r="U362" s="6"/>
      <c r="V362" s="32">
        <f>IF(COUNTBLANK(X361)=1,(V361*'Config.'!$D$9)+V361,(X361*'Config.'!$D$9)+X361)</f>
        <v>9304353499.0442028</v>
      </c>
      <c r="W362" s="29" t="str">
        <f>IF(COUNTBLANK(X362)=1,IF(V362&lt;='Config.'!$D$7,"meta","nops"),"")</f>
        <v>nops</v>
      </c>
      <c r="X362" s="54"/>
    </row>
    <row r="363" spans="1:24" ht="19.5" customHeight="1">
      <c r="A363" s="44" t="s">
        <v>31</v>
      </c>
      <c r="B363" s="45">
        <v>360</v>
      </c>
      <c r="C363" s="46">
        <f>IF(COUNTBLANK(I362)=1,(C362*'Config.'!$D$9)+C362,(I362*'Config.'!$D$9)+I362)</f>
        <v>10448982533.462748</v>
      </c>
      <c r="D363" s="46">
        <f>IF(COUNTBLANK(I362)=1,I362*'Config.'!$D$11,I362*'Config.'!$D$11)</f>
        <v>0</v>
      </c>
      <c r="E363" s="46">
        <f t="shared" si="27"/>
        <v>497570596.83156013</v>
      </c>
      <c r="F363" s="47"/>
      <c r="G363" s="48" t="str">
        <f t="shared" si="25"/>
        <v>-</v>
      </c>
      <c r="H363" s="29" t="str">
        <f>IF(COUNTBLANK(I363)=1,IF(C363&lt;='Config.'!$D$7,"meta","nops"),"")</f>
        <v>nops</v>
      </c>
      <c r="I363" s="55"/>
      <c r="J363" s="65"/>
      <c r="K363" s="15"/>
      <c r="L363" s="15"/>
      <c r="M363" s="51" t="str">
        <f t="shared" si="28"/>
        <v/>
      </c>
      <c r="N363" s="51" t="str">
        <f t="shared" si="26"/>
        <v/>
      </c>
      <c r="O363" s="57" t="str">
        <f t="shared" si="29"/>
        <v/>
      </c>
      <c r="P363" s="6"/>
      <c r="Q363" s="6"/>
      <c r="R363" s="6"/>
      <c r="S363" s="6"/>
      <c r="T363" s="6"/>
      <c r="U363" s="6"/>
      <c r="V363" s="32">
        <f>IF(COUNTBLANK(X362)=1,(V362*'Config.'!$D$9)+V362,(X362*'Config.'!$D$9)+X362)</f>
        <v>9769571173.9964123</v>
      </c>
      <c r="W363" s="29" t="str">
        <f>IF(COUNTBLANK(X363)=1,IF(V363&lt;='Config.'!$D$7,"meta","nops"),"")</f>
        <v>nops</v>
      </c>
      <c r="X363" s="54"/>
    </row>
    <row r="364" spans="1:24" ht="19.5" customHeight="1">
      <c r="A364" s="44" t="s">
        <v>31</v>
      </c>
      <c r="B364" s="45">
        <v>361</v>
      </c>
      <c r="C364" s="46">
        <f>IF(COUNTBLANK(I363)=1,(C363*'Config.'!$D$9)+C363,(I363*'Config.'!$D$9)+I363)</f>
        <v>10971431660.135885</v>
      </c>
      <c r="D364" s="46">
        <f>IF(COUNTBLANK(I363)=1,I363*'Config.'!$D$11,I363*'Config.'!$D$11)</f>
        <v>0</v>
      </c>
      <c r="E364" s="46">
        <f t="shared" si="27"/>
        <v>522449126.67313766</v>
      </c>
      <c r="F364" s="47"/>
      <c r="G364" s="48" t="str">
        <f t="shared" si="25"/>
        <v>-</v>
      </c>
      <c r="H364" s="29" t="str">
        <f>IF(COUNTBLANK(I364)=1,IF(C364&lt;='Config.'!$D$7,"meta","nops"),"")</f>
        <v>nops</v>
      </c>
      <c r="I364" s="55"/>
      <c r="J364" s="65"/>
      <c r="K364" s="15"/>
      <c r="L364" s="15"/>
      <c r="M364" s="51" t="str">
        <f t="shared" si="28"/>
        <v/>
      </c>
      <c r="N364" s="51" t="str">
        <f t="shared" si="26"/>
        <v/>
      </c>
      <c r="O364" s="57" t="str">
        <f t="shared" si="29"/>
        <v/>
      </c>
      <c r="P364" s="6"/>
      <c r="Q364" s="6"/>
      <c r="R364" s="6"/>
      <c r="S364" s="6"/>
      <c r="T364" s="6"/>
      <c r="U364" s="6"/>
      <c r="V364" s="32">
        <f>IF(COUNTBLANK(X363)=1,(V363*'Config.'!$D$9)+V363,(X363*'Config.'!$D$9)+X363)</f>
        <v>10258049732.696234</v>
      </c>
      <c r="W364" s="29" t="str">
        <f>IF(COUNTBLANK(X364)=1,IF(V364&lt;='Config.'!$D$7,"meta","nops"),"")</f>
        <v>nops</v>
      </c>
      <c r="X364" s="54"/>
    </row>
    <row r="365" spans="1:24" ht="19.5" customHeight="1">
      <c r="A365" s="44" t="s">
        <v>31</v>
      </c>
      <c r="B365" s="45">
        <v>362</v>
      </c>
      <c r="C365" s="46">
        <f>IF(COUNTBLANK(I364)=1,(C364*'Config.'!$D$9)+C364,(I364*'Config.'!$D$9)+I364)</f>
        <v>11520003243.142679</v>
      </c>
      <c r="D365" s="46">
        <f>IF(COUNTBLANK(I364)=1,I364*'Config.'!$D$11,I364*'Config.'!$D$11)</f>
        <v>0</v>
      </c>
      <c r="E365" s="46">
        <f t="shared" si="27"/>
        <v>548571583.00679398</v>
      </c>
      <c r="F365" s="47"/>
      <c r="G365" s="48" t="str">
        <f t="shared" si="25"/>
        <v>-</v>
      </c>
      <c r="H365" s="29" t="str">
        <f>IF(COUNTBLANK(I365)=1,IF(C365&lt;='Config.'!$D$7,"meta","nops"),"")</f>
        <v>nops</v>
      </c>
      <c r="I365" s="55"/>
      <c r="J365" s="65"/>
      <c r="K365" s="15"/>
      <c r="L365" s="15"/>
      <c r="M365" s="51" t="str">
        <f t="shared" si="28"/>
        <v/>
      </c>
      <c r="N365" s="51" t="str">
        <f t="shared" si="26"/>
        <v/>
      </c>
      <c r="O365" s="57" t="str">
        <f t="shared" si="29"/>
        <v/>
      </c>
      <c r="P365" s="6"/>
      <c r="Q365" s="6"/>
      <c r="R365" s="6"/>
      <c r="S365" s="6"/>
      <c r="T365" s="6"/>
      <c r="U365" s="6"/>
      <c r="V365" s="32">
        <f>IF(COUNTBLANK(X364)=1,(V364*'Config.'!$D$9)+V364,(X364*'Config.'!$D$9)+X364)</f>
        <v>10770952219.331045</v>
      </c>
      <c r="W365" s="29" t="str">
        <f>IF(COUNTBLANK(X365)=1,IF(V365&lt;='Config.'!$D$7,"meta","nops"),"")</f>
        <v>nops</v>
      </c>
      <c r="X365" s="54"/>
    </row>
    <row r="366" spans="1:24" ht="19.5" customHeight="1">
      <c r="A366" s="44" t="s">
        <v>31</v>
      </c>
      <c r="B366" s="45">
        <v>363</v>
      </c>
      <c r="C366" s="46">
        <f>IF(COUNTBLANK(I365)=1,(C365*'Config.'!$D$9)+C365,(I365*'Config.'!$D$9)+I365)</f>
        <v>12096003405.299812</v>
      </c>
      <c r="D366" s="46">
        <f>IF(COUNTBLANK(I365)=1,I365*'Config.'!$D$11,I365*'Config.'!$D$11)</f>
        <v>0</v>
      </c>
      <c r="E366" s="46">
        <f t="shared" si="27"/>
        <v>576000162.1571331</v>
      </c>
      <c r="F366" s="47"/>
      <c r="G366" s="48" t="str">
        <f t="shared" si="25"/>
        <v>-</v>
      </c>
      <c r="H366" s="29" t="str">
        <f>IF(COUNTBLANK(I366)=1,IF(C366&lt;='Config.'!$D$7,"meta","nops"),"")</f>
        <v>nops</v>
      </c>
      <c r="I366" s="55"/>
      <c r="J366" s="65"/>
      <c r="K366" s="15"/>
      <c r="L366" s="15"/>
      <c r="M366" s="51" t="str">
        <f t="shared" si="28"/>
        <v/>
      </c>
      <c r="N366" s="51" t="str">
        <f t="shared" si="26"/>
        <v/>
      </c>
      <c r="O366" s="57" t="str">
        <f t="shared" si="29"/>
        <v/>
      </c>
      <c r="P366" s="6"/>
      <c r="Q366" s="6"/>
      <c r="R366" s="6"/>
      <c r="S366" s="6"/>
      <c r="T366" s="6"/>
      <c r="U366" s="6"/>
      <c r="V366" s="32">
        <f>IF(COUNTBLANK(X365)=1,(V365*'Config.'!$D$9)+V365,(X365*'Config.'!$D$9)+X365)</f>
        <v>11309499830.297598</v>
      </c>
      <c r="W366" s="29" t="str">
        <f>IF(COUNTBLANK(X366)=1,IF(V366&lt;='Config.'!$D$7,"meta","nops"),"")</f>
        <v>nops</v>
      </c>
      <c r="X366" s="54"/>
    </row>
    <row r="367" spans="1:24" ht="19.5" customHeight="1">
      <c r="A367" s="44" t="s">
        <v>31</v>
      </c>
      <c r="B367" s="45">
        <v>364</v>
      </c>
      <c r="C367" s="46">
        <f>IF(COUNTBLANK(I366)=1,(C366*'Config.'!$D$9)+C366,(I366*'Config.'!$D$9)+I366)</f>
        <v>12700803575.564802</v>
      </c>
      <c r="D367" s="46">
        <f>IF(COUNTBLANK(I366)=1,I366*'Config.'!$D$11,I366*'Config.'!$D$11)</f>
        <v>0</v>
      </c>
      <c r="E367" s="46">
        <f t="shared" si="27"/>
        <v>604800170.26498985</v>
      </c>
      <c r="F367" s="47"/>
      <c r="G367" s="48" t="str">
        <f t="shared" si="25"/>
        <v>-</v>
      </c>
      <c r="H367" s="29" t="str">
        <f>IF(COUNTBLANK(I367)=1,IF(C367&lt;='Config.'!$D$7,"meta","nops"),"")</f>
        <v>nops</v>
      </c>
      <c r="I367" s="55"/>
      <c r="J367" s="65"/>
      <c r="K367" s="15"/>
      <c r="L367" s="15"/>
      <c r="M367" s="51" t="str">
        <f t="shared" si="28"/>
        <v/>
      </c>
      <c r="N367" s="51" t="str">
        <f t="shared" si="26"/>
        <v/>
      </c>
      <c r="O367" s="57" t="str">
        <f t="shared" si="29"/>
        <v/>
      </c>
      <c r="P367" s="6"/>
      <c r="Q367" s="6"/>
      <c r="R367" s="6"/>
      <c r="S367" s="6"/>
      <c r="T367" s="6"/>
      <c r="U367" s="6"/>
      <c r="V367" s="32">
        <f>IF(COUNTBLANK(X366)=1,(V366*'Config.'!$D$9)+V366,(X366*'Config.'!$D$9)+X366)</f>
        <v>11874974821.812477</v>
      </c>
      <c r="W367" s="29" t="str">
        <f>IF(COUNTBLANK(X367)=1,IF(V367&lt;='Config.'!$D$7,"meta","nops"),"")</f>
        <v>nops</v>
      </c>
      <c r="X367" s="54"/>
    </row>
    <row r="368" spans="1:24" ht="19.5" customHeight="1">
      <c r="A368" s="44" t="s">
        <v>31</v>
      </c>
      <c r="B368" s="45">
        <v>365</v>
      </c>
      <c r="C368" s="46">
        <f>IF(COUNTBLANK(I367)=1,(C367*'Config.'!$D$9)+C367,(I367*'Config.'!$D$9)+I367)</f>
        <v>13335843754.343042</v>
      </c>
      <c r="D368" s="46">
        <f>IF(COUNTBLANK(I367)=1,I367*'Config.'!$D$11,I367*'Config.'!$D$11)</f>
        <v>0</v>
      </c>
      <c r="E368" s="46">
        <f t="shared" si="27"/>
        <v>635040178.7782402</v>
      </c>
      <c r="F368" s="47"/>
      <c r="G368" s="48" t="str">
        <f t="shared" si="25"/>
        <v>-</v>
      </c>
      <c r="H368" s="29" t="str">
        <f>IF(COUNTBLANK(I368)=1,IF(C368&lt;='Config.'!$D$7,"meta","nops"),"")</f>
        <v>nops</v>
      </c>
      <c r="I368" s="55"/>
      <c r="J368" s="65"/>
      <c r="K368" s="15"/>
      <c r="L368" s="15"/>
      <c r="M368" s="51" t="str">
        <f t="shared" si="28"/>
        <v/>
      </c>
      <c r="N368" s="51" t="str">
        <f t="shared" si="26"/>
        <v/>
      </c>
      <c r="O368" s="57" t="str">
        <f t="shared" si="29"/>
        <v/>
      </c>
      <c r="P368" s="6"/>
      <c r="Q368" s="6"/>
      <c r="R368" s="6"/>
      <c r="S368" s="6"/>
      <c r="T368" s="6"/>
      <c r="U368" s="6"/>
      <c r="V368" s="32">
        <f>IF(COUNTBLANK(X367)=1,(V367*'Config.'!$D$9)+V367,(X367*'Config.'!$D$9)+X367)</f>
        <v>12468723562.903101</v>
      </c>
      <c r="W368" s="29" t="str">
        <f>IF(COUNTBLANK(X368)=1,IF(V368&lt;='Config.'!$D$7,"meta","nops"),"")</f>
        <v>nops</v>
      </c>
      <c r="X368" s="54"/>
    </row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</sheetData>
  <mergeCells count="9">
    <mergeCell ref="S6:S7"/>
    <mergeCell ref="R6:R7"/>
    <mergeCell ref="Q9:S9"/>
    <mergeCell ref="B2:B3"/>
    <mergeCell ref="C2:E2"/>
    <mergeCell ref="F2:G2"/>
    <mergeCell ref="I2:O2"/>
    <mergeCell ref="Q2:S2"/>
    <mergeCell ref="Q5:S5"/>
  </mergeCells>
  <conditionalFormatting sqref="O1 O4:O368">
    <cfRule type="cellIs" dxfId="21" priority="1" operator="greaterThanOrEqual">
      <formula>0.01</formula>
    </cfRule>
  </conditionalFormatting>
  <conditionalFormatting sqref="M4:M368">
    <cfRule type="cellIs" dxfId="20" priority="2" operator="greaterThanOrEqual">
      <formula>0.01</formula>
    </cfRule>
  </conditionalFormatting>
  <conditionalFormatting sqref="N4:N368">
    <cfRule type="cellIs" dxfId="19" priority="3" operator="greaterThanOrEqual">
      <formula>0.01</formula>
    </cfRule>
  </conditionalFormatting>
  <conditionalFormatting sqref="C4">
    <cfRule type="expression" dxfId="18" priority="4">
      <formula>AND(COUNTBLANK(I4)=1,COUNTBLANK(I3)=0)</formula>
    </cfRule>
  </conditionalFormatting>
  <conditionalFormatting sqref="C5:D368">
    <cfRule type="expression" dxfId="17" priority="5">
      <formula>AND(COUNTBLANK(I5)=1,COUNTBLANK(I4)=0)</formula>
    </cfRule>
  </conditionalFormatting>
  <conditionalFormatting sqref="B4:B368">
    <cfRule type="expression" dxfId="16" priority="6">
      <formula>AND(COUNTBLANK(I4)=1,COUNTBLANK(I3)=0)</formula>
    </cfRule>
  </conditionalFormatting>
  <conditionalFormatting sqref="A4:A368">
    <cfRule type="expression" dxfId="15" priority="7">
      <formula>AND(COUNTBLANK(I4)=1,COUNTBLANK(I3)=0)</formula>
    </cfRule>
  </conditionalFormatting>
  <conditionalFormatting sqref="E4">
    <cfRule type="expression" dxfId="14" priority="8">
      <formula>AND(COUNTBLANK(I4)=1,COUNTBLANK(I3)=0)</formula>
    </cfRule>
  </conditionalFormatting>
  <conditionalFormatting sqref="E5:E368">
    <cfRule type="expression" dxfId="13" priority="9">
      <formula>AND(COUNTBLANK(I5)=1,COUNTBLANK(I4)=0)</formula>
    </cfRule>
  </conditionalFormatting>
  <conditionalFormatting sqref="Q6:Q7">
    <cfRule type="cellIs" dxfId="12" priority="10" operator="lessThan">
      <formula>0</formula>
    </cfRule>
  </conditionalFormatting>
  <conditionalFormatting sqref="V4">
    <cfRule type="expression" dxfId="11" priority="11">
      <formula>AND(COUNTBLANK(AA4)=1,COUNTBLANK(AA3)=0)</formula>
    </cfRule>
  </conditionalFormatting>
  <conditionalFormatting sqref="V5:V368">
    <cfRule type="expression" dxfId="10" priority="12">
      <formula>AND(COUNTBLANK(AA5)=1,COUNTBLANK(AA4)=0)</formula>
    </cfRule>
  </conditionalFormatting>
  <conditionalFormatting sqref="Q10">
    <cfRule type="cellIs" dxfId="9" priority="13" operator="lessThan">
      <formula>0</formula>
    </cfRule>
  </conditionalFormatting>
  <conditionalFormatting sqref="K4">
    <cfRule type="cellIs" dxfId="8" priority="14" operator="greaterThanOrEqual">
      <formula>0.01</formula>
    </cfRule>
  </conditionalFormatting>
  <conditionalFormatting sqref="L4">
    <cfRule type="cellIs" dxfId="7" priority="15" operator="greaterThanOrEqual">
      <formula>0.01</formula>
    </cfRule>
  </conditionalFormatting>
  <conditionalFormatting sqref="K5:K15">
    <cfRule type="cellIs" dxfId="6" priority="16" operator="greaterThanOrEqual">
      <formula>0.01</formula>
    </cfRule>
  </conditionalFormatting>
  <conditionalFormatting sqref="L5:L15">
    <cfRule type="cellIs" dxfId="5" priority="17" operator="greaterThanOrEqual">
      <formula>0.01</formula>
    </cfRule>
  </conditionalFormatting>
  <conditionalFormatting sqref="K16:K368">
    <cfRule type="cellIs" dxfId="4" priority="18" operator="greaterThanOrEqual">
      <formula>0.01</formula>
    </cfRule>
  </conditionalFormatting>
  <conditionalFormatting sqref="L16:L368">
    <cfRule type="cellIs" dxfId="3" priority="19" operator="greaterThanOrEqual">
      <formula>0.01</formula>
    </cfRule>
  </conditionalFormatting>
  <conditionalFormatting sqref="J4:J10">
    <cfRule type="expression" dxfId="2" priority="20">
      <formula>AND(COUNTBLANK(N4)=1,COUNTBLANK(N3)=0)</formula>
    </cfRule>
  </conditionalFormatting>
  <conditionalFormatting sqref="J5:J368">
    <cfRule type="expression" dxfId="1" priority="21">
      <formula>AND(COUNTBLANK(N5)=1,COUNTBLANK(N4)=0)</formula>
    </cfRule>
  </conditionalFormatting>
  <conditionalFormatting sqref="D4">
    <cfRule type="expression" dxfId="0" priority="22">
      <formula>AND(COUNTBLANK(J4)=1,COUNTBLANK(J3)=0)</formula>
    </cfRule>
  </conditionalFormatting>
  <pageMargins left="0.511811024" right="0.511811024" top="0.78740157499999996" bottom="0.78740157499999996" header="0" footer="0"/>
  <pageSetup paperSize="9" orientation="portrait"/>
  <rowBreaks count="1" manualBreakCount="1">
    <brk id="2" man="1"/>
  </rowBreaks>
  <colBreaks count="1" manualBreakCount="1">
    <brk id="12" man="1"/>
  </colBreaks>
  <ignoredErrors>
    <ignoredError sqref="O5" evalError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224"/>
  <sheetViews>
    <sheetView workbookViewId="0"/>
  </sheetViews>
  <sheetFormatPr defaultColWidth="14.42578125" defaultRowHeight="15" customHeight="1"/>
  <cols>
    <col min="1" max="2" width="8.7109375" customWidth="1"/>
    <col min="3" max="3" width="18.42578125" customWidth="1"/>
    <col min="4" max="5" width="8.7109375" customWidth="1"/>
    <col min="6" max="6" width="14.42578125" customWidth="1"/>
    <col min="7" max="9" width="8.7109375" customWidth="1"/>
    <col min="10" max="10" width="11.140625" customWidth="1"/>
    <col min="11" max="11" width="17.28515625" customWidth="1"/>
    <col min="12" max="15" width="8.7109375" customWidth="1"/>
  </cols>
  <sheetData>
    <row r="1" spans="1:19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</row>
    <row r="2" spans="1:19">
      <c r="A2" s="68"/>
      <c r="B2" s="118" t="s">
        <v>36</v>
      </c>
      <c r="C2" s="119"/>
      <c r="D2" s="119"/>
      <c r="E2" s="111"/>
      <c r="F2" s="68"/>
      <c r="G2" s="68"/>
      <c r="H2" s="122" t="s">
        <v>37</v>
      </c>
      <c r="I2" s="119"/>
      <c r="J2" s="111"/>
      <c r="K2" s="68"/>
      <c r="L2" s="68"/>
      <c r="M2" s="68"/>
      <c r="N2" s="68"/>
      <c r="O2" s="68"/>
      <c r="P2" s="68"/>
      <c r="Q2" s="68"/>
      <c r="R2" s="68"/>
      <c r="S2" s="68"/>
    </row>
    <row r="3" spans="1:19">
      <c r="A3" s="68"/>
      <c r="B3" s="120"/>
      <c r="C3" s="121"/>
      <c r="D3" s="121"/>
      <c r="E3" s="115"/>
      <c r="F3" s="68"/>
      <c r="G3" s="68"/>
      <c r="H3" s="120"/>
      <c r="I3" s="121"/>
      <c r="J3" s="115"/>
      <c r="K3" s="68"/>
      <c r="L3" s="68"/>
      <c r="M3" s="68"/>
      <c r="N3" s="68"/>
      <c r="O3" s="68"/>
      <c r="P3" s="68"/>
      <c r="Q3" s="68"/>
      <c r="R3" s="68"/>
      <c r="S3" s="68"/>
    </row>
    <row r="4" spans="1:19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</row>
    <row r="5" spans="1:19" ht="21">
      <c r="A5" s="68"/>
      <c r="B5" s="123" t="s">
        <v>38</v>
      </c>
      <c r="C5" s="109"/>
      <c r="D5" s="124" t="s">
        <v>39</v>
      </c>
      <c r="E5" s="117"/>
      <c r="F5" s="109"/>
      <c r="G5" s="68"/>
      <c r="H5" s="128" t="s">
        <v>40</v>
      </c>
      <c r="I5" s="119"/>
      <c r="J5" s="111"/>
      <c r="K5" s="129">
        <f>B7</f>
        <v>0</v>
      </c>
      <c r="L5" s="68"/>
      <c r="M5" s="68"/>
      <c r="N5" s="68"/>
      <c r="O5" s="68"/>
      <c r="P5" s="68"/>
      <c r="Q5" s="68"/>
      <c r="R5" s="68"/>
      <c r="S5" s="68"/>
    </row>
    <row r="6" spans="1:19">
      <c r="A6" s="68"/>
      <c r="B6" s="125" t="s">
        <v>41</v>
      </c>
      <c r="C6" s="109"/>
      <c r="D6" s="69"/>
      <c r="E6" s="108" t="s">
        <v>42</v>
      </c>
      <c r="F6" s="109"/>
      <c r="G6" s="68"/>
      <c r="H6" s="120"/>
      <c r="I6" s="121"/>
      <c r="J6" s="115"/>
      <c r="K6" s="130"/>
      <c r="L6" s="68"/>
      <c r="M6" s="68"/>
      <c r="N6" s="68"/>
      <c r="O6" s="70"/>
      <c r="P6" s="68"/>
      <c r="Q6" s="68"/>
      <c r="R6" s="68"/>
      <c r="S6" s="68"/>
    </row>
    <row r="7" spans="1:19">
      <c r="A7" s="68"/>
      <c r="B7" s="126">
        <f>Gestão!D27</f>
        <v>0</v>
      </c>
      <c r="C7" s="111"/>
      <c r="D7" s="69"/>
      <c r="E7" s="131">
        <v>0.85</v>
      </c>
      <c r="F7" s="111"/>
      <c r="G7" s="68"/>
      <c r="H7" s="71"/>
      <c r="I7" s="72" t="s">
        <v>43</v>
      </c>
      <c r="J7" s="73">
        <f>K5</f>
        <v>0</v>
      </c>
      <c r="K7" s="73">
        <f>J7*L8</f>
        <v>0</v>
      </c>
      <c r="L7" s="108" t="s">
        <v>42</v>
      </c>
      <c r="M7" s="109"/>
      <c r="N7" s="68"/>
      <c r="O7" s="68"/>
      <c r="P7" s="68"/>
      <c r="Q7" s="68"/>
      <c r="R7" s="68"/>
      <c r="S7" s="68"/>
    </row>
    <row r="8" spans="1:19">
      <c r="A8" s="68"/>
      <c r="B8" s="127"/>
      <c r="C8" s="113"/>
      <c r="D8" s="69"/>
      <c r="E8" s="127"/>
      <c r="F8" s="113"/>
      <c r="G8" s="68"/>
      <c r="H8" s="74" t="s">
        <v>37</v>
      </c>
      <c r="I8" s="72" t="s">
        <v>44</v>
      </c>
      <c r="J8" s="73">
        <f>K7+J7</f>
        <v>0</v>
      </c>
      <c r="K8" s="73">
        <f>J8*L8</f>
        <v>0</v>
      </c>
      <c r="L8" s="110">
        <v>0.85</v>
      </c>
      <c r="M8" s="111"/>
      <c r="N8" s="68"/>
      <c r="O8" s="68"/>
      <c r="P8" s="68"/>
      <c r="Q8" s="68"/>
      <c r="R8" s="68"/>
      <c r="S8" s="68"/>
    </row>
    <row r="9" spans="1:19">
      <c r="A9" s="68"/>
      <c r="B9" s="120"/>
      <c r="C9" s="115"/>
      <c r="D9" s="75" t="s">
        <v>45</v>
      </c>
      <c r="E9" s="120"/>
      <c r="F9" s="115"/>
      <c r="G9" s="68"/>
      <c r="H9" s="76"/>
      <c r="I9" s="72" t="s">
        <v>46</v>
      </c>
      <c r="J9" s="73">
        <f>K8+J8</f>
        <v>0</v>
      </c>
      <c r="K9" s="73">
        <f>J9*L8</f>
        <v>0</v>
      </c>
      <c r="L9" s="112"/>
      <c r="M9" s="113"/>
      <c r="N9" s="68"/>
      <c r="O9" s="68"/>
      <c r="P9" s="68"/>
      <c r="Q9" s="68"/>
      <c r="R9" s="68"/>
      <c r="S9" s="68"/>
    </row>
    <row r="10" spans="1:19" ht="18.75">
      <c r="A10" s="68"/>
      <c r="B10" s="77" t="s">
        <v>43</v>
      </c>
      <c r="C10" s="78">
        <f>(B7)*29.9%</f>
        <v>0</v>
      </c>
      <c r="D10" s="79">
        <f>C10*E7</f>
        <v>0</v>
      </c>
      <c r="E10" s="77" t="s">
        <v>43</v>
      </c>
      <c r="F10" s="78">
        <f>(C10)*E7</f>
        <v>0</v>
      </c>
      <c r="G10" s="68"/>
      <c r="H10" s="80"/>
      <c r="I10" s="81"/>
      <c r="J10" s="82">
        <f>J9+K9</f>
        <v>0</v>
      </c>
      <c r="K10" s="83" t="s">
        <v>47</v>
      </c>
      <c r="L10" s="114"/>
      <c r="M10" s="115"/>
      <c r="N10" s="68"/>
      <c r="O10" s="68"/>
      <c r="P10" s="68"/>
      <c r="Q10" s="68"/>
      <c r="R10" s="68"/>
      <c r="S10" s="68"/>
    </row>
    <row r="11" spans="1:19" ht="18.75">
      <c r="A11" s="68"/>
      <c r="B11" s="84" t="s">
        <v>48</v>
      </c>
      <c r="C11" s="85">
        <f>(B7)*70.1%</f>
        <v>0</v>
      </c>
      <c r="D11" s="79">
        <f>C11*E7</f>
        <v>0</v>
      </c>
      <c r="E11" s="77" t="s">
        <v>48</v>
      </c>
      <c r="F11" s="78">
        <f>(C11)*E7-C10</f>
        <v>0</v>
      </c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</row>
    <row r="12" spans="1:19" ht="18.75">
      <c r="A12" s="68"/>
      <c r="B12" s="86"/>
      <c r="C12" s="87"/>
      <c r="D12" s="79"/>
      <c r="E12" s="77"/>
      <c r="F12" s="78"/>
      <c r="G12" s="68"/>
      <c r="H12" s="68"/>
      <c r="I12" s="68"/>
      <c r="J12" s="68"/>
      <c r="K12" s="68"/>
      <c r="L12" s="68"/>
      <c r="M12" s="68"/>
      <c r="N12" s="70"/>
      <c r="O12" s="68"/>
      <c r="P12" s="68"/>
      <c r="Q12" s="68"/>
      <c r="R12" s="68"/>
      <c r="S12" s="68"/>
    </row>
    <row r="13" spans="1:19" ht="21">
      <c r="A13" s="68"/>
      <c r="B13" s="88" t="s">
        <v>49</v>
      </c>
      <c r="C13" s="89">
        <f>C11+C10</f>
        <v>0</v>
      </c>
      <c r="D13" s="81"/>
      <c r="E13" s="81"/>
      <c r="F13" s="90"/>
      <c r="G13" s="68"/>
      <c r="H13" s="68"/>
      <c r="I13" s="116" t="s">
        <v>50</v>
      </c>
      <c r="J13" s="117"/>
      <c r="K13" s="117"/>
      <c r="L13" s="109"/>
      <c r="M13" s="68"/>
      <c r="N13" s="68"/>
      <c r="O13" s="68"/>
      <c r="P13" s="68"/>
      <c r="Q13" s="68"/>
      <c r="R13" s="68"/>
      <c r="S13" s="68"/>
    </row>
    <row r="14" spans="1:19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</row>
    <row r="15" spans="1:19" ht="21">
      <c r="A15" s="68"/>
      <c r="B15" s="123" t="s">
        <v>51</v>
      </c>
      <c r="C15" s="109"/>
      <c r="D15" s="124" t="s">
        <v>52</v>
      </c>
      <c r="E15" s="117"/>
      <c r="F15" s="109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</row>
    <row r="16" spans="1:19">
      <c r="A16" s="68"/>
      <c r="B16" s="125" t="s">
        <v>41</v>
      </c>
      <c r="C16" s="109"/>
      <c r="D16" s="69"/>
      <c r="E16" s="108" t="s">
        <v>42</v>
      </c>
      <c r="F16" s="109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</row>
    <row r="17" spans="1:19" ht="15" customHeight="1">
      <c r="A17" s="68"/>
      <c r="B17" s="126">
        <f>B7</f>
        <v>0</v>
      </c>
      <c r="C17" s="111"/>
      <c r="D17" s="69"/>
      <c r="E17" s="131">
        <v>0.85</v>
      </c>
      <c r="F17" s="111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</row>
    <row r="18" spans="1:19" ht="15" customHeight="1">
      <c r="A18" s="68"/>
      <c r="B18" s="127"/>
      <c r="C18" s="113"/>
      <c r="D18" s="69"/>
      <c r="E18" s="127"/>
      <c r="F18" s="113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</row>
    <row r="19" spans="1:19" ht="15" customHeight="1">
      <c r="A19" s="68"/>
      <c r="B19" s="120"/>
      <c r="C19" s="115"/>
      <c r="D19" s="91" t="s">
        <v>45</v>
      </c>
      <c r="E19" s="120"/>
      <c r="F19" s="115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</row>
    <row r="20" spans="1:19" ht="18.75">
      <c r="A20" s="68"/>
      <c r="B20" s="77" t="s">
        <v>43</v>
      </c>
      <c r="C20" s="78">
        <f>(B17)*11.1%</f>
        <v>0</v>
      </c>
      <c r="D20" s="79">
        <f>C20*E17</f>
        <v>0</v>
      </c>
      <c r="E20" s="77" t="s">
        <v>43</v>
      </c>
      <c r="F20" s="78">
        <f>(C20)*E17</f>
        <v>0</v>
      </c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</row>
    <row r="21" spans="1:19" ht="15.75" customHeight="1">
      <c r="A21" s="68"/>
      <c r="B21" s="84" t="s">
        <v>48</v>
      </c>
      <c r="C21" s="85">
        <f>(B17)*26.1%</f>
        <v>0</v>
      </c>
      <c r="D21" s="79">
        <f>C21*E17</f>
        <v>0</v>
      </c>
      <c r="E21" s="77" t="s">
        <v>48</v>
      </c>
      <c r="F21" s="78">
        <f>(C21)*E17-C20</f>
        <v>0</v>
      </c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</row>
    <row r="22" spans="1:19" ht="15.75" customHeight="1">
      <c r="A22" s="68"/>
      <c r="B22" s="86" t="s">
        <v>53</v>
      </c>
      <c r="C22" s="92">
        <f>(B17)*62.8%</f>
        <v>0</v>
      </c>
      <c r="D22" s="79">
        <f>C22*E17</f>
        <v>0</v>
      </c>
      <c r="E22" s="77" t="s">
        <v>53</v>
      </c>
      <c r="F22" s="78">
        <f>(C22)*E17-C20-C21</f>
        <v>0</v>
      </c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</row>
    <row r="23" spans="1:19" ht="15.75" customHeight="1">
      <c r="A23" s="68"/>
      <c r="B23" s="69"/>
      <c r="C23" s="69"/>
      <c r="D23" s="69"/>
      <c r="E23" s="69"/>
      <c r="F23" s="69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</row>
    <row r="24" spans="1:19" ht="15.75" customHeight="1">
      <c r="A24" s="68"/>
      <c r="B24" s="88" t="s">
        <v>49</v>
      </c>
      <c r="C24" s="89">
        <f>C23+C22+C21+C20</f>
        <v>0</v>
      </c>
      <c r="D24" s="69"/>
      <c r="E24" s="69"/>
      <c r="F24" s="69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</row>
    <row r="25" spans="1:19" ht="15.75" customHeight="1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</row>
    <row r="26" spans="1:19" ht="15.75" customHeight="1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</row>
    <row r="27" spans="1:19" ht="15.75" customHeight="1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</row>
    <row r="28" spans="1:19" ht="15.75" customHeight="1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</row>
    <row r="29" spans="1:19" ht="15.75" customHeight="1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</row>
    <row r="30" spans="1:19" ht="15.75" customHeight="1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</row>
    <row r="31" spans="1:19" ht="15.75" customHeight="1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</row>
    <row r="32" spans="1:19" ht="15.75" customHeight="1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</row>
    <row r="33" spans="1:19" ht="15.75" customHeight="1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</row>
    <row r="34" spans="1:19" ht="15.75" customHeight="1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</row>
    <row r="35" spans="1:19" ht="15.75" customHeight="1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</row>
    <row r="36" spans="1:19" ht="15.75" customHeight="1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</row>
    <row r="37" spans="1:19" ht="15.75" customHeight="1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</row>
    <row r="38" spans="1:19" ht="15.75" customHeight="1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</row>
    <row r="39" spans="1:19" ht="15.75" customHeight="1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</row>
    <row r="40" spans="1:19" ht="15.75" customHeight="1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</row>
    <row r="41" spans="1:19" ht="15.75" customHeight="1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</row>
    <row r="42" spans="1:19" ht="15.75" customHeight="1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</row>
    <row r="43" spans="1:19" ht="15.75" customHeight="1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</row>
    <row r="44" spans="1:19" ht="15.75" customHeight="1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</row>
    <row r="45" spans="1:19" ht="15.75" customHeight="1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</row>
    <row r="46" spans="1:19" ht="15.75" customHeight="1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</row>
    <row r="47" spans="1:19" ht="15.75" customHeight="1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</row>
    <row r="48" spans="1:19" ht="15.75" customHeight="1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</row>
    <row r="49" spans="1:19" ht="15.75" customHeight="1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</row>
    <row r="50" spans="1:19" ht="15.75" customHeight="1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</row>
    <row r="51" spans="1:19" ht="15.75" customHeight="1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</row>
    <row r="52" spans="1:19" ht="15.75" customHeight="1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</row>
    <row r="53" spans="1:19" ht="15.75" customHeight="1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</row>
    <row r="54" spans="1:19" ht="15.75" customHeight="1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</row>
    <row r="55" spans="1:19" ht="15.75" customHeight="1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</row>
    <row r="56" spans="1:19" ht="15.75" customHeight="1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</row>
    <row r="57" spans="1:19" ht="15.75" customHeight="1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</row>
    <row r="58" spans="1:19" ht="15.75" customHeight="1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</row>
    <row r="59" spans="1:19" ht="15.75" customHeight="1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</row>
    <row r="60" spans="1:19" ht="15.75" customHeight="1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</row>
    <row r="61" spans="1:19" ht="15.75" customHeight="1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</row>
    <row r="62" spans="1:19" ht="15.75" customHeight="1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</row>
    <row r="63" spans="1:19" ht="15.75" customHeight="1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</row>
    <row r="64" spans="1:19" ht="15.75" customHeight="1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</row>
    <row r="65" spans="1:19" ht="15.75" customHeight="1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</row>
    <row r="66" spans="1:19" ht="15.75" customHeight="1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</row>
    <row r="67" spans="1:19" ht="15.75" customHeight="1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</row>
    <row r="68" spans="1:19" ht="15.75" customHeight="1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</row>
    <row r="69" spans="1:19" ht="15.75" customHeight="1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</row>
    <row r="70" spans="1:19" ht="15.75" customHeight="1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</row>
    <row r="71" spans="1:19" ht="15.75" customHeight="1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</row>
    <row r="72" spans="1:19" ht="15.75" customHeight="1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</row>
    <row r="73" spans="1:19" ht="15.75" customHeight="1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</row>
    <row r="74" spans="1:19" ht="15.7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</row>
    <row r="75" spans="1:19" ht="15.75" customHeight="1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</row>
    <row r="76" spans="1:19" ht="15.75" customHeight="1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</row>
    <row r="77" spans="1:19" ht="15.75" customHeight="1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</row>
    <row r="78" spans="1:19" ht="15.75" customHeight="1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</row>
    <row r="79" spans="1:19" ht="15.75" customHeight="1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</row>
    <row r="80" spans="1:19" ht="15.75" customHeight="1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</row>
    <row r="81" spans="1:19" ht="15.75" customHeight="1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</row>
    <row r="82" spans="1:19" ht="15.75" customHeight="1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</row>
    <row r="83" spans="1:19" ht="15.75" customHeight="1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</row>
    <row r="84" spans="1:19" ht="15.75" customHeight="1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</row>
    <row r="85" spans="1:19" ht="15.75" customHeight="1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</row>
    <row r="86" spans="1:19" ht="15.75" customHeight="1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</row>
    <row r="87" spans="1:19" ht="15.75" customHeight="1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</row>
    <row r="88" spans="1:19" ht="15.75" customHeight="1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</row>
    <row r="89" spans="1:19" ht="15.75" customHeight="1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</row>
    <row r="90" spans="1:19" ht="15.75" customHeight="1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</row>
    <row r="91" spans="1:19" ht="15.75" customHeight="1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</row>
    <row r="92" spans="1:19" ht="15.75" customHeight="1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</row>
    <row r="93" spans="1:19" ht="15.75" customHeight="1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</row>
    <row r="94" spans="1:19" ht="15.75" customHeight="1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</row>
    <row r="95" spans="1:19" ht="15.75" customHeight="1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</row>
    <row r="96" spans="1:19" ht="15.75" customHeight="1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</row>
    <row r="97" spans="1:19" ht="15.75" customHeight="1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</row>
    <row r="98" spans="1:19" ht="15.75" customHeight="1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</row>
    <row r="99" spans="1:19" ht="15.75" customHeight="1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</row>
    <row r="100" spans="1:19" ht="15.75" customHeight="1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</row>
    <row r="101" spans="1:19" ht="15.75" customHeight="1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</row>
    <row r="102" spans="1:19" ht="15.75" customHeight="1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</row>
    <row r="103" spans="1:19" ht="15.75" customHeight="1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</row>
    <row r="104" spans="1:19" ht="15.75" customHeight="1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</row>
    <row r="105" spans="1:19" ht="15.75" customHeight="1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</row>
    <row r="106" spans="1:19" ht="15.75" customHeight="1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</row>
    <row r="107" spans="1:19" ht="15.75" customHeight="1">
      <c r="A107" s="68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</row>
    <row r="108" spans="1:19" ht="15.75" customHeight="1">
      <c r="A108" s="68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</row>
    <row r="109" spans="1:19" ht="15.75" customHeight="1">
      <c r="A109" s="68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</row>
    <row r="110" spans="1:19" ht="15.75" customHeight="1">
      <c r="A110" s="68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</row>
    <row r="111" spans="1:19" ht="15.75" customHeight="1">
      <c r="A111" s="68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</row>
    <row r="112" spans="1:19" ht="15.75" customHeight="1">
      <c r="A112" s="68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</row>
    <row r="113" spans="1:19" ht="15.75" customHeight="1">
      <c r="A113" s="68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</row>
    <row r="114" spans="1:19" ht="15.75" customHeight="1">
      <c r="A114" s="68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</row>
    <row r="115" spans="1:19" ht="15.75" customHeight="1">
      <c r="A115" s="68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</row>
    <row r="116" spans="1:19" ht="15.75" customHeight="1">
      <c r="A116" s="68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</row>
    <row r="117" spans="1:19" ht="15.75" customHeight="1">
      <c r="A117" s="68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</row>
    <row r="118" spans="1:19" ht="15.75" customHeight="1">
      <c r="A118" s="68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</row>
    <row r="119" spans="1:19" ht="15.75" customHeight="1">
      <c r="A119" s="68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</row>
    <row r="120" spans="1:19" ht="15.75" customHeight="1">
      <c r="A120" s="68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</row>
    <row r="121" spans="1:19" ht="15.75" customHeight="1">
      <c r="A121" s="68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</row>
    <row r="122" spans="1:19" ht="15.75" customHeight="1">
      <c r="A122" s="68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</row>
    <row r="123" spans="1:19" ht="15.75" customHeight="1">
      <c r="A123" s="68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</row>
    <row r="124" spans="1:19" ht="15.75" customHeight="1">
      <c r="A124" s="68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</row>
    <row r="125" spans="1:19" ht="15.75" customHeight="1">
      <c r="A125" s="68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</row>
    <row r="126" spans="1:19" ht="15.75" customHeight="1">
      <c r="A126" s="68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</row>
    <row r="127" spans="1:19" ht="15.75" customHeight="1">
      <c r="A127" s="68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</row>
    <row r="128" spans="1:19" ht="15.75" customHeight="1">
      <c r="A128" s="68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</row>
    <row r="129" spans="1:19" ht="15.75" customHeight="1">
      <c r="A129" s="68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</row>
    <row r="130" spans="1:19" ht="15.75" customHeight="1">
      <c r="A130" s="68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</row>
    <row r="131" spans="1:19" ht="15.75" customHeight="1">
      <c r="A131" s="68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</row>
    <row r="132" spans="1:19" ht="15.75" customHeight="1">
      <c r="A132" s="68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</row>
    <row r="133" spans="1:19" ht="15.75" customHeight="1">
      <c r="A133" s="68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</row>
    <row r="134" spans="1:19" ht="15.75" customHeight="1">
      <c r="A134" s="68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</row>
    <row r="135" spans="1:19" ht="15.75" customHeight="1">
      <c r="A135" s="68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</row>
    <row r="136" spans="1:19" ht="15.75" customHeight="1">
      <c r="A136" s="68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</row>
    <row r="137" spans="1:19" ht="15.75" customHeight="1">
      <c r="A137" s="68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</row>
    <row r="138" spans="1:19" ht="15.75" customHeight="1">
      <c r="A138" s="68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</row>
    <row r="139" spans="1:19" ht="15.75" customHeight="1">
      <c r="A139" s="68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</row>
    <row r="140" spans="1:19" ht="15.75" customHeight="1">
      <c r="A140" s="68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</row>
    <row r="141" spans="1:19" ht="15.75" customHeight="1">
      <c r="A141" s="68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</row>
    <row r="142" spans="1:19" ht="15.75" customHeight="1">
      <c r="A142" s="68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</row>
    <row r="143" spans="1:19" ht="15.75" customHeight="1">
      <c r="A143" s="68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</row>
    <row r="144" spans="1:19" ht="15.75" customHeight="1">
      <c r="A144" s="68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</row>
    <row r="145" spans="1:19" ht="15.75" customHeight="1">
      <c r="A145" s="68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</row>
    <row r="146" spans="1:19" ht="15.75" customHeight="1">
      <c r="A146" s="68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</row>
    <row r="147" spans="1:19" ht="15.75" customHeight="1">
      <c r="A147" s="68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</row>
    <row r="148" spans="1:19" ht="15.75" customHeight="1">
      <c r="A148" s="68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</row>
    <row r="149" spans="1:19" ht="15.75" customHeight="1">
      <c r="A149" s="68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</row>
    <row r="150" spans="1:19" ht="15.75" customHeight="1">
      <c r="A150" s="68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</row>
    <row r="151" spans="1:19" ht="15.75" customHeight="1">
      <c r="A151" s="68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</row>
    <row r="152" spans="1:19" ht="15.75" customHeight="1">
      <c r="A152" s="68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</row>
    <row r="153" spans="1:19" ht="15.75" customHeight="1">
      <c r="A153" s="68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</row>
    <row r="154" spans="1:19" ht="15.75" customHeight="1">
      <c r="A154" s="68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</row>
    <row r="155" spans="1:19" ht="15.75" customHeight="1">
      <c r="A155" s="68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</row>
    <row r="156" spans="1:19" ht="15.75" customHeight="1">
      <c r="A156" s="68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</row>
    <row r="157" spans="1:19" ht="15.75" customHeight="1">
      <c r="A157" s="68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</row>
    <row r="158" spans="1:19" ht="15.75" customHeight="1">
      <c r="A158" s="68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</row>
    <row r="159" spans="1:19" ht="15.75" customHeight="1">
      <c r="A159" s="68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</row>
    <row r="160" spans="1:19" ht="15.75" customHeight="1">
      <c r="A160" s="68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</row>
    <row r="161" spans="1:19" ht="15.75" customHeight="1">
      <c r="A161" s="68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</row>
    <row r="162" spans="1:19" ht="15.75" customHeight="1">
      <c r="A162" s="68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</row>
    <row r="163" spans="1:19" ht="15.75" customHeight="1">
      <c r="A163" s="68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</row>
    <row r="164" spans="1:19" ht="15.75" customHeight="1">
      <c r="A164" s="68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</row>
    <row r="165" spans="1:19" ht="15.75" customHeight="1">
      <c r="A165" s="68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</row>
    <row r="166" spans="1:19" ht="15.75" customHeight="1">
      <c r="A166" s="68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</row>
    <row r="167" spans="1:19" ht="15.75" customHeight="1">
      <c r="A167" s="68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</row>
    <row r="168" spans="1:19" ht="15.75" customHeight="1">
      <c r="A168" s="68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</row>
    <row r="169" spans="1:19" ht="15.75" customHeight="1">
      <c r="A169" s="68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</row>
    <row r="170" spans="1:19" ht="15.75" customHeight="1">
      <c r="A170" s="68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</row>
    <row r="171" spans="1:19" ht="15.75" customHeight="1">
      <c r="A171" s="68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</row>
    <row r="172" spans="1:19" ht="15.75" customHeight="1">
      <c r="A172" s="68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</row>
    <row r="173" spans="1:19" ht="15.75" customHeight="1">
      <c r="A173" s="68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</row>
    <row r="174" spans="1:19" ht="15.75" customHeight="1">
      <c r="A174" s="68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</row>
    <row r="175" spans="1:19" ht="15.75" customHeight="1">
      <c r="A175" s="68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</row>
    <row r="176" spans="1:19" ht="15.75" customHeight="1">
      <c r="A176" s="68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</row>
    <row r="177" spans="1:19" ht="15.75" customHeight="1">
      <c r="A177" s="68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</row>
    <row r="178" spans="1:19" ht="15.75" customHeight="1">
      <c r="A178" s="68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</row>
    <row r="179" spans="1:19" ht="15.75" customHeight="1">
      <c r="A179" s="68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</row>
    <row r="180" spans="1:19" ht="15.75" customHeight="1">
      <c r="A180" s="68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</row>
    <row r="181" spans="1:19" ht="15.75" customHeight="1">
      <c r="A181" s="68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</row>
    <row r="182" spans="1:19" ht="15.75" customHeight="1">
      <c r="A182" s="68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</row>
    <row r="183" spans="1:19" ht="15.75" customHeight="1">
      <c r="A183" s="68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</row>
    <row r="184" spans="1:19" ht="15.75" customHeight="1">
      <c r="A184" s="68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</row>
    <row r="185" spans="1:19" ht="15.75" customHeight="1">
      <c r="A185" s="68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</row>
    <row r="186" spans="1:19" ht="15.75" customHeight="1">
      <c r="A186" s="68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</row>
    <row r="187" spans="1:19" ht="15.75" customHeight="1">
      <c r="A187" s="68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</row>
    <row r="188" spans="1:19" ht="15.75" customHeight="1">
      <c r="A188" s="68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</row>
    <row r="189" spans="1:19" ht="15.75" customHeight="1">
      <c r="A189" s="68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</row>
    <row r="190" spans="1:19" ht="15.75" customHeight="1">
      <c r="A190" s="68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</row>
    <row r="191" spans="1:19" ht="15.75" customHeight="1">
      <c r="A191" s="68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</row>
    <row r="192" spans="1:19" ht="15.75" customHeight="1">
      <c r="A192" s="68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</row>
    <row r="193" spans="1:19" ht="15.75" customHeight="1">
      <c r="A193" s="68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</row>
    <row r="194" spans="1:19" ht="15.75" customHeight="1">
      <c r="A194" s="68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</row>
    <row r="195" spans="1:19" ht="15.75" customHeight="1">
      <c r="A195" s="68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</row>
    <row r="196" spans="1:19" ht="15.75" customHeight="1">
      <c r="A196" s="68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</row>
    <row r="197" spans="1:19" ht="15.75" customHeight="1">
      <c r="A197" s="68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</row>
    <row r="198" spans="1:19" ht="15.75" customHeight="1">
      <c r="A198" s="68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</row>
    <row r="199" spans="1:19" ht="15.75" customHeight="1">
      <c r="A199" s="68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</row>
    <row r="200" spans="1:19" ht="15.75" customHeight="1">
      <c r="A200" s="68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</row>
    <row r="201" spans="1:19" ht="15.75" customHeight="1">
      <c r="A201" s="68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</row>
    <row r="202" spans="1:19" ht="15.75" customHeight="1">
      <c r="A202" s="68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</row>
    <row r="203" spans="1:19" ht="15.75" customHeight="1">
      <c r="A203" s="68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</row>
    <row r="204" spans="1:19" ht="15.75" customHeight="1">
      <c r="A204" s="68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</row>
    <row r="205" spans="1:19" ht="15.75" customHeight="1">
      <c r="A205" s="68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</row>
    <row r="206" spans="1:19" ht="15.75" customHeight="1">
      <c r="A206" s="68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</row>
    <row r="207" spans="1:19" ht="15.75" customHeight="1">
      <c r="A207" s="68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</row>
    <row r="208" spans="1:19" ht="15.75" customHeight="1">
      <c r="A208" s="68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</row>
    <row r="209" spans="1:19" ht="15.75" customHeight="1">
      <c r="A209" s="68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</row>
    <row r="210" spans="1:19" ht="15.75" customHeight="1">
      <c r="A210" s="68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</row>
    <row r="211" spans="1:19" ht="15.75" customHeight="1">
      <c r="A211" s="68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</row>
    <row r="212" spans="1:19" ht="15.75" customHeight="1">
      <c r="A212" s="68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</row>
    <row r="213" spans="1:19" ht="15.75" customHeight="1">
      <c r="A213" s="68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</row>
    <row r="214" spans="1:19" ht="15.75" customHeight="1">
      <c r="A214" s="68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</row>
    <row r="215" spans="1:19" ht="15.75" customHeight="1">
      <c r="A215" s="68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</row>
    <row r="216" spans="1:19" ht="15.75" customHeight="1">
      <c r="A216" s="68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</row>
    <row r="217" spans="1:19" ht="15.75" customHeight="1">
      <c r="A217" s="68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</row>
    <row r="218" spans="1:19" ht="15.75" customHeight="1">
      <c r="A218" s="68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</row>
    <row r="219" spans="1:19" ht="15.75" customHeight="1">
      <c r="A219" s="68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</row>
    <row r="220" spans="1:19" ht="15.75" customHeight="1">
      <c r="A220" s="68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</row>
    <row r="221" spans="1:19" ht="15.75" customHeight="1">
      <c r="A221" s="68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</row>
    <row r="222" spans="1:19" ht="15.75" customHeight="1">
      <c r="A222" s="68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</row>
    <row r="223" spans="1:19" ht="15.75" customHeight="1">
      <c r="A223" s="68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</row>
    <row r="224" spans="1:19" ht="15.75" customHeight="1">
      <c r="A224" s="68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</row>
  </sheetData>
  <mergeCells count="19">
    <mergeCell ref="B15:C15"/>
    <mergeCell ref="B16:C16"/>
    <mergeCell ref="B17:C19"/>
    <mergeCell ref="H5:J6"/>
    <mergeCell ref="K5:K6"/>
    <mergeCell ref="E6:F6"/>
    <mergeCell ref="E16:F16"/>
    <mergeCell ref="E17:F19"/>
    <mergeCell ref="E7:F9"/>
    <mergeCell ref="D15:F15"/>
    <mergeCell ref="L7:M7"/>
    <mergeCell ref="L8:M10"/>
    <mergeCell ref="I13:L13"/>
    <mergeCell ref="B2:E3"/>
    <mergeCell ref="H2:J3"/>
    <mergeCell ref="B5:C5"/>
    <mergeCell ref="D5:F5"/>
    <mergeCell ref="B6:C6"/>
    <mergeCell ref="B7:C9"/>
  </mergeCells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Config.</vt:lpstr>
      <vt:lpstr>Gestão</vt:lpstr>
      <vt:lpstr>Entradas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Dilonei Grando</dc:creator>
  <cp:lastModifiedBy>MONICA HASHIMOTO</cp:lastModifiedBy>
  <dcterms:created xsi:type="dcterms:W3CDTF">2019-01-23T21:03:15Z</dcterms:created>
  <dcterms:modified xsi:type="dcterms:W3CDTF">2021-11-25T22:56:12Z</dcterms:modified>
</cp:coreProperties>
</file>